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06990ea6be48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版本说明" sheetId="1" r:id="Rc60ebd8e26bc4f1c"/>
    <x:sheet xmlns:r="http://schemas.openxmlformats.org/officeDocument/2006/relationships" name="42例临床问诊病例" sheetId="2" r:id="R97f5a6416109411b"/>
    <x:sheet xmlns:r="http://schemas.openxmlformats.org/officeDocument/2006/relationships" name="P013_P042扩写病例" sheetId="3" r:id="Rccfbfb62f8634aef"/>
    <x:sheet xmlns:r="http://schemas.openxmlformats.org/officeDocument/2006/relationships" name="扩写质量校验" sheetId="4" r:id="Rbefecc36d0714901"/>
    <x:sheet xmlns:r="http://schemas.openxmlformats.org/officeDocument/2006/relationships" name="发布前总校验" sheetId="5" r:id="R88a099fb4bfa4dce"/>
    <x:sheet xmlns:r="http://schemas.openxmlformats.org/officeDocument/2006/relationships" name="医学依据" sheetId="6" r:id="Rb9efd2fb2b5f4241"/>
    <x:sheet xmlns:r="http://schemas.openxmlformats.org/officeDocument/2006/relationships" name="诊断与鉴别" sheetId="7" r:id="Rbc5e1461ebeb4b02"/>
    <x:sheet xmlns:r="http://schemas.openxmlformats.org/officeDocument/2006/relationships" name="检查项目审核" sheetId="8" r:id="Rf586d1e3880c4c7a"/>
    <x:sheet xmlns:r="http://schemas.openxmlformats.org/officeDocument/2006/relationships" name="治疗与禁忌" sheetId="9" r:id="R5ed7fe25af454bd0"/>
    <x:sheet xmlns:r="http://schemas.openxmlformats.org/officeDocument/2006/relationships" name="评分权重" sheetId="10" r:id="Ra6f1f54c80854138"/>
    <x:sheet xmlns:r="http://schemas.openxmlformats.org/officeDocument/2006/relationships" name="医学事实追踪" sheetId="11" r:id="R559453dcfa504eb2"/>
    <x:sheet xmlns:r="http://schemas.openxmlformats.org/officeDocument/2006/relationships" name="问题汇总" sheetId="12" r:id="Re09b0dcbe1ab462f"/>
    <x:sheet xmlns:r="http://schemas.openxmlformats.org/officeDocument/2006/relationships" name="指南与文献明细" sheetId="13" r:id="R65d9d6c5e2ff47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sz val="10"/>
      <x:name val="Arial"/>
    </x:font>
    <x:font>
      <x:b/>
      <x:sz val="15"/>
      <x:color rgb="FFFFFFFF"/>
      <x:name val="Arial"/>
    </x:font>
    <x:font>
      <x:b/>
      <x:sz val="10"/>
      <x:color rgb="FFFFFFFF"/>
      <x:name val="Arial"/>
    </x:font>
    <x:font>
      <x:b/>
      <x:sz val="10"/>
      <x:color rgb="FF173B45"/>
      <x:name val="Arial"/>
    </x:font>
    <x:font>
      <x:b/>
      <x:sz val="10"/>
      <x:color rgb="FF7F6000"/>
      <x:name val="Arial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sz val="9"/>
      <x:color rgb="FF16323A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A4D68"/>
      </x:patternFill>
    </x:fill>
    <x:fill>
      <x:patternFill patternType="solid">
        <x:fgColor rgb="FF147D92"/>
      </x:patternFill>
    </x:fill>
    <x:fill>
      <x:patternFill patternType="solid">
        <x:fgColor rgb="FFDCEEF2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4A5B"/>
      </x:patternFill>
    </x:fill>
    <x:fill>
      <x:patternFill patternType="solid">
        <x:fgColor rgb="FF0F766E"/>
      </x:patternFill>
    </x:fill>
    <x:fill>
      <x:patternFill patternType="solid">
        <x:fgColor rgb="FFFFF7D6"/>
      </x:patternFill>
    </x:fill>
  </x:fills>
  <x:borders count="6">
    <x:border/>
    <x:border/>
    <x:border>
      <x:bottom style="medium">
        <x:color rgb="FF174A5B"/>
      </x:bottom>
    </x:border>
    <x:border>
      <x:bottom style="thin">
        <x:color rgb="FFCBD8DC"/>
      </x:bottom>
    </x:border>
    <x:border>
      <x:top style="thin">
        <x:color rgb="FFCBD8DC"/>
      </x:top>
      <x:bottom style="thin">
        <x:color rgb="FFCBD8DC"/>
      </x:bottom>
    </x:border>
    <x:border>
      <x:top style="thin">
        <x:color rgb="FFCBD8DC"/>
      </x:top>
    </x:border>
  </x:borders>
  <x:cellStyleXfs count="1">
    <x:xf numFmtId="0" fontId="0" fillId="0" borderId="0"/>
  </x:cellStyleXfs>
  <x:cellXfs count="61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left" vertical="top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left" vertical="top" wrapText="1"/>
    </x:xf>
    <x:xf numFmtId="0" fontId="2" fillId="2" borderId="1" xfId="0" applyNumberFormat="1" applyFont="1" applyFill="1" applyBorder="1" applyAlignment="1">
      <x:alignment horizontal="left"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horizontal="center" vertical="top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horizontal="center" vertical="top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2" xfId="0" applyNumberFormat="1" applyFont="1" applyFill="1" applyBorder="1"/>
    <x:xf numFmtId="0" fontId="7" fillId="8" borderId="2" xfId="0" applyNumberFormat="1" applyFont="1" applyFill="1" applyBorder="1" applyAlignment="1">
      <x:alignment wrapText="1"/>
    </x:xf>
    <x:xf numFmtId="0" fontId="7" fillId="8" borderId="2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8" fillId="0" borderId="3" xfId="0" applyNumberFormat="1" applyFont="1" applyFill="1" applyBorder="1"/>
    <x:xf numFmtId="0" fontId="8" fillId="0" borderId="4" xfId="0" applyNumberFormat="1" applyFont="1" applyFill="1" applyBorder="1"/>
    <x:xf numFmtId="0" fontId="8" fillId="0" borderId="5" xfId="0" applyNumberFormat="1" applyFont="1" applyFill="1" applyBorder="1"/>
    <x:xf numFmtId="0" fontId="8" fillId="0" borderId="3" xfId="0" applyNumberFormat="1" applyFont="1" applyFill="1" applyBorder="1" applyAlignment="1">
      <x:alignment wrapText="1"/>
    </x:xf>
    <x:xf numFmtId="0" fontId="8" fillId="0" borderId="4" xfId="0" applyNumberFormat="1" applyFont="1" applyFill="1" applyBorder="1" applyAlignment="1">
      <x:alignment wrapText="1"/>
    </x:xf>
    <x:xf numFmtId="0" fontId="8" fillId="0" borderId="5" xfId="0" applyNumberFormat="1" applyFont="1" applyFill="1" applyBorder="1" applyAlignment="1">
      <x:alignment wrapText="1"/>
    </x:xf>
    <x:xf numFmtId="0" fontId="8" fillId="0" borderId="3" xfId="0" applyNumberFormat="1" applyFont="1" applyFill="1" applyBorder="1" applyAlignment="1">
      <x:alignment vertical="top" wrapText="1"/>
    </x:xf>
    <x:xf numFmtId="0" fontId="8" fillId="0" borderId="4" xfId="0" applyNumberFormat="1" applyFont="1" applyFill="1" applyBorder="1" applyAlignment="1">
      <x:alignment vertical="top" wrapText="1"/>
    </x:xf>
    <x:xf numFmtId="0" fontId="8" fillId="0" borderId="5" xfId="0" applyNumberFormat="1" applyFont="1" applyFill="1" applyBorder="1" applyAlignment="1">
      <x:alignment vertical="top" wrapText="1"/>
    </x:xf>
    <x:xf numFmtId="0" fontId="8" fillId="9" borderId="3" xfId="0" applyNumberFormat="1" applyFont="1" applyFill="1" applyBorder="1" applyAlignment="1">
      <x:alignment vertical="top" wrapText="1"/>
    </x:xf>
    <x:xf numFmtId="0" fontId="8" fillId="9" borderId="4" xfId="0" applyNumberFormat="1" applyFont="1" applyFill="1" applyBorder="1" applyAlignment="1">
      <x:alignment vertical="top" wrapText="1"/>
    </x:xf>
    <x:xf numFmtId="0" fontId="8" fillId="9" borderId="5" xfId="0" applyNumberFormat="1" applyFont="1" applyFill="1" applyBorder="1" applyAlignment="1">
      <x:alignment vertical="top" wrapText="1"/>
    </x:xf>
  </x:cellXfs>
  <x:cellStyles count="1">
    <x:cellStyle name="Normal" xfId="0"/>
  </x:cellStyles>
  <x:dxfs count="34">
    <x:dxf>
      <x:font>
        <x:b/>
        <x:color rgb="FF9C5700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7A4E00"/>
      </x:font>
      <x:fill>
        <x:patternFill patternType="solid">
          <x:bgColor rgb="FFFFF1CC"/>
        </x:patternFill>
      </x:fill>
    </x:dxf>
    <x:dxf>
      <x:font>
        <x:b/>
        <x:color rgb="FF8A1C1C"/>
      </x:font>
      <x:fill>
        <x:patternFill patternType="solid">
          <x:bgColor rgb="FFFDE2E2"/>
        </x:patternFill>
      </x:fill>
    </x:dxf>
    <x:dxf>
      <x:font>
        <x:b/>
        <x:color rgb="FF8A1C1C"/>
      </x:font>
      <x:fill>
        <x:patternFill patternType="solid">
          <x:bgColor rgb="FFFDE2E2"/>
        </x:patternFill>
      </x:fill>
    </x:dxf>
    <x:dxf>
      <x:font>
        <x:color rgb="FF176B3A"/>
      </x:font>
      <x:fill>
        <x:patternFill patternType="solid">
          <x:bgColor rgb="FFE4F4EA"/>
        </x:patternFill>
      </x:fill>
    </x:dxf>
    <x:dxf>
      <x:font>
        <x:color rgb="FF7A4E00"/>
      </x:font>
      <x:fill>
        <x:patternFill patternType="solid">
          <x:bgColor rgb="FFFFF1CC"/>
        </x:patternFill>
      </x:fill>
    </x:dxf>
    <x:dxf>
      <x:font>
        <x:b/>
        <x:color rgb="FF8A1C1C"/>
      </x:font>
      <x:fill>
        <x:patternFill patternType="solid">
          <x:bgColor rgb="FFFDE2E2"/>
        </x:patternFill>
      </x:fill>
    </x:dxf>
    <x:dxf>
      <x:font>
        <x:b/>
        <x:color rgb="FF8A1C1C"/>
      </x:font>
      <x:fill>
        <x:patternFill patternType="solid">
          <x:bgColor rgb="FFFDE2E2"/>
        </x:patternFill>
      </x:fill>
    </x:dxf>
    <x:dxf>
      <x:font>
        <x:color rgb="FF176B3A"/>
      </x:font>
      <x:fill>
        <x:patternFill patternType="solid">
          <x:bgColor rgb="FFE4F4EA"/>
        </x:patternFill>
      </x:fill>
    </x:dxf>
    <x:dxf>
      <x:font>
        <x:color rgb="FF7A4E00"/>
      </x:font>
      <x:fill>
        <x:patternFill patternType="solid">
          <x:bgColor rgb="FFFFF1CC"/>
        </x:patternFill>
      </x:fill>
    </x:dxf>
    <x:dxf>
      <x:font>
        <x:b/>
        <x:color rgb="FF8A1C1C"/>
      </x:font>
      <x:fill>
        <x:patternFill patternType="solid">
          <x:bgColor rgb="FFFDE2E2"/>
        </x:patternFill>
      </x:fill>
    </x:dxf>
    <x:dxf>
      <x:font>
        <x:b/>
        <x:color rgb="FF8A1C1C"/>
      </x:font>
      <x:fill>
        <x:patternFill patternType="solid">
          <x:bgColor rgb="FFFDE2E2"/>
        </x:patternFill>
      </x:fill>
    </x:dxf>
    <x:dxf>
      <x:font>
        <x:color rgb="FF176B3A"/>
      </x:font>
      <x:fill>
        <x:patternFill patternType="solid">
          <x:bgColor rgb="FFE4F4EA"/>
        </x:patternFill>
      </x:fill>
    </x:dxf>
    <x:dxf>
      <x:font>
        <x:color rgb="FF7A4E00"/>
      </x:font>
      <x:fill>
        <x:patternFill patternType="solid">
          <x:bgColor rgb="FFFFF1CC"/>
        </x:patternFill>
      </x:fill>
    </x:dxf>
    <x:dxf>
      <x:font>
        <x:b/>
        <x:color rgb="FF8A1C1C"/>
      </x:font>
      <x:fill>
        <x:patternFill patternType="solid">
          <x:bgColor rgb="FFFDE2E2"/>
        </x:patternFill>
      </x:fill>
    </x:dxf>
    <x:dxf>
      <x:font>
        <x:b/>
        <x:color rgb="FF8A1C1C"/>
      </x:font>
      <x:fill>
        <x:patternFill patternType="solid">
          <x:bgColor rgb="FFFDE2E2"/>
        </x:patternFill>
      </x:fill>
    </x:dxf>
    <x:dxf>
      <x:font>
        <x:color rgb="FF176B3A"/>
      </x:font>
      <x:fill>
        <x:patternFill patternType="solid">
          <x:bgColor rgb="FFE4F4EA"/>
        </x:patternFill>
      </x:fill>
    </x:dxf>
    <x:dxf>
      <x:font>
        <x:color rgb="FF7A4E00"/>
      </x:font>
      <x:fill>
        <x:patternFill patternType="solid">
          <x:bgColor rgb="FFFFF1CC"/>
        </x:patternFill>
      </x:fill>
    </x:dxf>
    <x:dxf>
      <x:font>
        <x:b/>
        <x:color rgb="FF8A1C1C"/>
      </x:font>
      <x:fill>
        <x:patternFill patternType="solid">
          <x:bgColor rgb="FFFDE2E2"/>
        </x:patternFill>
      </x:fill>
    </x:dxf>
    <x:dxf>
      <x:font>
        <x:b/>
        <x:color rgb="FF8A1C1C"/>
      </x:font>
      <x:fill>
        <x:patternFill patternType="solid">
          <x:bgColor rgb="FFFDE2E2"/>
        </x:patternFill>
      </x:fill>
    </x:dxf>
    <x:dxf>
      <x:font>
        <x:color rgb="FF176B3A"/>
      </x:font>
      <x:fill>
        <x:patternFill patternType="solid">
          <x:bgColor rgb="FFE4F4EA"/>
        </x:patternFill>
      </x:fill>
    </x:dxf>
    <x:dxf>
      <x:font>
        <x:color rgb="FF7A4E00"/>
      </x:font>
      <x:fill>
        <x:patternFill patternType="solid">
          <x:bgColor rgb="FFFFF1CC"/>
        </x:patternFill>
      </x:fill>
    </x:dxf>
    <x:dxf>
      <x:font>
        <x:b/>
        <x:color rgb="FF8A1C1C"/>
      </x:font>
      <x:fill>
        <x:patternFill patternType="solid">
          <x:bgColor rgb="FFFDE2E2"/>
        </x:patternFill>
      </x:fill>
    </x:dxf>
    <x:dxf>
      <x:font>
        <x:b/>
        <x:color rgb="FF8A1C1C"/>
      </x:font>
      <x:fill>
        <x:patternFill patternType="solid">
          <x:bgColor rgb="FFFDE2E2"/>
        </x:patternFill>
      </x:fill>
    </x:dxf>
    <x:dxf>
      <x:font>
        <x:color rgb="FF176B3A"/>
      </x:font>
      <x:fill>
        <x:patternFill patternType="solid">
          <x:bgColor rgb="FFE4F4EA"/>
        </x:patternFill>
      </x:fill>
    </x:dxf>
    <x:dxf>
      <x:font>
        <x:color rgb="FF7A4E00"/>
      </x:font>
      <x:fill>
        <x:patternFill patternType="solid">
          <x:bgColor rgb="FFFFF1CC"/>
        </x:patternFill>
      </x:fill>
    </x:dxf>
    <x:dxf>
      <x:font>
        <x:b/>
        <x:color rgb="FF8A1C1C"/>
      </x:font>
      <x:fill>
        <x:patternFill patternType="solid">
          <x:bgColor rgb="FFFDE2E2"/>
        </x:patternFill>
      </x:fill>
    </x:dxf>
    <x:dxf>
      <x:font>
        <x:b/>
        <x:color rgb="FF8A1C1C"/>
      </x:font>
      <x:fill>
        <x:patternFill patternType="solid">
          <x:bgColor rgb="FFFDE2E2"/>
        </x:patternFill>
      </x:fill>
    </x:dxf>
    <x:dxf>
      <x:font>
        <x:color rgb="FF176B3A"/>
      </x:font>
      <x:fill>
        <x:patternFill patternType="solid">
          <x:bgColor rgb="FFE4F4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f58388094d41b1" /><Relationship Type="http://schemas.openxmlformats.org/officeDocument/2006/relationships/theme" Target="/xl/theme/theme1.xml" Id="R6da84ab6f637442c" /><Relationship Type="http://schemas.openxmlformats.org/officeDocument/2006/relationships/sharedStrings" Target="/xl/sharedStrings.xml" Id="R78d561a0fdf941cd" /><Relationship Type="http://schemas.openxmlformats.org/officeDocument/2006/relationships/worksheet" Target="/xl/worksheets/sheet1.xml" Id="Rc60ebd8e26bc4f1c" /><Relationship Type="http://schemas.openxmlformats.org/officeDocument/2006/relationships/worksheet" Target="/xl/worksheets/sheet2.xml" Id="R97f5a6416109411b" /><Relationship Type="http://schemas.openxmlformats.org/officeDocument/2006/relationships/worksheet" Target="/xl/worksheets/sheet3.xml" Id="Rccfbfb62f8634aef" /><Relationship Type="http://schemas.openxmlformats.org/officeDocument/2006/relationships/worksheet" Target="/xl/worksheets/sheet4.xml" Id="Rbefecc36d0714901" /><Relationship Type="http://schemas.openxmlformats.org/officeDocument/2006/relationships/worksheet" Target="/xl/worksheets/sheet5.xml" Id="R88a099fb4bfa4dce" /><Relationship Type="http://schemas.openxmlformats.org/officeDocument/2006/relationships/worksheet" Target="/xl/worksheets/sheet6.xml" Id="Rb9efd2fb2b5f4241" /><Relationship Type="http://schemas.openxmlformats.org/officeDocument/2006/relationships/worksheet" Target="/xl/worksheets/sheet7.xml" Id="Rbc5e1461ebeb4b02" /><Relationship Type="http://schemas.openxmlformats.org/officeDocument/2006/relationships/worksheet" Target="/xl/worksheets/sheet8.xml" Id="Rf586d1e3880c4c7a" /><Relationship Type="http://schemas.openxmlformats.org/officeDocument/2006/relationships/worksheet" Target="/xl/worksheets/sheet9.xml" Id="R5ed7fe25af454bd0" /><Relationship Type="http://schemas.openxmlformats.org/officeDocument/2006/relationships/worksheet" Target="/xl/worksheets/sheet10.xml" Id="Ra6f1f54c80854138" /><Relationship Type="http://schemas.openxmlformats.org/officeDocument/2006/relationships/worksheet" Target="/xl/worksheets/sheet11.xml" Id="R559453dcfa504eb2" /><Relationship Type="http://schemas.openxmlformats.org/officeDocument/2006/relationships/worksheet" Target="/xl/worksheets/sheet12.xml" Id="Re09b0dcbe1ab462f" /><Relationship Type="http://schemas.openxmlformats.org/officeDocument/2006/relationships/worksheet" Target="/xl/worksheets/sheet13.xml" Id="R65d9d6c5e2ff4706" /><Relationship Type="http://schemas.microsoft.com/office/2017/10/relationships/person" Target="/xl/persons/person.xml" Id="R678b85db498c45df" /></Relationships>
</file>

<file path=xl/persons/person.xml><?xml version="1.0" encoding="utf-8"?>
<xltc:personList xmlns:xltc="http://schemas.microsoft.com/office/spreadsheetml/2018/threadedcomments">
  <xltc:person displayName="User" id="{43774841-E56D-437C-B6A2-6DCF341A8229}"/>
</xltc:personList>
</file>

<file path=xl/tables/table1.xml><?xml version="1.0" encoding="utf-8"?>
<x:table xmlns:x="http://schemas.openxmlformats.org/spreadsheetml/2006/main" id="1" name="DetailedCasesTable" displayName="DetailedCasesTable" ref="A3:AB45" headerRowCount="1">
  <x:tableColumns count="28">
    <x:tableColumn id="1" name="统一病例ID"/>
    <x:tableColumn id="2" name="原始病例ID"/>
    <x:tableColumn id="3" name="年龄"/>
    <x:tableColumn id="4" name="性别"/>
    <x:tableColumn id="5" name="内容来源"/>
    <x:tableColumn id="6" name="患者第一句话"/>
    <x:tableColumn id="7" name="原始主诉"/>
    <x:tableColumn id="8" name="完整现病史"/>
    <x:tableColumn id="9" name="关键阳性病史"/>
    <x:tableColumn id="10" name="关键阴性病史"/>
    <x:tableColumn id="11" name="详细既往史"/>
    <x:tableColumn id="12" name="详细用药史"/>
    <x:tableColumn id="13" name="个人史/危险因素"/>
    <x:tableColumn id="14" name="家族史"/>
    <x:tableColumn id="15" name="手术/输血/过敏/泌尿操作史"/>
    <x:tableColumn id="16" name="婚育/月经史"/>
    <x:tableColumn id="17" name="训练目标诊断（待审核）"/>
    <x:tableColumn id="18" name="疾病分类"/>
    <x:tableColumn id="19" name="主要鉴别诊断"/>
    <x:tableColumn id="20" name="建议检查项目"/>
    <x:tableColumn id="21" name="急诊/稳定处理"/>
    <x:tableColumn id="22" name="病因或确定性处理原则"/>
    <x:tableColumn id="23" name="OSCE安全关键点"/>
    <x:tableColumn id="24" name="一致性修订说明"/>
    <x:tableColumn id="25" name="当前医学问题"/>
    <x:tableColumn id="26" name="建议审核专科"/>
    <x:tableColumn id="27" name="审核状态"/>
    <x:tableColumn id="28" name="数据边界"/>
  </x:tableColumns>
  <x:tableStyleInfo name="TableStyleMedium2" showRowStripes="1"/>
</x:table>
</file>

<file path=xl/tables/table2.xml><?xml version="1.0" encoding="utf-8"?>
<x:table xmlns:x="http://schemas.openxmlformats.org/spreadsheetml/2006/main" id="2" name="ExpandedCasesTable" displayName="ExpandedCasesTable" ref="A1:L31" headerRowCount="1">
  <x:tableColumns count="12">
    <x:tableColumn id="1" name="病例ID"/>
    <x:tableColumn id="2" name="年龄/性别"/>
    <x:tableColumn id="3" name="患者第一句话"/>
    <x:tableColumn id="4" name="完整现病史"/>
    <x:tableColumn id="5" name="详细既往史"/>
    <x:tableColumn id="6" name="详细用药史"/>
    <x:tableColumn id="7" name="个人史/危险因素"/>
    <x:tableColumn id="8" name="家族史"/>
    <x:tableColumn id="9" name="婚育/月经史"/>
    <x:tableColumn id="10" name="训练目标诊断"/>
    <x:tableColumn id="11" name="扩写与修订说明"/>
    <x:tableColumn id="12" name="来源标记"/>
  </x:tableColumns>
  <x:tableStyleInfo name="TableStyleMedium2" showRowStripes="1"/>
</x:table>
</file>

<file path=xl/tables/table3.xml><?xml version="1.0" encoding="utf-8"?>
<x:table xmlns:x="http://schemas.openxmlformats.org/spreadsheetml/2006/main" id="3" name="ExpansionQCTable" displayName="ExpansionQCTable" ref="A1:K43" headerRowCount="1">
  <x:tableColumns count="11">
    <x:tableColumn id="1" name="病例ID"/>
    <x:tableColumn id="2" name="原始病例ID"/>
    <x:tableColumn id="3" name="内容来源"/>
    <x:tableColumn id="4" name="现病史字数"/>
    <x:tableColumn id="5" name="既往史字数"/>
    <x:tableColumn id="6" name="用药史字数"/>
    <x:tableColumn id="7" name="个人史字数"/>
    <x:tableColumn id="8" name="家族史字数"/>
    <x:tableColumn id="9" name="核心字段完整"/>
    <x:tableColumn id="10" name="占位文字"/>
    <x:tableColumn id="11" name="综合结果"/>
  </x:tableColumns>
  <x:tableStyleInfo name="TableStyleMedium2" showRowStripes="1"/>
</x:table>
</file>

<file path=xl/tables/table4.xml><?xml version="1.0" encoding="utf-8"?>
<x:table xmlns:x="http://schemas.openxmlformats.org/spreadsheetml/2006/main" id="4" name="DiagnosisReviewV14" displayName="DiagnosisReviewV14" ref="A3:K171" headerRowCount="1" totalsRowCount="0" totalsRowShown="0">
  <x:tableColumns count="11">
    <x:tableColumn id="1" name="caseId"/>
    <x:tableColumn id="2" name="originalCaseId"/>
    <x:tableColumn id="3" name="原始训练目标诊断"/>
    <x:tableColumn id="4" name="建议诊断表述"/>
    <x:tableColumn id="5" name="鉴别诊断"/>
    <x:tableColumn id="6" name="支持点"/>
    <x:tableColumn id="7" name="反对点"/>
    <x:tableColumn id="8" name="高危漏诊"/>
    <x:tableColumn id="9" name="来源"/>
    <x:tableColumn id="10" name="专家意见"/>
    <x:tableColumn id="11" name="审核状态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OrderReviewV14" displayName="OrderReviewV14" ref="A3:P214" headerRowCount="1" totalsRowCount="0" totalsRowShown="0">
  <x:tableColumns count="16">
    <x:tableColumn id="1" name="caseId"/>
    <x:tableColumn id="2" name="originalCaseId"/>
    <x:tableColumn id="3" name="检查名称"/>
    <x:tableColumn id="4" name="当前分类"/>
    <x:tableColumn id="5" name="建议分类"/>
    <x:tableColumn id="6" name="检查目的"/>
    <x:tableColumn id="7" name="适应证"/>
    <x:tableColumn id="8" name="前置条件"/>
    <x:tableColumn id="9" name="是否必须"/>
    <x:tableColumn id="10" name="是否条件性"/>
    <x:tableColumn id="11" name="是否过度检查"/>
    <x:tableColumn id="12" name="是否模板错配"/>
    <x:tableColumn id="13" name="是否禁忌或不适用"/>
    <x:tableColumn id="14" name="指南URL"/>
    <x:tableColumn id="15" name="指南章节"/>
    <x:tableColumn id="16" name="审核状态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reatmentReviewV14" displayName="TreatmentReviewV14" ref="A3:M129" headerRowCount="1" totalsRowCount="0" totalsRowShown="0">
  <x:tableColumns count="13">
    <x:tableColumn id="1" name="caseId"/>
    <x:tableColumn id="2" name="originalCaseId"/>
    <x:tableColumn id="3" name="治疗类别"/>
    <x:tableColumn id="4" name="原始内容"/>
    <x:tableColumn id="5" name="建议内容"/>
    <x:tableColumn id="6" name="适应证"/>
    <x:tableColumn id="7" name="前置条件"/>
    <x:tableColumn id="8" name="禁忌证"/>
    <x:tableColumn id="9" name="危险顺序错误"/>
    <x:tableColumn id="10" name="必须会诊条件"/>
    <x:tableColumn id="11" name="指南URL"/>
    <x:tableColumn id="12" name="指南章节"/>
    <x:tableColumn id="13" name="审核状态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coringReviewV14" displayName="ScoringReviewV14" ref="A3:Q1673" headerRowCount="1" totalsRowCount="0" totalsRowShown="0">
  <x:tableColumns count="17">
    <x:tableColumn id="1" name="caseId"/>
    <x:tableColumn id="2" name="originalCaseId"/>
    <x:tableColumn id="3" name="dimensionId"/>
    <x:tableColumn id="4" name="维度分值"/>
    <x:tableColumn id="5" name="rubricItemId"/>
    <x:tableColumn id="6" name="评分要求"/>
    <x:tableColumn id="7" name="评分项满分"/>
    <x:tableColumn id="8" name="评分项类型"/>
    <x:tableColumn id="9" name="患者安全关键项"/>
    <x:tableColumn id="10" name="维度0分错误"/>
    <x:tableColumn id="11" name="总分封顶错误"/>
    <x:tableColumn id="12" name="部分得分规则"/>
    <x:tableColumn id="13" name="关键错误"/>
    <x:tableColumn id="14" name="病例总分校验"/>
    <x:tableColumn id="15" name="校验结果"/>
    <x:tableColumn id="16" name="专家意见"/>
    <x:tableColumn id="17" name="修改状态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FactTrackingV14" displayName="FactTrackingV14" ref="A3:M575" headerRowCount="1" totalsRowCount="0" totalsRowShown="0">
  <x:tableColumns count="13">
    <x:tableColumn id="1" name="caseId"/>
    <x:tableColumn id="2" name="originalCaseId"/>
    <x:tableColumn id="3" name="原字段"/>
    <x:tableColumn id="4" name="当前内容"/>
    <x:tableColumn id="5" name="来源"/>
    <x:tableColumn id="6" name="是否程序或AI补充"/>
    <x:tableColumn id="7" name="是否与其他字段矛盾"/>
    <x:tableColumn id="8" name="是否影响诊断"/>
    <x:tableColumn id="9" name="是否影响评分"/>
    <x:tableColumn id="10" name="保留/修改/删除/待确认"/>
    <x:tableColumn id="11" name="建议修改"/>
    <x:tableColumn id="12" name="专家意见"/>
    <x:tableColumn id="13" name="文献依据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IssueSummaryV14" displayName="IssueSummaryV14" ref="A3:G22" headerRowCount="1" totalsRowCount="0" totalsRowShown="0">
  <x:tableColumns count="7">
    <x:tableColumn id="1" name="caseId"/>
    <x:tableColumn id="2" name="originalCaseId"/>
    <x:tableColumn id="3" name="问题类型"/>
    <x:tableColumn id="4" name="原始内容/问题"/>
    <x:tableColumn id="5" name="建议修正"/>
    <x:tableColumn id="6" name="处理状态"/>
    <x:tableColumn id="7" name="优先级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GuidelineDetailV14" displayName="GuidelineDetailV14" ref="A3:I11" headerRowCount="1" totalsRowCount="0" totalsRowShown="0">
  <x:tableColumns count="9">
    <x:tableColumn id="1" name="主题"/>
    <x:tableColumn id="2" name="指南/文献题名"/>
    <x:tableColumn id="3" name="适用病例"/>
    <x:tableColumn id="4" name="完整URL"/>
    <x:tableColumn id="5" name="年份"/>
    <x:tableColumn id="6" name="章节"/>
    <x:tableColumn id="7" name="核对状态"/>
    <x:tableColumn id="8" name="专家意见"/>
    <x:tableColumn id="9" name="修改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6e242fbc87a48b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4d92a57822e425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e1723be198c450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dde41670ce2c4e1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7f788669105045a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6.xml" Id="R7bad7c1c6bef4ad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7.xml" Id="R0d10599519c24ee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e6f1ed8ac3494cb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7ac642bec54549d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eda37e62aaa444b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 ht="30" customHeight="1">
      <x:c r="A1" s="11" t="str">
        <x:v>Hematuria AI Training Final v1.4 — P013–P042精细病史扩写版</x:v>
      </x:c>
      <x:c r="B1" s="11"/>
    </x:row>
    <x:row r="2" ht="42" customHeight="1">
      <x:c r="A2" s="26" t="str">
        <x:v>本次修订目标</x:v>
      </x:c>
      <x:c r="B2" s="19" t="str">
        <x:v>保持P001–P012原始详细病史；将P013–P042改写为同等叙事密度和临床真实感的问诊病例。</x:v>
      </x:c>
    </x:row>
    <x:row r="3" ht="42" customHeight="1">
      <x:c r="A3" s="27" t="str">
        <x:v>扩写原则</x:v>
      </x:c>
      <x:c r="B3" s="4" t="str">
        <x:v>不改变原始训练目标诊断；补足病程进展、患者第一句话、就诊经过、相关阴性史、个人史、家族史、妇科史及用药依从性。</x:v>
      </x:c>
    </x:row>
    <x:row r="4" ht="42" customHeight="1">
      <x:c r="A4" s="27" t="str">
        <x:v>数据边界</x:v>
      </x:c>
      <x:c r="B4" s="4" t="str">
        <x:v>P013–P042新增叙事为训练模拟扩写，不等同于真实患者病历或已验证医学事实，需专科专家确认。</x:v>
      </x:c>
    </x:row>
    <x:row r="5" ht="42" customHeight="1">
      <x:c r="A5" s="27" t="str">
        <x:v>病例编号</x:v>
      </x:c>
      <x:c r="B5" s="4" t="str">
        <x:v>原始P001–P012保留；HX-ADD-001–HX-ADD-030依次映射为P013–P042。</x:v>
      </x:c>
    </x:row>
    <x:row r="6" ht="42" customHeight="1">
      <x:c r="A6" s="27" t="str">
        <x:v>质量结果</x:v>
      </x:c>
      <x:c r="B6" s="4" t="str">
        <x:v>42例均有完整现病史、详细既往史、用药史、个人史和家族史；P013–P042现病史不少于90字、既往史不少于80字。</x:v>
      </x:c>
    </x:row>
    <x:row r="7" ht="42" customHeight="1">
      <x:c r="A7" s="27" t="str">
        <x:v>医学状态</x:v>
      </x:c>
      <x:c r="B7" s="4" t="str">
        <x:v>原始病例仍为needs_revision/待专家确认；本版本改善训练叙事，不代表临床审批完成。</x:v>
      </x:c>
    </x:row>
    <x:row r="8" ht="42" customHeight="1">
      <x:c r="A8" s="27" t="str">
        <x:v>版本日期</x:v>
      </x:c>
      <x:c r="B8" s="4" t="str">
        <x:v>2026-07-11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8" hidden="0" customWidth="1"/>
    <x:col min="4" max="4" width="8" hidden="0" customWidth="1"/>
    <x:col min="5" max="5" width="24" hidden="0" customWidth="1"/>
    <x:col min="6" max="6" width="36" hidden="0" customWidth="1"/>
    <x:col min="7" max="7" width="28" hidden="0" customWidth="1"/>
    <x:col min="8" max="8" width="64" hidden="0" customWidth="1"/>
    <x:col min="9" max="9" width="44" hidden="0" customWidth="1"/>
    <x:col min="10" max="10" width="40" hidden="0" customWidth="1"/>
    <x:col min="11" max="11" width="58" hidden="0" customWidth="1"/>
    <x:col min="12" max="12" width="42" hidden="0" customWidth="1"/>
    <x:col min="13" max="13" width="44" hidden="0" customWidth="1"/>
    <x:col min="14" max="14" width="38" hidden="0" customWidth="1"/>
    <x:col min="15" max="15" width="50" hidden="0" customWidth="1"/>
    <x:col min="16" max="16" width="38" hidden="0" customWidth="1"/>
    <x:col min="17" max="17" width="30" hidden="0" customWidth="1"/>
    <x:col min="18" max="18" width="28" hidden="0" customWidth="1"/>
    <x:col min="19" max="19" width="38" hidden="0" customWidth="1"/>
    <x:col min="20" max="20" width="50" hidden="0" customWidth="1"/>
    <x:col min="21" max="21" width="48" hidden="0" customWidth="1"/>
    <x:col min="22" max="22" width="50" hidden="0" customWidth="1"/>
    <x:col min="23" max="23" width="58" hidden="0" customWidth="1"/>
    <x:col min="24" max="24" width="54" hidden="0" customWidth="1"/>
    <x:col min="25" max="25" width="45" hidden="0" customWidth="1"/>
    <x:col min="26" max="26" width="22" hidden="0" customWidth="1"/>
    <x:col min="27" max="27" width="16" hidden="0" customWidth="1"/>
    <x:col min="28" max="28" width="54" hidden="0" customWidth="1"/>
  </x:cols>
  <x:sheetData>
    <x:row r="1" ht="30" customHeight="1">
      <x:c r="A1" s="11" t="str">
        <x:v>P001–P042 血尿临床问诊病例：完整病史与既往史</x:v>
      </x:c>
      <x:c r="B1" s="11"/>
      <x:c r="C1" s="11"/>
      <x:c r="D1" s="11"/>
      <x:c r="E1" s="11"/>
      <x:c r="F1" s="11"/>
      <x:c r="G1" s="11"/>
      <x:c r="H1" s="11"/>
      <x:c r="I1" s="11"/>
      <x:c r="J1" s="11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  <x:c r="AA1" s="11"/>
      <x:c r="AB1" s="11"/>
    </x:row>
    <x:row r="2" ht="36" customHeight="1">
      <x:c r="A2" s="34" t="str">
        <x:v>P001–P012保留原始详细内容；P013–P042依据原始病例事实逐例扩写。橙色来源列提示哪些内容属于训练模拟扩写。</x:v>
      </x:c>
      <x:c r="B2" s="34"/>
      <x:c r="C2" s="34"/>
      <x:c r="D2" s="34"/>
      <x:c r="E2" s="34"/>
      <x:c r="F2" s="34"/>
      <x:c r="G2" s="34"/>
      <x:c r="H2" s="34"/>
      <x:c r="I2" s="34"/>
      <x:c r="J2" s="34"/>
      <x:c r="K2" s="34"/>
      <x:c r="L2" s="34"/>
      <x:c r="M2" s="34"/>
      <x:c r="N2" s="34"/>
      <x:c r="O2" s="34"/>
      <x:c r="P2" s="34"/>
      <x:c r="Q2" s="34"/>
      <x:c r="R2" s="34"/>
      <x:c r="S2" s="34"/>
      <x:c r="T2" s="34"/>
      <x:c r="U2" s="34"/>
      <x:c r="V2" s="34"/>
      <x:c r="W2" s="34"/>
      <x:c r="X2" s="34"/>
      <x:c r="Y2" s="34"/>
      <x:c r="Z2" s="34"/>
      <x:c r="AA2" s="34"/>
      <x:c r="AB2" s="34"/>
    </x:row>
    <x:row r="3" ht="48" customHeight="1">
      <x:c r="A3" s="19" t="str">
        <x:v>统一病例ID</x:v>
      </x:c>
      <x:c r="B3" s="19" t="str">
        <x:v>原始病例ID</x:v>
      </x:c>
      <x:c r="C3" s="19" t="str">
        <x:v>年龄</x:v>
      </x:c>
      <x:c r="D3" s="19" t="str">
        <x:v>性别</x:v>
      </x:c>
      <x:c r="E3" s="19" t="str">
        <x:v>内容来源</x:v>
      </x:c>
      <x:c r="F3" s="19" t="str">
        <x:v>患者第一句话</x:v>
      </x:c>
      <x:c r="G3" s="19" t="str">
        <x:v>原始主诉</x:v>
      </x:c>
      <x:c r="H3" s="19" t="str">
        <x:v>完整现病史</x:v>
      </x:c>
      <x:c r="I3" s="19" t="str">
        <x:v>关键阳性病史</x:v>
      </x:c>
      <x:c r="J3" s="19" t="str">
        <x:v>关键阴性病史</x:v>
      </x:c>
      <x:c r="K3" s="19" t="str">
        <x:v>详细既往史</x:v>
      </x:c>
      <x:c r="L3" s="19" t="str">
        <x:v>详细用药史</x:v>
      </x:c>
      <x:c r="M3" s="19" t="str">
        <x:v>个人史/危险因素</x:v>
      </x:c>
      <x:c r="N3" s="19" t="str">
        <x:v>家族史</x:v>
      </x:c>
      <x:c r="O3" s="19" t="str">
        <x:v>手术/输血/过敏/泌尿操作史</x:v>
      </x:c>
      <x:c r="P3" s="19" t="str">
        <x:v>婚育/月经史</x:v>
      </x:c>
      <x:c r="Q3" s="19" t="str">
        <x:v>训练目标诊断（待审核）</x:v>
      </x:c>
      <x:c r="R3" s="19" t="str">
        <x:v>疾病分类</x:v>
      </x:c>
      <x:c r="S3" s="19" t="str">
        <x:v>主要鉴别诊断</x:v>
      </x:c>
      <x:c r="T3" s="19" t="str">
        <x:v>建议检查项目</x:v>
      </x:c>
      <x:c r="U3" s="19" t="str">
        <x:v>急诊/稳定处理</x:v>
      </x:c>
      <x:c r="V3" s="19" t="str">
        <x:v>病因或确定性处理原则</x:v>
      </x:c>
      <x:c r="W3" s="19" t="str">
        <x:v>OSCE安全关键点</x:v>
      </x:c>
      <x:c r="X3" s="19" t="str">
        <x:v>一致性修订说明</x:v>
      </x:c>
      <x:c r="Y3" s="19" t="str">
        <x:v>当前医学问题</x:v>
      </x:c>
      <x:c r="Z3" s="19" t="str">
        <x:v>建议审核专科</x:v>
      </x:c>
      <x:c r="AA3" s="19" t="str">
        <x:v>审核状态</x:v>
      </x:c>
      <x:c r="AB3" s="19" t="str">
        <x:v>数据边界</x:v>
      </x:c>
    </x:row>
    <x:row r="4" ht="132" customHeight="1">
      <x:c r="A4" s="4" t="str">
        <x:v>P001</x:v>
      </x:c>
      <x:c r="B4" s="4" t="str">
        <x:v>P001</x:v>
      </x:c>
      <x:c r="C4" s="4" t="str">
        <x:v>65</x:v>
      </x:c>
      <x:c r="D4" s="4" t="str">
        <x:v>男</x:v>
      </x:c>
      <x:c r="E4" s="4" t="str">
        <x:v>原始病例主表及原始模拟事实</x:v>
      </x:c>
      <x:c r="F4" s="4" t="str">
        <x:v>间断小便变红3月余</x:v>
      </x:c>
      <x:c r="G4" s="4" t="str">
        <x:v>间断小便变红3月余</x:v>
      </x:c>
      <x:c r="H4" s="4" t="str">
        <x:v>患者因“间断小便变红3月余”就诊。血尿类型及定位线索：肉眼血尿。现病史关键阳性信息：肉眼血尿；全程血尿；洗肉水样；有小血块；无痛性；排尿稍费力、尿不尽、夜尿1-2次/晚；无泡沫尿、水肿、高血压肾损害线索；尿检以大量红细胞为主。关键阴性信息：否认腰痛；否认发热寒战。</x:v>
      </x:c>
      <x:c r="I4" s="4" t="str">
        <x:v>肉眼血尿；全程血尿；洗肉水样；有小血块；无痛性；排尿稍费力、尿不尽、夜尿1-2次/晚；无泡沫尿、水肿、高血压肾损害线索；尿检以大量红细胞为主</x:v>
      </x:c>
      <x:c r="J4" s="4" t="str">
        <x:v>否认腰痛；否认发热寒战</x:v>
      </x:c>
      <x:c r="K4" s="4" t="str">
        <x:v>高血压病史10年，服用缬沙坦 1片 qd，血压控制良好。平时劳累后心前区不适，胸闷；否认糖尿病、肝炎、结核病史。否认药物过敏史、否认输血史。按期预防接种；结石史：未诉/否认明确结石史；尿路感染史：否认发热寒战；外伤/泌尿操作史：未诉/否认外伤；肿瘤史：未诉/否认肿瘤史</x:v>
      </x:c>
      <x:c r="L4" s="4" t="str">
        <x:v>缬沙坦、阿司匹林</x:v>
      </x:c>
      <x:c r="M4" s="4" t="str">
        <x:v>未诉/需主动询问；未诉/需主动询问；长期服用阿司匹林</x:v>
      </x:c>
      <x:c r="N4" s="4" t="str">
        <x:v>原始资料未记录明确家族性血尿、遗传性肾病或泌尿系肿瘤史，需主动询问。</x:v>
      </x:c>
      <x:c r="O4" s="4" t="str">
        <x:v>手术史未记录，需主动询问。；我以前没有输过血。；过敏史未记录，需主动询问。；以前没有做过导尿、膀胱镜等泌尿操作。</x:v>
      </x:c>
      <x:c r="P4" s="4" t="str">
        <x:v>不适用。</x:v>
      </x:c>
      <x:c r="Q4" s="4" t="str">
        <x:v>膀胱恶性肿瘤</x:v>
      </x:c>
      <x:c r="R4" s="4" t="str">
        <x:v>泌尿系肿瘤/膀胱恶性肿瘤</x:v>
      </x:c>
      <x:c r="S4" s="4" t="str">
        <x:v>尿路感染；膀胱结石；上尿路尿路上皮癌；良性前列腺增生相关出血</x:v>
      </x:c>
      <x:c r="T4" s="4" t="str">
        <x:v>尿常规（基础必开）；尿沉渣镜检（基础必开）；尿脱落细胞学（场景必开）；肾功能/eGFR（基础必开）；CTU评估上尿路（场景必开）；膀胱镜（场景必开）</x:v>
      </x:c>
      <x:c r="U4" s="4" t="str">
        <x:v>评估生命体征、出血、尿潴留、感染、AKI
评估出血程度、贫血、血块尿潴留和肾功能；尿潴留时导尿冲洗，持续活动性出血时泌尿外科急诊处理。</x:v>
      </x:c>
      <x:c r="V4" s="4" t="str">
        <x:v>待专家确认
完成膀胱镜/输尿管镜或影像定位并取得病理，结合分期和患者状况制定内镜切除、根治性手术或系统治疗。</x:v>
      </x:c>
      <x:c r="W4" s="4" t="str">
        <x:v>history.fever_chills｜fever_chills｜4分｜关键错误：待专家确认是否维度0分/总分封顶
risk.smoking｜smoking｜8分｜关键错误：待专家确认是否维度0分/总分封顶
risk.occupation_exposure｜occupation_exposure｜8分｜关键错误：待专家确认是否维度0分/总分封顶
risk.tumor_history｜tumor_history｜8分｜关键错误：待专家确认是否维度0分/总分封顶
risk.anticoagulant｜anticoagulant｜8分｜关键错误：待专家确认是否维度0分/总分封顶
risk.antiplatelet｜antiplatelet｜8分｜关键错误：待专家确认是否维度0分/总分封顶
exam.temperature｜体温｜12分｜关键错误：待专家确认是否维度0分/总分封顶
exam.blood_pressure｜血压｜12分｜关键错误：待专家确认是否维度0分/总分封顶
exam.targeted｜病例针对性查体｜11分｜关键错误：待专家确认是否维度0分/总分封顶
mdt.department｜department｜12分｜关键错误：待专家确认是否维度0分/总分封顶
mdt.trigger｜trigger｜11分｜关键错误：待专家确认是否维度0分/总分封顶
mdt.question｜question｜11分｜关键错误：待专家确认是否维度0分/总分封顶
mdt.evidence｜evidence｜11分｜关键错误：待专家确认是否维度0分/总分封顶
treatment.immediate｜immediate｜13分｜关键错误：待专家确认是否维度0分/总分封顶
treatment.etiologic｜etiologic｜13分｜关键错误：待专家确认是否维度0分/总分封顶
treatment.definitive｜definitive｜12分｜关键错误：待专家确认是否维度0分/总分封顶
treatment.perioperative｜perioperative｜12分｜关键错误：待专家确认是否维度0分/总分封顶</x:v>
      </x:c>
      <x:c r="X4" s="4" t="str">
        <x:v>保留原始P001–P012详细病史；仅进行结构化排版，未作训练性扩写。</x:v>
      </x:c>
      <x:c r="Y4" s="4" t="str">
        <x:v>病例尚未完成医学专家审核；11条模拟补充事实待确认；未取得病理和分期即实施确定性肿瘤治疗；血块尿潴留或严重出血未处理</x:v>
      </x:c>
      <x:c r="Z4" s="4" t="str">
        <x:v>泌尿外科</x:v>
      </x:c>
      <x:c r="AA4" s="4" t="str">
        <x:v>待专家确认</x:v>
      </x:c>
      <x:c r="AB4" s="4" t="str">
        <x:v>核心内容来自原始上传工作簿；模拟事实仍需专家确认。</x:v>
      </x:c>
    </x:row>
    <x:row r="5" ht="132" customHeight="1">
      <x:c r="A5" s="4" t="str">
        <x:v>P002</x:v>
      </x:c>
      <x:c r="B5" s="4" t="str">
        <x:v>P002</x:v>
      </x:c>
      <x:c r="C5" s="4" t="str">
        <x:v>67</x:v>
      </x:c>
      <x:c r="D5" s="4" t="str">
        <x:v>女</x:v>
      </x:c>
      <x:c r="E5" s="4" t="str">
        <x:v>原始病例主表及原始模拟事实</x:v>
      </x:c>
      <x:c r="F5" s="4" t="str">
        <x:v>反复左侧腰痛伴小便变红1月余</x:v>
      </x:c>
      <x:c r="G5" s="4" t="str">
        <x:v>反复左侧腰痛伴小便变红1月余</x:v>
      </x:c>
      <x:c r="H5" s="4" t="str">
        <x:v>患者因“反复左侧腰痛伴小便变红1月余”就诊。血尿类型及定位线索：肉眼血尿。现病史关键阳性信息：肉眼血尿；全程血尿；洗肉水样；蚯蚓状血块；伴左侧腰部酸胀痛，小便时不痛；左侧腰部酸胀痛；无泡沫尿、水肿、上感后茶色尿等肾小球线索。关键阴性信息：无明显尿频尿急尿痛；否认发热寒战。</x:v>
      </x:c>
      <x:c r="I5" s="4" t="str">
        <x:v>肉眼血尿；全程血尿；洗肉水样；蚯蚓状血块；伴左侧腰部酸胀痛，小便时不痛；左侧腰部酸胀痛；无泡沫尿、水肿、上感后茶色尿等肾小球线索</x:v>
      </x:c>
      <x:c r="J5" s="4" t="str">
        <x:v>无明显尿频尿急尿痛；否认发热寒战</x:v>
      </x:c>
      <x:c r="K5" s="4" t="str">
        <x:v>既往风心病史，换机械瓣膜，服用华法林抗凝。2年前脑梗，保守治疗，恢复良好。否认糖尿病、肝炎、结核病史。青霉素过敏。否认输血史。按期预防接种；结石史：未诉/否认明确结石史；尿路感染史：否认发热寒战；外伤/泌尿操作史：未诉/否认外伤；肿瘤史：未诉/否认肿瘤史</x:v>
      </x:c>
      <x:c r="L5" s="4" t="str">
        <x:v>华法林</x:v>
      </x:c>
      <x:c r="M5" s="4" t="str">
        <x:v>既往风心病史，换机械瓣膜，服用华法林抗凝。2年前脑梗，保守治疗，恢复良好。否认糖尿病、心脏病、肝炎、结核病史。否认吸烟酗酒史。青霉素过敏。没有做过手术、输血病史。按期预防接种。父母已经过世，子女身体健康。；未诉/需主动询问；长期失眠，服用舒乐安定</x:v>
      </x:c>
      <x:c r="N5" s="4" t="str">
        <x:v>原始资料未记录明确家族性血尿、遗传性肾病或泌尿系肿瘤史，需主动询问。</x:v>
      </x:c>
      <x:c r="O5" s="4" t="str">
        <x:v>手术史未记录，需主动询问。；我以前没有输过血。；过敏史未记录，需主动询问。；以前没有做过导尿、膀胱镜等泌尿操作。</x:v>
      </x:c>
      <x:c r="P5" s="4" t="str">
        <x:v>月经情况正常，这次尿色异常不是在月经期。；目前没有怀孕。</x:v>
      </x:c>
      <x:c r="Q5" s="4" t="str">
        <x:v>左侧输尿管恶性肿瘤</x:v>
      </x:c>
      <x:c r="R5" s="4" t="str">
        <x:v>泌尿系肿瘤/左侧输尿管恶性肿瘤</x:v>
      </x:c>
      <x:c r="S5" s="4" t="str">
        <x:v>泌尿系肿瘤；泌尿系结石；尿路感染；肾小球性血尿</x:v>
      </x:c>
      <x:c r="T5" s="4" t="str">
        <x:v>尿常规（基础必开）；尿沉渣镜检（基础必开）；尿脱落细胞学（场景必开）；肾功能/eGFR（基础必开）；CTU评估上尿路（场景必开）；膀胱镜（场景必开）</x:v>
      </x:c>
      <x:c r="U5" s="4" t="str">
        <x:v>评估生命体征、出血、尿潴留、感染、AKI
评估出血程度、贫血、血块尿潴留和肾功能；尿潴留时导尿冲洗，持续活动性出血时泌尿外科急诊处理。</x:v>
      </x:c>
      <x:c r="V5" s="4" t="str">
        <x:v>待专家确认
完成膀胱镜/输尿管镜或影像定位并取得病理，结合分期和患者状况制定内镜切除、根治性手术或系统治疗。</x:v>
      </x:c>
      <x:c r="W5" s="4" t="str">
        <x:v>history.fever_chills｜fever_chills｜4分｜关键错误：待专家确认是否维度0分/总分封顶
risk.smoking｜smoking｜7分｜关键错误：待专家确认是否维度0分/总分封顶
risk.occupation_exposure｜occupation_exposure｜7分｜关键错误：待专家确认是否维度0分/总分封顶
risk.tumor_history｜tumor_history｜7分｜关键错误：待专家确认是否维度0分/总分封顶
risk.anticoagulant｜anticoagulant｜7分｜关键错误：待专家确认是否维度0分/总分封顶
risk.antiplatelet｜antiplatelet｜6分｜关键错误：待专家确认是否维度0分/总分封顶
risk.gynecologic_contamination｜gynecologic_contamination｜6分｜关键错误：待专家确认是否维度0分/总分封顶
exam.temperature｜体温｜12分｜关键错误：待专家确认是否维度0分/总分封顶
exam.blood_pressure｜血压｜12分｜关键错误：待专家确认是否维度0分/总分封顶
exam.targeted｜病例针对性查体｜11分｜关键错误：待专家确认是否维度0分/总分封顶
mdt.department｜department｜12分｜关键错误：待专家确认是否维度0分/总分封顶
mdt.trigger｜trigger｜11分｜关键错误：待专家确认是否维度0分/总分封顶
mdt.question｜question｜11分｜关键错误：待专家确认是否维度0分/总分封顶
mdt.evidence｜evidence｜11分｜关键错误：待专家确认是否维度0分/总分封顶
treatment.immediate｜immediate｜13分｜关键错误：待专家确认是否维度0分/总分封顶
treatment.etiologic｜etiologic｜13分｜关键错误：待专家确认是否维度0分/总分封顶
treatment.definitive｜definitive｜12分｜关键错误：待专家确认是否维度0分/总分封顶
treatment.perioperative｜perioperative｜12分｜关键错误：待专家确认是否维度0分/总分封顶</x:v>
      </x:c>
      <x:c r="X5" s="4" t="str">
        <x:v>保留原始P001–P012详细病史；仅进行结构化排版，未作训练性扩写。</x:v>
      </x:c>
      <x:c r="Y5" s="4" t="str">
        <x:v>病例尚未完成医学专家审核；11条模拟补充事实待确认；未取得病理和分期即实施确定性肿瘤治疗；血块尿潴留或严重出血未处理</x:v>
      </x:c>
      <x:c r="Z5" s="4" t="str">
        <x:v>泌尿外科</x:v>
      </x:c>
      <x:c r="AA5" s="4" t="str">
        <x:v>待专家确认</x:v>
      </x:c>
      <x:c r="AB5" s="4" t="str">
        <x:v>核心内容来自原始上传工作簿；模拟事实仍需专家确认。</x:v>
      </x:c>
    </x:row>
    <x:row r="6" ht="132" customHeight="1">
      <x:c r="A6" s="4" t="str">
        <x:v>P003</x:v>
      </x:c>
      <x:c r="B6" s="4" t="str">
        <x:v>P003</x:v>
      </x:c>
      <x:c r="C6" s="4" t="str">
        <x:v>70</x:v>
      </x:c>
      <x:c r="D6" s="4" t="str">
        <x:v>男</x:v>
      </x:c>
      <x:c r="E6" s="4" t="str">
        <x:v>原始病例主表及原始模拟事实</x:v>
      </x:c>
      <x:c r="F6" s="4" t="str">
        <x:v>反复小便变红5月余，加重1周</x:v>
      </x:c>
      <x:c r="G6" s="4" t="str">
        <x:v>反复小便变红5月余，加重1周</x:v>
      </x:c>
      <x:c r="H6" s="4" t="str">
        <x:v>患者因“反复小便变红5月余，加重1周”就诊。血尿类型及定位线索：肉眼血尿。现病史关键阳性信息：肉眼血尿；全程血尿；鲜红色；少量血块；无痛性；无腰部疼痛；无尿频尿急排尿困难；无泡沫尿、水肿、肾炎线索。关键阴性信息：否认发热。</x:v>
      </x:c>
      <x:c r="I6" s="4" t="str">
        <x:v>肉眼血尿；全程血尿；鲜红色；少量血块；无痛性；无腰部疼痛；无尿频尿急排尿困难；无泡沫尿、水肿、肾炎线索</x:v>
      </x:c>
      <x:c r="J6" s="4" t="str">
        <x:v>否认发热</x:v>
      </x:c>
      <x:c r="K6" s="4" t="str">
        <x:v>COPD病史，有咳嗽咳痰，白色泡沫痰。高血压20余年，服用厄贝沙坦控制。否认糖尿病、肝炎、结核病史。否认药物过敏史。5年前行胆囊切除术，且有输血史。按期预防接种；结石史：未诉/否认明确结石史；尿路感染史：否认发热；外伤/泌尿操作史：未诉/否认外伤；肿瘤史：未诉/否认肿瘤史</x:v>
      </x:c>
      <x:c r="L6" s="4" t="str">
        <x:v>阿司匹林、厄贝沙坦</x:v>
      </x:c>
      <x:c r="M6" s="4" t="str">
        <x:v>COPD病史，有咳嗽咳痰，白色泡沫痰。高血压20余年，服用厄贝沙坦控制。否认糖尿病、心脏病、肝炎、结核病史。吸烟30余年，1包/每天，少量饮酒。否认药物过敏史。5年前行胆囊切除术、输血病史。按期预防接种。父母已经过世，子女身体健康。；未诉/需主动询问；长期服用阿司匹林、厄贝沙坦</x:v>
      </x:c>
      <x:c r="N6" s="4" t="str">
        <x:v>原始资料未记录明确家族性血尿、遗传性肾病或泌尿系肿瘤史，需主动询问。</x:v>
      </x:c>
      <x:c r="O6" s="4" t="str">
        <x:v>5年前行胆囊切除术；有输血史；否认药物过敏史；泌尿操作史未记录，需主动询问。</x:v>
      </x:c>
      <x:c r="P6" s="4" t="str">
        <x:v>不适用。</x:v>
      </x:c>
      <x:c r="Q6" s="4" t="str">
        <x:v>肾盂恶性肿瘤</x:v>
      </x:c>
      <x:c r="R6" s="4" t="str">
        <x:v>泌尿系肿瘤/肾盂恶性肿瘤</x:v>
      </x:c>
      <x:c r="S6" s="4" t="str">
        <x:v>输尿管结石；急性肾盂肾炎；肾盂肿瘤；肾乳头坏死</x:v>
      </x:c>
      <x:c r="T6" s="4" t="str">
        <x:v>尿常规（基础必开）；尿沉渣镜检（基础必开）；尿脱落细胞学（场景必开）；肾功能/eGFR（基础必开）；CTU评估上尿路（场景必开）；膀胱镜（场景必开）</x:v>
      </x:c>
      <x:c r="U6" s="4" t="str">
        <x:v>评估生命体征、出血、尿潴留、感染、AKI
评估出血程度、贫血、血块尿潴留和肾功能；尿潴留时导尿冲洗，持续活动性出血时泌尿外科急诊处理。</x:v>
      </x:c>
      <x:c r="V6" s="4" t="str">
        <x:v>待专家确认
完成膀胱镜/输尿管镜或影像定位并取得病理，结合分期和患者状况制定内镜切除、根治性手术或系统治疗。</x:v>
      </x:c>
      <x:c r="W6" s="4" t="str">
        <x:v>history.fever_chills｜fever_chills｜4分｜关键错误：待专家确认是否维度0分/总分封顶
risk.smoking｜smoking｜8分｜关键错误：待专家确认是否维度0分/总分封顶
risk.occupation_exposure｜occupation_exposure｜8分｜关键错误：待专家确认是否维度0分/总分封顶
risk.tumor_history｜tumor_history｜8分｜关键错误：待专家确认是否维度0分/总分封顶
risk.anticoagulant｜anticoagulant｜8分｜关键错误：待专家确认是否维度0分/总分封顶
risk.antiplatelet｜antiplatelet｜8分｜关键错误：待专家确认是否维度0分/总分封顶
exam.temperature｜体温｜12分｜关键错误：待专家确认是否维度0分/总分封顶
exam.blood_pressure｜血压｜12分｜关键错误：待专家确认是否维度0分/总分封顶
exam.targeted｜病例针对性查体｜11分｜关键错误：待专家确认是否维度0分/总分封顶
mdt.department｜department｜12分｜关键错误：待专家确认是否维度0分/总分封顶
mdt.trigger｜trigger｜11分｜关键错误：待专家确认是否维度0分/总分封顶
mdt.question｜question｜11分｜关键错误：待专家确认是否维度0分/总分封顶
mdt.evidence｜evidence｜11分｜关键错误：待专家确认是否维度0分/总分封顶
treatment.immediate｜immediate｜13分｜关键错误：待专家确认是否维度0分/总分封顶
treatment.etiologic｜etiologic｜13分｜关键错误：待专家确认是否维度0分/总分封顶
treatment.definitive｜definitive｜12分｜关键错误：待专家确认是否维度0分/总分封顶
treatment.perioperative｜perioperative｜12分｜关键错误：待专家确认是否维度0分/总分封顶</x:v>
      </x:c>
      <x:c r="X6" s="4" t="str">
        <x:v>保留原始P001–P012详细病史；仅进行结构化排版，未作训练性扩写。；已删除与胆囊切除术及输血史矛盾的否认/未记录表述</x:v>
      </x:c>
      <x:c r="Y6" s="4" t="str">
        <x:v>病例尚未完成医学专家审核；9条模拟补充事实待确认；未取得病理和分期即实施确定性肿瘤治疗；血块尿潴留或严重出血未处理</x:v>
      </x:c>
      <x:c r="Z6" s="4" t="str">
        <x:v>泌尿外科</x:v>
      </x:c>
      <x:c r="AA6" s="4" t="str">
        <x:v>待专家确认</x:v>
      </x:c>
      <x:c r="AB6" s="4" t="str">
        <x:v>核心内容来自原始上传工作簿；模拟事实仍需专家确认。</x:v>
      </x:c>
    </x:row>
    <x:row r="7" ht="132" customHeight="1">
      <x:c r="A7" s="4" t="str">
        <x:v>P004</x:v>
      </x:c>
      <x:c r="B7" s="4" t="str">
        <x:v>P004</x:v>
      </x:c>
      <x:c r="C7" s="4" t="str">
        <x:v>65</x:v>
      </x:c>
      <x:c r="D7" s="4" t="str">
        <x:v>男</x:v>
      </x:c>
      <x:c r="E7" s="4" t="str">
        <x:v>原始病例主表及原始模拟事实</x:v>
      </x:c>
      <x:c r="F7" s="4" t="str">
        <x:v>小便变红1月余</x:v>
      </x:c>
      <x:c r="G7" s="4" t="str">
        <x:v>小便变红1月余</x:v>
      </x:c>
      <x:c r="H7" s="4" t="str">
        <x:v>患者因“小便变红1月余”就诊。血尿类型及定位线索：肉眼血尿。现病史关键阳性信息：肉眼血尿；全程血尿；鲜红色；未主动诉血块，需追问；以无痛全程血尿为主；无痛性；无腰痛；无尿频尿急排尿困难；无肾小球性线索。关键阴性信息：否认发热。</x:v>
      </x:c>
      <x:c r="I7" s="4" t="str">
        <x:v>肉眼血尿；全程血尿；鲜红色；未主动诉血块，需追问；以无痛全程血尿为主；无痛性；无腰痛；无尿频尿急排尿困难；无肾小球性线索</x:v>
      </x:c>
      <x:c r="J7" s="4" t="str">
        <x:v>否认发热</x:v>
      </x:c>
      <x:c r="K7" s="4" t="str">
        <x:v>高血压20余年，服用贝那普利、硝苯地平缓释片、氢氯噻嗪控制良好。二型糖尿病，平时注射胰岛素及达格列净、二甲双胍控制，具体血糖未监测。否认心脏病、肝炎、结核病史。否认药物过敏史。否认手术术、输血病史。按期预防接种；结石史：未诉/否认明确结石史；尿路感染史：否认发热；外伤/泌尿操作史：未诉/否认外伤；肿瘤史：未诉/否认肿瘤史</x:v>
      </x:c>
      <x:c r="L7" s="4" t="str">
        <x:v>达格列净、二甲双胍、胰岛素、硝苯地平、贝那普利</x:v>
      </x:c>
      <x:c r="M7" s="4" t="str">
        <x:v>未诉/需主动询问；未诉/需主动询问；长期服用贝那普利、硝苯地平缓释片、氢氯噻嗪、达格列净、二甲双胍</x:v>
      </x:c>
      <x:c r="N7" s="4" t="str">
        <x:v>原始资料未记录明确家族性血尿、遗传性肾病或泌尿系肿瘤史，需主动询问。</x:v>
      </x:c>
      <x:c r="O7" s="4" t="str">
        <x:v>手术史未记录，需主动询问。；我以前没有输过血。；过敏史未记录，需主动询问。；以前没有做过导尿、膀胱镜等泌尿操作。</x:v>
      </x:c>
      <x:c r="P7" s="4" t="str">
        <x:v>不适用。</x:v>
      </x:c>
      <x:c r="Q7" s="4" t="str">
        <x:v>肾恶性肿瘤</x:v>
      </x:c>
      <x:c r="R7" s="4" t="str">
        <x:v>泌尿系肿瘤/肾恶性肿瘤</x:v>
      </x:c>
      <x:c r="S7" s="4" t="str">
        <x:v>泌尿系肿瘤；泌尿系结石；尿路感染；肾小球性血尿</x:v>
      </x:c>
      <x:c r="T7" s="4" t="str">
        <x:v>尿常规（基础必开）；尿沉渣镜检（基础必开）；尿脱落细胞学（场景必开）；肾功能/eGFR（基础必开）；CTU评估上尿路（场景必开）；膀胱镜（场景必开）</x:v>
      </x:c>
      <x:c r="U7" s="4" t="str">
        <x:v>评估生命体征、出血、尿潴留、感染、AKI
评估出血程度、贫血、血块尿潴留和肾功能；尿潴留时导尿冲洗，持续活动性出血时泌尿外科急诊处理。</x:v>
      </x:c>
      <x:c r="V7" s="4" t="str">
        <x:v>待专家确认
完成膀胱镜/输尿管镜或影像定位并取得病理，结合分期和患者状况制定内镜切除、根治性手术或系统治疗。</x:v>
      </x:c>
      <x:c r="W7" s="4" t="str">
        <x:v>history.fever_chills｜fever_chills｜4分｜关键错误：待专家确认是否维度0分/总分封顶
risk.smoking｜smoking｜8分｜关键错误：待专家确认是否维度0分/总分封顶
risk.occupation_exposure｜occupation_exposure｜8分｜关键错误：待专家确认是否维度0分/总分封顶
risk.tumor_history｜tumor_history｜8分｜关键错误：待专家确认是否维度0分/总分封顶
risk.anticoagulant｜anticoagulant｜8分｜关键错误：待专家确认是否维度0分/总分封顶
risk.antiplatelet｜antiplatelet｜8分｜关键错误：待专家确认是否维度0分/总分封顶
exam.temperature｜体温｜12分｜关键错误：待专家确认是否维度0分/总分封顶
exam.blood_pressure｜血压｜12分｜关键错误：待专家确认是否维度0分/总分封顶
exam.targeted｜病例针对性查体｜11分｜关键错误：待专家确认是否维度0分/总分封顶
mdt.department｜department｜12分｜关键错误：待专家确认是否维度0分/总分封顶
mdt.trigger｜trigger｜11分｜关键错误：待专家确认是否维度0分/总分封顶
mdt.question｜question｜11分｜关键错误：待专家确认是否维度0分/总分封顶
mdt.evidence｜evidence｜11分｜关键错误：待专家确认是否维度0分/总分封顶
treatment.immediate｜immediate｜13分｜关键错误：待专家确认是否维度0分/总分封顶
treatment.etiologic｜etiologic｜13分｜关键错误：待专家确认是否维度0分/总分封顶
treatment.definitive｜definitive｜12分｜关键错误：待专家确认是否维度0分/总分封顶
treatment.perioperative｜perioperative｜12分｜关键错误：待专家确认是否维度0分/总分封顶</x:v>
      </x:c>
      <x:c r="X7" s="4" t="str">
        <x:v>保留原始P001–P012详细病史；仅进行结构化排版，未作训练性扩写。</x:v>
      </x:c>
      <x:c r="Y7" s="4" t="str">
        <x:v>病例尚未完成医学专家审核；12条模拟补充事实待确认；未取得病理和分期即实施确定性肿瘤治疗；血块尿潴留或严重出血未处理</x:v>
      </x:c>
      <x:c r="Z7" s="4" t="str">
        <x:v>泌尿外科</x:v>
      </x:c>
      <x:c r="AA7" s="4" t="str">
        <x:v>待专家确认</x:v>
      </x:c>
      <x:c r="AB7" s="4" t="str">
        <x:v>核心内容来自原始上传工作簿；模拟事实仍需专家确认。</x:v>
      </x:c>
    </x:row>
    <x:row r="8" ht="132" customHeight="1">
      <x:c r="A8" s="4" t="str">
        <x:v>P005</x:v>
      </x:c>
      <x:c r="B8" s="4" t="str">
        <x:v>P005</x:v>
      </x:c>
      <x:c r="C8" s="4" t="str">
        <x:v>83</x:v>
      </x:c>
      <x:c r="D8" s="4" t="str">
        <x:v>男</x:v>
      </x:c>
      <x:c r="E8" s="4" t="str">
        <x:v>原始病例主表及原始模拟事实</x:v>
      </x:c>
      <x:c r="F8" s="4" t="str">
        <x:v>进行性排尿困难3年余，加重伴小便变红1月</x:v>
      </x:c>
      <x:c r="G8" s="4" t="str">
        <x:v>进行性排尿困难3年余，加重伴小便变红1月</x:v>
      </x:c>
      <x:c r="H8" s="4" t="str">
        <x:v>患者因“进行性排尿困难3年余，加重伴小便变红1月”就诊。血尿类型及定位线索：肉眼血尿为主，尿检镜下红细胞升高。现病史关键阳性信息：肉眼血尿为主，尿检镜下红细胞升高；间断血尿，饮水增多后可减轻，需追问是否全程/终末；合并下尿路梗阻；鲜红色；排尿困难加重时伴尿痛及下腹憋胀；尿频尿急、尿线变细、尿分叉、夜尿5-6次/晚、急迫性尿失禁、排尿困难；无泡沫尿、水肿、上感后血尿。关键阴性信息：未诉血块，追问可否认明显血块；否认腰背部及四肢疼痛；否认发热。</x:v>
      </x:c>
      <x:c r="I8" s="4" t="str">
        <x:v>肉眼血尿为主，尿检镜下红细胞升高；间断血尿，饮水增多后可减轻，需追问是否全程/终末；合并下尿路梗阻；鲜红色；排尿困难加重时伴尿痛及下腹憋胀；尿频尿急、尿线变细、尿分叉、夜尿5-6次/晚、急迫性尿失禁、排尿困难；无泡沫尿、水肿、上感后血尿</x:v>
      </x:c>
      <x:c r="J8" s="4" t="str">
        <x:v>未诉血块，追问可否认明显血块；否认腰背部及四肢疼痛；否认发热</x:v>
      </x:c>
      <x:c r="K8" s="4" t="str">
        <x:v>糖尿病十余年，服用达格列净、二甲双胍控制，具体血糖不详。6年前因冠脉狭窄行支架植入术。否认肝炎、结核病史。自诉磺胺类药物、清开灵过敏。否认输血病史；结石史：未诉/否认明确结石史；尿路感染史：否认发热；外伤/泌尿操作史：未诉/否认外伤；肿瘤史：未诉/否认肿瘤史</x:v>
      </x:c>
      <x:c r="L8" s="4" t="str">
        <x:v>阿司匹林、氯吡格雷、达格列净、二甲双胍、非那雄胺、坦索罗辛</x:v>
      </x:c>
      <x:c r="M8" s="4" t="str">
        <x:v>未诉/需主动询问；未诉/需主动询问；长期服用阿司匹林、氯吡格雷、达格列净、二甲双胍</x:v>
      </x:c>
      <x:c r="N8" s="4" t="str">
        <x:v>原始资料未记录明确家族性血尿、遗传性肾病或泌尿系肿瘤史，需主动询问。</x:v>
      </x:c>
      <x:c r="O8" s="4" t="str">
        <x:v>6年前因冠脉狭窄行冠脉支架植入术（心血管介入史，非泌尿操作）；否认输血史；磺胺类药物、清开灵过敏；泌尿操作史未记录，需主动询问。</x:v>
      </x:c>
      <x:c r="P8" s="4" t="str">
        <x:v>不适用。</x:v>
      </x:c>
      <x:c r="Q8" s="4" t="str">
        <x:v>前列腺增生</x:v>
      </x:c>
      <x:c r="R8" s="4" t="str">
        <x:v>前列腺疾病/前列腺增生</x:v>
      </x:c>
      <x:c r="S8" s="4" t="str">
        <x:v>前列腺癌；膀胱颈挛缩；尿道狭窄；神经源性膀胱</x:v>
      </x:c>
      <x:c r="T8" s="4" t="str">
        <x:v>尿常规（基础必开）；肾功能/eGFR（基础必开）；泌尿系超声+残余尿（基础/场景）；尿流率+残余尿（按需）；PSA（按需）</x:v>
      </x:c>
      <x:c r="U8" s="4" t="str">
        <x:v>评估生命体征、出血、尿潴留、感染、AKI
评估尿潴留、血块、感染和肾功能；急性尿潴留时规范导尿，血块堵塞时考虑三腔导尿和膀胱冲洗。</x:v>
      </x:c>
      <x:c r="V8" s="4" t="str">
        <x:v>待专家确认
评估症状、残余尿和前列腺体积，采用药物治疗；反复潴留、出血、感染或肾功能受损时评估手术。</x:v>
      </x:c>
      <x:c r="W8" s="4" t="str">
        <x:v>history.fever_chills｜fever_chills｜4分｜关键错误：待专家确认是否维度0分/总分封顶
risk.voiding_difficulty｜voiding_difficulty｜10分｜关键错误：待专家确认是否维度0分/总分封顶
risk.retention｜retention｜10分｜关键错误：待专家确认是否维度0分/总分封顶
risk.medications｜medications｜10分｜关键错误：待专家确认是否维度0分/总分封顶
risk.surgery_history｜surgery_history｜10分｜关键错误：待专家确认是否维度0分/总分封顶
exam.temperature｜体温｜12分｜关键错误：待专家确认是否维度0分/总分封顶
exam.blood_pressure｜血压｜12分｜关键错误：待专家确认是否维度0分/总分封顶
exam.targeted｜病例针对性查体｜11分｜关键错误：待专家确认是否维度0分/总分封顶
mdt.department｜department｜12分｜关键错误：待专家确认是否维度0分/总分封顶
mdt.trigger｜trigger｜11分｜关键错误：待专家确认是否维度0分/总分封顶
mdt.question｜question｜11分｜关键错误：待专家确认是否维度0分/总分封顶
mdt.evidence｜evidence｜11分｜关键错误：待专家确认是否维度0分/总分封顶
treatment.immediate｜immediate｜13分｜关键错误：待专家确认是否维度0分/总分封顶
treatment.etiologic｜etiologic｜13分｜关键错误：待专家确认是否维度0分/总分封顶
treatment.definitive｜definitive｜12分｜关键错误：待专家确认是否维度0分/总分封顶
treatment.perioperative｜perioperative｜12分｜关键错误：待专家确认是否维度0分/总分封顶</x:v>
      </x:c>
      <x:c r="X8" s="4" t="str">
        <x:v>保留原始P001–P012详细病史；仅进行结构化排版，未作训练性扩写。；已明确冠脉支架介入史，并与泌尿操作史分开记录</x:v>
      </x:c>
      <x:c r="Y8" s="4" t="str">
        <x:v>病例尚未完成医学专家审核；12条模拟补充事实待确认；尿潴留或血块堵塞未及时解除；仅凭PSA直接诊断前列腺癌</x:v>
      </x:c>
      <x:c r="Z8" s="4" t="str">
        <x:v>泌尿外科</x:v>
      </x:c>
      <x:c r="AA8" s="4" t="str">
        <x:v>待专家确认</x:v>
      </x:c>
      <x:c r="AB8" s="4" t="str">
        <x:v>核心内容来自原始上传工作簿；模拟事实仍需专家确认。</x:v>
      </x:c>
    </x:row>
    <x:row r="9" ht="132" customHeight="1">
      <x:c r="A9" s="4" t="str">
        <x:v>P006</x:v>
      </x:c>
      <x:c r="B9" s="4" t="str">
        <x:v>P006</x:v>
      </x:c>
      <x:c r="C9" s="4" t="str">
        <x:v>23</x:v>
      </x:c>
      <x:c r="D9" s="4" t="str">
        <x:v>女</x:v>
      </x:c>
      <x:c r="E9" s="4" t="str">
        <x:v>原始病例主表及原始模拟事实</x:v>
      </x:c>
      <x:c r="F9" s="4" t="str">
        <x:v>尿频、尿急、尿痛伴小便变红2天</x:v>
      </x:c>
      <x:c r="G9" s="4" t="str">
        <x:v>尿频、尿急、尿痛伴小便变红2天</x:v>
      </x:c>
      <x:c r="H9" s="4" t="str">
        <x:v>患者因“尿频、尿急、尿痛伴小便变红2天”就诊。血尿类型及定位线索：肉眼淡红/擦拭粉红色，尿检镜下红细胞升高。现病史关键阳性信息：肉眼淡红/擦拭粉红色，尿检镜下红细胞升高；非典型全程血尿，主要排尿后纸巾粉红；需追问是否来自尿道或阴道；粉红色；无血块；排尿刺痛、灼热感明显；无腰痛；尿频明显、尿急、尿痛、尿不尽；无发热寒战；无泡沫尿、水肿、高血压、上感后茶色尿。关键阴性信息：原始资料未单列关键阴性病史，需根据问诊继续完善。</x:v>
      </x:c>
      <x:c r="I9" s="4" t="str">
        <x:v>肉眼淡红/擦拭粉红色，尿检镜下红细胞升高；非典型全程血尿，主要排尿后纸巾粉红；需追问是否来自尿道或阴道；粉红色；无血块；排尿刺痛、灼热感明显；无腰痛；尿频明显、尿急、尿痛、尿不尽；无发热寒战；无泡沫尿、水肿、高血压、上感后茶色尿</x:v>
      </x:c>
      <x:c r="J9" s="4" t="str">
        <x:v>原始资料未单列关键阴性病史；需根据现病史继续追问。</x:v>
      </x:c>
      <x:c r="K9" s="4" t="str">
        <x:v>否认高血压、糖尿病、心脏病、肝炎、结核病史。否认药物过敏、外伤、手术病史；结石史：未诉/否认明确结石史；尿路感染史：无发热寒战；外伤/泌尿操作史：否认高血压、糖尿病、心脏病、肝炎、结核病史。否认药物过敏、外伤、手术病史。未婚未孕，初潮14岁，末次月经上月15日，经期28-30天；肿瘤史：未诉/否认肿瘤史</x:v>
      </x:c>
      <x:c r="L9" s="4" t="str">
        <x:v>我没有长期服药</x:v>
      </x:c>
      <x:c r="M9" s="4" t="str">
        <x:v>未诉/需主动询问；未诉/需主动询问；无</x:v>
      </x:c>
      <x:c r="N9" s="4" t="str">
        <x:v>原始资料未记录明确家族性血尿、遗传性肾病或泌尿系肿瘤史，需主动询问。</x:v>
      </x:c>
      <x:c r="O9" s="4" t="str">
        <x:v>我以前没有做过手术。；我以前没有输过血。；过敏史未记录，需主动询问。；泌尿操作史需核实。</x:v>
      </x:c>
      <x:c r="P9" s="4" t="str">
        <x:v>月经情况正常，这次尿色异常不是在月经期。；目前没有怀孕。</x:v>
      </x:c>
      <x:c r="Q9" s="4" t="str">
        <x:v>泌尿道感染</x:v>
      </x:c>
      <x:c r="R9" s="4" t="str">
        <x:v>感染/泌尿道感染</x:v>
      </x:c>
      <x:c r="S9" s="4" t="str">
        <x:v>尿路结石；尿路上皮肿瘤；肾小球性血尿；妇科污染</x:v>
      </x:c>
      <x:c r="T9" s="4" t="str">
        <x:v>尿常规（基础必开）；尿沉渣镜检（基础必开）；中段尿培养+药敏（场景必开）；血常规（基础必开）；CRP/降钙素原（场景必开）；肾功能/eGFR（基础必开）</x:v>
      </x:c>
      <x:c r="U9" s="4" t="str">
        <x:v>评估生命体征、出血、尿潴留、感染、AKI
评估是否系统性感染或脓毒症；规范留取尿培养，必要时血培养，给予经验性抗感染和支持治疗。若合并梗阻，必须同步紧急引流。</x:v>
      </x:c>
      <x:c r="V9" s="4" t="str">
        <x:v>待专家确认
依据培养和药敏调整抗菌药，处理结石、残余尿、糖尿病、导尿等复杂因素；持续血尿需进入完整血尿评估路径。</x:v>
      </x:c>
      <x:c r="W9" s="4" t="str">
        <x:v>history.fever_chills｜fever_chills｜4分｜关键错误：待专家确认是否维度0分/总分封顶
risk.uti_history｜uti_history｜10分｜关键错误：待专家确认是否维度0分/总分封顶
risk.stone_history｜stone_history｜10分｜关键错误：待专家确认是否维度0分/总分封顶
risk.urinary_procedure_history｜urinary_procedure_history｜10分｜关键错误：待专家确认是否维度0分/总分封顶
risk.gynecologic_contamination｜gynecologic_contamination｜10分｜关键错误：待专家确认是否维度0分/总分封顶
exam.temperature｜体温｜12分｜关键错误：待专家确认是否维度0分/总分封顶
exam.blood_pressure｜血压｜12分｜关键错误：待专家确认是否维度0分/总分封顶
exam.targeted｜病例针对性查体｜11分｜关键错误：待专家确认是否维度0分/总分封顶
mdt.department｜department｜12分｜关键错误：待专家确认是否维度0分/总分封顶
mdt.trigger｜trigger｜11分｜关键错误：待专家确认是否维度0分/总分封顶
mdt.question｜question｜11分｜关键错误：待专家确认是否维度0分/总分封顶
mdt.evidence｜evidence｜11分｜关键错误：待专家确认是否维度0分/总分封顶
treatment.immediate｜immediate｜13分｜关键错误：待专家确认是否维度0分/总分封顶
treatment.etiologic｜etiologic｜13分｜关键错误：待专家确认是否维度0分/总分封顶
treatment.definitive｜definitive｜12分｜关键错误：待专家确认是否维度0分/总分封顶
treatment.perioperative｜perioperative｜12分｜关键错误：待专家确认是否维度0分/总分封顶</x:v>
      </x:c>
      <x:c r="X9" s="4" t="str">
        <x:v>保留原始P001–P012详细病史；仅进行结构化排版，未作训练性扩写。</x:v>
      </x:c>
      <x:c r="Y9" s="4" t="str">
        <x:v>病例尚未完成医学专家审核；13条模拟补充事实待确认；脓毒症或感染性梗阻未及时识别；未留取培养即长期盲目用药</x:v>
      </x:c>
      <x:c r="Z9" s="4" t="str">
        <x:v>泌尿外科</x:v>
      </x:c>
      <x:c r="AA9" s="4" t="str">
        <x:v>待专家确认</x:v>
      </x:c>
      <x:c r="AB9" s="4" t="str">
        <x:v>核心内容来自原始上传工作簿；模拟事实仍需专家确认。</x:v>
      </x:c>
    </x:row>
    <x:row r="10" ht="132" customHeight="1">
      <x:c r="A10" s="4" t="str">
        <x:v>P007</x:v>
      </x:c>
      <x:c r="B10" s="4" t="str">
        <x:v>P007</x:v>
      </x:c>
      <x:c r="C10" s="4" t="str">
        <x:v>65</x:v>
      </x:c>
      <x:c r="D10" s="4" t="str">
        <x:v>男</x:v>
      </x:c>
      <x:c r="E10" s="4" t="str">
        <x:v>原始病例主表及原始模拟事实</x:v>
      </x:c>
      <x:c r="F10" s="4" t="str">
        <x:v>反复排尿困难5年余，急性加重伴小便变红1天</x:v>
      </x:c>
      <x:c r="G10" s="4" t="str">
        <x:v>反复排尿困难5年余，急性加重伴小便变红1天</x:v>
      </x:c>
      <x:c r="H10" s="4" t="str">
        <x:v>患者因“反复排尿困难5年余，急性加重伴小便变红1天”就诊。血尿类型及定位线索：肉眼淡红尿+镜下血尿。现病史关键阳性信息：肉眼淡红尿+镜下血尿；急性尿潴留导尿后淡红色尿，可伴终末血尿；需与肿瘤性血尿鉴别；淡红色；未诉血块；排尿困难伴尿痛、下腹憋胀；无腰背部疼痛；尿线变细、尿分叉、尿频、夜尿4-5次/晚、急性尿潴留；无发热；无泡沫尿、水肿、上感后血尿。关键阴性信息：原始资料未单列关键阴性病史，需根据问诊继续完善。</x:v>
      </x:c>
      <x:c r="I10" s="4" t="str">
        <x:v>肉眼淡红尿+镜下血尿；急性尿潴留导尿后淡红色尿，可伴终末血尿；需与肿瘤性血尿鉴别；淡红色；未诉血块；排尿困难伴尿痛、下腹憋胀；无腰背部疼痛；尿线变细、尿分叉、尿频、夜尿4-5次/晚、急性尿潴留；无发热；无泡沫尿、水肿、上感后血尿</x:v>
      </x:c>
      <x:c r="J10" s="4" t="str">
        <x:v>原始资料未单列关键阴性病史；需根据现病史继续追问。</x:v>
      </x:c>
      <x:c r="K10" s="4" t="str">
        <x:v>否认高血压、糖尿病、肝炎、结核病史。否认输血病史；结石史：未诉/否认明确结石史；尿路感染史：无发热；外伤/泌尿操作史：未诉/否认外伤；肿瘤史：未诉/否认肿瘤史</x:v>
      </x:c>
      <x:c r="L10" s="4" t="str">
        <x:v>我没有长期服药</x:v>
      </x:c>
      <x:c r="M10" s="4" t="str">
        <x:v>否认高血压、糖尿病、肝炎、结核病史。药物过敏未发现，未吸烟，少量饮酒，每天50-100ml白酒。否认输血病史。子女身体健康。；未诉/需主动询问；无特殊长期用药或原表未记录；训练中若被问及，按病例设定回答“无”。</x:v>
      </x:c>
      <x:c r="N10" s="4" t="str">
        <x:v>原始资料未记录明确家族性血尿、遗传性肾病或泌尿系肿瘤史，需主动询问。</x:v>
      </x:c>
      <x:c r="O10" s="4" t="str">
        <x:v>我以前没有做过手术。；输血史未记录，需主动询问。；过敏史未记录，需主动询问。；以前没有做过导尿、膀胱镜等泌尿操作。</x:v>
      </x:c>
      <x:c r="P10" s="4" t="str">
        <x:v>不适用。</x:v>
      </x:c>
      <x:c r="Q10" s="4" t="str">
        <x:v>前列腺增生</x:v>
      </x:c>
      <x:c r="R10" s="4" t="str">
        <x:v>前列腺疾病/前列腺增生</x:v>
      </x:c>
      <x:c r="S10" s="4" t="str">
        <x:v>前列腺癌；膀胱颈挛缩；尿道狭窄；神经源性膀胱</x:v>
      </x:c>
      <x:c r="T10" s="4" t="str">
        <x:v>尿常规（基础必开）；肾功能/eGFR（基础必开）；泌尿系超声+残余尿（基础/场景）；尿流率+残余尿（按需）；PSA（按需）</x:v>
      </x:c>
      <x:c r="U10" s="4" t="str">
        <x:v>评估生命体征、出血、尿潴留、感染、AKI
评估尿潴留、血块、感染和肾功能；急性尿潴留时规范导尿，血块堵塞时考虑三腔导尿和膀胱冲洗。</x:v>
      </x:c>
      <x:c r="V10" s="4" t="str">
        <x:v>待专家确认
评估症状、残余尿和前列腺体积，采用药物治疗；反复潴留、出血、感染或肾功能受损时评估手术。</x:v>
      </x:c>
      <x:c r="W10" s="4" t="str">
        <x:v>history.fever_chills｜fever_chills｜4分｜关键错误：待专家确认是否维度0分/总分封顶
risk.voiding_difficulty｜voiding_difficulty｜10分｜关键错误：待专家确认是否维度0分/总分封顶
risk.retention｜retention｜10分｜关键错误：待专家确认是否维度0分/总分封顶
risk.medications｜medications｜10分｜关键错误：待专家确认是否维度0分/总分封顶
risk.surgery_history｜surgery_history｜10分｜关键错误：待专家确认是否维度0分/总分封顶
exam.temperature｜体温｜12分｜关键错误：待专家确认是否维度0分/总分封顶
exam.blood_pressure｜血压｜12分｜关键错误：待专家确认是否维度0分/总分封顶
exam.targeted｜病例针对性查体｜11分｜关键错误：待专家确认是否维度0分/总分封顶
mdt.department｜department｜12分｜关键错误：待专家确认是否维度0分/总分封顶
mdt.trigger｜trigger｜11分｜关键错误：待专家确认是否维度0分/总分封顶
mdt.question｜question｜11分｜关键错误：待专家确认是否维度0分/总分封顶
mdt.evidence｜evidence｜11分｜关键错误：待专家确认是否维度0分/总分封顶
treatment.immediate｜immediate｜13分｜关键错误：待专家确认是否维度0分/总分封顶
treatment.etiologic｜etiologic｜13分｜关键错误：待专家确认是否维度0分/总分封顶
treatment.definitive｜definitive｜12分｜关键错误：待专家确认是否维度0分/总分封顶
treatment.perioperative｜perioperative｜12分｜关键错误：待专家确认是否维度0分/总分封顶</x:v>
      </x:c>
      <x:c r="X10" s="4" t="str">
        <x:v>保留原始P001–P012详细病史；仅进行结构化排版，未作训练性扩写。</x:v>
      </x:c>
      <x:c r="Y10" s="4" t="str">
        <x:v>病例尚未完成医学专家审核；11条模拟补充事实待确认；尿潴留或血块堵塞未及时解除；仅凭PSA直接诊断前列腺癌</x:v>
      </x:c>
      <x:c r="Z10" s="4" t="str">
        <x:v>泌尿外科</x:v>
      </x:c>
      <x:c r="AA10" s="4" t="str">
        <x:v>待专家确认</x:v>
      </x:c>
      <x:c r="AB10" s="4" t="str">
        <x:v>核心内容来自原始上传工作簿；模拟事实仍需专家确认。</x:v>
      </x:c>
    </x:row>
    <x:row r="11" ht="132" customHeight="1">
      <x:c r="A11" s="4" t="str">
        <x:v>P008</x:v>
      </x:c>
      <x:c r="B11" s="4" t="str">
        <x:v>P008</x:v>
      </x:c>
      <x:c r="C11" s="4" t="str">
        <x:v>56</x:v>
      </x:c>
      <x:c r="D11" s="4" t="str">
        <x:v>男</x:v>
      </x:c>
      <x:c r="E11" s="4" t="str">
        <x:v>原始病例主表及原始模拟事实</x:v>
      </x:c>
      <x:c r="F11" s="4" t="str">
        <x:v>间断小便变红伴排尿中断1年余</x:v>
      </x:c>
      <x:c r="G11" s="4" t="str">
        <x:v>间断小便变红伴排尿中断1年余</x:v>
      </x:c>
      <x:c r="H11" s="4" t="str">
        <x:v>患者因“间断小便变红伴排尿中断1年余”就诊。血尿类型及定位线索：肉眼血尿。现病史关键阳性信息：肉眼血尿；终末血尿为主；淡红色；无血块；排尿时轻微刺痛，体位相关排尿中断；无腰痛；排尿中断、改变体位后可继续排尿；夜尿1-2次/晚；无发热；无肾小球线索。关键阴性信息：原始资料未单列关键阴性病史，需根据问诊继续完善。</x:v>
      </x:c>
      <x:c r="I11" s="4" t="str">
        <x:v>肉眼血尿；终末血尿为主；淡红色；无血块；排尿时轻微刺痛，体位相关排尿中断；无腰痛；排尿中断、改变体位后可继续排尿；夜尿1-2次/晚；无发热；无肾小球线索</x:v>
      </x:c>
      <x:c r="J11" s="4" t="str">
        <x:v>原始资料未单列关键阴性病史；需根据现病史继续追问。</x:v>
      </x:c>
      <x:c r="K11" s="4" t="str">
        <x:v>既往乙肝小三阳，未治疗。否认高血压、糖尿病、结核病史。药物过敏未发现。偶尔应酬喝酒。否认输血病史；结石史：未诉/否认明确结石史；尿路感染史：无发热；外伤/泌尿操作史：未诉/否认外伤；肿瘤史：未诉/否认肿瘤史</x:v>
      </x:c>
      <x:c r="L11" s="4" t="str">
        <x:v>阿司匹林</x:v>
      </x:c>
      <x:c r="M11" s="4" t="str">
        <x:v>既往乙肝小三阳，未治疗。否认高血压、糖尿病、结核病史。药物过敏未发现。吸烟20余年，每天半包。偶尔应酬喝酒。否认输血病史。子女身体健康。；未诉/需主动询问；长期服用阿司匹林</x:v>
      </x:c>
      <x:c r="N11" s="4" t="str">
        <x:v>原始资料未记录明确家族性血尿、遗传性肾病或泌尿系肿瘤史，需主动询问。</x:v>
      </x:c>
      <x:c r="O11" s="4" t="str">
        <x:v>我以前没有做过手术。；输血史未记录，需主动询问。；过敏史未记录，需主动询问。；以前没有做过导尿、膀胱镜等泌尿操作。</x:v>
      </x:c>
      <x:c r="P11" s="4" t="str">
        <x:v>不适用。</x:v>
      </x:c>
      <x:c r="Q11" s="4" t="str">
        <x:v>膀胱结石，前列腺增生</x:v>
      </x:c>
      <x:c r="R11" s="4" t="str">
        <x:v>前列腺疾病/膀胱结石，前列腺增生</x:v>
      </x:c>
      <x:c r="S11" s="4" t="str">
        <x:v>前列腺癌；膀胱颈挛缩；尿道狭窄；神经源性膀胱</x:v>
      </x:c>
      <x:c r="T11" s="4" t="str">
        <x:v>尿常规（基础必开）；肾功能/eGFR（基础必开）；泌尿系超声+残余尿（基础/场景）；尿流率+残余尿（按需）；PSA（按需）</x:v>
      </x:c>
      <x:c r="U11" s="4" t="str">
        <x:v>评估生命体征、出血、尿潴留、感染、AKI
评估尿潴留、血块、感染和肾功能；急性尿潴留时规范导尿，血块堵塞时考虑三腔导尿和膀胱冲洗。</x:v>
      </x:c>
      <x:c r="V11" s="4" t="str">
        <x:v>待专家确认
评估症状、残余尿和前列腺体积，采用药物治疗；反复潴留、出血、感染或肾功能受损时评估手术。</x:v>
      </x:c>
      <x:c r="W11" s="4" t="str">
        <x:v>history.fever_chills｜fever_chills｜4分｜关键错误：待专家确认是否维度0分/总分封顶
risk.voiding_difficulty｜voiding_difficulty｜10分｜关键错误：待专家确认是否维度0分/总分封顶
risk.retention｜retention｜10分｜关键错误：待专家确认是否维度0分/总分封顶
risk.medications｜medications｜10分｜关键错误：待专家确认是否维度0分/总分封顶
risk.surgery_history｜surgery_history｜10分｜关键错误：待专家确认是否维度0分/总分封顶
exam.temperature｜体温｜12分｜关键错误：待专家确认是否维度0分/总分封顶
exam.blood_pressure｜血压｜12分｜关键错误：待专家确认是否维度0分/总分封顶
exam.targeted｜病例针对性查体｜11分｜关键错误：待专家确认是否维度0分/总分封顶
mdt.department｜department｜12分｜关键错误：待专家确认是否维度0分/总分封顶
mdt.trigger｜trigger｜11分｜关键错误：待专家确认是否维度0分/总分封顶
mdt.question｜question｜11分｜关键错误：待专家确认是否维度0分/总分封顶
mdt.evidence｜evidence｜11分｜关键错误：待专家确认是否维度0分/总分封顶
treatment.immediate｜immediate｜13分｜关键错误：待专家确认是否维度0分/总分封顶
treatment.etiologic｜etiologic｜13分｜关键错误：待专家确认是否维度0分/总分封顶
treatment.definitive｜definitive｜12分｜关键错误：待专家确认是否维度0分/总分封顶
treatment.perioperative｜perioperative｜12分｜关键错误：待专家确认是否维度0分/总分封顶</x:v>
      </x:c>
      <x:c r="X11" s="4" t="str">
        <x:v>保留原始P001–P012详细病史；仅进行结构化排版，未作训练性扩写。</x:v>
      </x:c>
      <x:c r="Y11" s="4" t="str">
        <x:v>病例尚未完成医学专家审核；10条模拟补充事实待确认；尿潴留或血块堵塞未及时解除；仅凭PSA直接诊断前列腺癌</x:v>
      </x:c>
      <x:c r="Z11" s="4" t="str">
        <x:v>泌尿外科</x:v>
      </x:c>
      <x:c r="AA11" s="4" t="str">
        <x:v>待专家确认</x:v>
      </x:c>
      <x:c r="AB11" s="4" t="str">
        <x:v>核心内容来自原始上传工作簿；模拟事实仍需专家确认。</x:v>
      </x:c>
    </x:row>
    <x:row r="12" ht="132" customHeight="1">
      <x:c r="A12" s="4" t="str">
        <x:v>P009</x:v>
      </x:c>
      <x:c r="B12" s="4" t="str">
        <x:v>P009</x:v>
      </x:c>
      <x:c r="C12" s="4" t="str">
        <x:v>36</x:v>
      </x:c>
      <x:c r="D12" s="4" t="str">
        <x:v>女</x:v>
      </x:c>
      <x:c r="E12" s="4" t="str">
        <x:v>原始病例主表及原始模拟事实</x:v>
      </x:c>
      <x:c r="F12" s="4" t="str">
        <x:v>突发右侧腰痛伴小便变红半天</x:v>
      </x:c>
      <x:c r="G12" s="4" t="str">
        <x:v>突发右侧腰痛伴小便变红半天</x:v>
      </x:c>
      <x:c r="H12" s="4" t="str">
        <x:v>患者因“突发右侧腰痛伴小便变红半天”就诊。血尿类型及定位线索：肉眼茶色/镜下大量红细胞。现病史关键阳性信息：肉眼茶色/镜下大量红细胞；血尿与肾绞痛同时出现，非典型起始/终末；多为全程尿色加深；浓茶样；右腰刀割样阵发性疼痛，向右下腹及会阴放射，伴恶心呕吐；右侧肾绞痛明显；尿频尿急；无发热；无泡沫尿、水肿，茶色尿主要与结石血尿相关但需尿沉渣鉴别。关键阴性信息：无明显血块。</x:v>
      </x:c>
      <x:c r="I12" s="4" t="str">
        <x:v>肉眼茶色/镜下大量红细胞；血尿与肾绞痛同时出现，非典型起始/终末；多为全程尿色加深；浓茶样；右腰刀割样阵发性疼痛，向右下腹及会阴放射，伴恶心呕吐；右侧肾绞痛明显；尿频尿急；无发热；无泡沫尿、水肿，茶色尿主要与结石血尿相关但需尿沉渣鉴别</x:v>
      </x:c>
      <x:c r="J12" s="4" t="str">
        <x:v>无明显血块</x:v>
      </x:c>
      <x:c r="K12" s="4" t="str">
        <x:v>否认糖尿病、心脏病、肝炎、结核、结石病史。否认药物过敏史。否认、输血病史；结石史：否认糖尿病、心脏病、肝炎、结核、结石病史。否认吸烟饮酒史。否认药物过敏史。否认、输血病史。未婚未孕，初潮14岁，末次月经上月6日，经期28-30天按期预防接种。父母、配偶、子女均身体健康。；尿路感染史：无发热；外伤/泌尿操作史：未诉/否认外伤；肿瘤史：未诉/否认肿瘤史</x:v>
      </x:c>
      <x:c r="L12" s="4" t="str">
        <x:v>我没有长期服药</x:v>
      </x:c>
      <x:c r="M12" s="4" t="str">
        <x:v>否认糖尿病、心脏病、肝炎、结核、结石病史。否认吸烟饮酒史。否认药物过敏史。否认、输血病史。未婚未孕，初潮14岁，末次月经上月6日，经期28-30天按期预防接种。父母、配偶、子女均身体健康。；未诉/需主动询问；无</x:v>
      </x:c>
      <x:c r="N12" s="4" t="str">
        <x:v>原始资料未记录明确家族性血尿、遗传性肾病或泌尿系肿瘤史，需主动询问。</x:v>
      </x:c>
      <x:c r="O12" s="4" t="str">
        <x:v>我以前没有做过手术。；我以前没有输过血。；过敏史未记录，需主动询问。；以前没有做过导尿、膀胱镜等泌尿操作。</x:v>
      </x:c>
      <x:c r="P12" s="4" t="str">
        <x:v>月经情况正常，这次尿色异常不是在月经期。；目前没有怀孕。</x:v>
      </x:c>
      <x:c r="Q12" s="4" t="str">
        <x:v>右侧肾输尿管结石伴积水和感染</x:v>
      </x:c>
      <x:c r="R12" s="4" t="str">
        <x:v>感染/右侧肾输尿管结石伴积水和感染</x:v>
      </x:c>
      <x:c r="S12" s="4" t="str">
        <x:v>急性肾盂肾炎；肾梗死；阑尾炎或胆道疾病；上尿路尿路上皮癌</x:v>
      </x:c>
      <x:c r="T12" s="4" t="str">
        <x:v>尿常规（基础必开）；尿沉渣镜检（基础必开）；中段尿培养+药敏（场景必开）；血常规（基础必开）；CRP/降钙素原（场景必开）；肾功能/eGFR（基础必开）</x:v>
      </x:c>
      <x:c r="U12" s="4" t="str">
        <x:v>评估生命体征、出血、尿潴留、感染、AKI
评估是否系统性感染或脓毒症；规范留取尿培养，必要时血培养，给予经验性抗感染和支持治疗。若合并梗阻，必须同步紧急引流。</x:v>
      </x:c>
      <x:c r="V12" s="4" t="str">
        <x:v>待专家确认
依据培养和药敏调整抗菌药，处理结石、残余尿、糖尿病、导尿等复杂因素；持续血尿需进入完整血尿评估路径。</x:v>
      </x:c>
      <x:c r="W12" s="4" t="str">
        <x:v>history.fever_chills｜fever_chills｜4分｜关键错误：待专家确认是否维度0分/总分封顶
risk.uti_history｜uti_history｜10分｜关键错误：待专家确认是否维度0分/总分封顶
risk.stone_history｜stone_history｜10分｜关键错误：待专家确认是否维度0分/总分封顶
risk.urinary_procedure_history｜urinary_procedure_history｜10分｜关键错误：待专家确认是否维度0分/总分封顶
risk.gynecologic_contamination｜gynecologic_contamination｜10分｜关键错误：待专家确认是否维度0分/总分封顶
exam.temperature｜体温｜12分｜关键错误：待专家确认是否维度0分/总分封顶
exam.blood_pressure｜血压｜12分｜关键错误：待专家确认是否维度0分/总分封顶
exam.targeted｜病例针对性查体｜11分｜关键错误：待专家确认是否维度0分/总分封顶
mdt.department｜department｜12分｜关键错误：待专家确认是否维度0分/总分封顶
mdt.trigger｜trigger｜11分｜关键错误：待专家确认是否维度0分/总分封顶
mdt.question｜question｜11分｜关键错误：待专家确认是否维度0分/总分封顶
mdt.evidence｜evidence｜11分｜关键错误：待专家确认是否维度0分/总分封顶
treatment.immediate｜immediate｜13分｜关键错误：待专家确认是否维度0分/总分封顶
treatment.etiologic｜etiologic｜13分｜关键错误：待专家确认是否维度0分/总分封顶
treatment.definitive｜definitive｜12分｜关键错误：待专家确认是否维度0分/总分封顶
treatment.perioperative｜perioperative｜12分｜关键错误：待专家确认是否维度0分/总分封顶</x:v>
      </x:c>
      <x:c r="X12" s="4" t="str">
        <x:v>保留原始P001–P012详细病史；仅进行结构化排版，未作训练性扩写。</x:v>
      </x:c>
      <x:c r="Y12" s="4" t="str">
        <x:v>病例尚未完成医学专家审核；13条模拟补充事实待确认；脓毒症或感染性梗阻未及时识别；未留取培养即长期盲目用药</x:v>
      </x:c>
      <x:c r="Z12" s="4" t="str">
        <x:v>泌尿外科</x:v>
      </x:c>
      <x:c r="AA12" s="4" t="str">
        <x:v>待专家确认</x:v>
      </x:c>
      <x:c r="AB12" s="4" t="str">
        <x:v>核心内容来自原始上传工作簿；模拟事实仍需专家确认。</x:v>
      </x:c>
    </x:row>
    <x:row r="13" ht="132" customHeight="1">
      <x:c r="A13" s="4" t="str">
        <x:v>P010</x:v>
      </x:c>
      <x:c r="B13" s="4" t="str">
        <x:v>P010</x:v>
      </x:c>
      <x:c r="C13" s="4" t="str">
        <x:v>42</x:v>
      </x:c>
      <x:c r="D13" s="4" t="str">
        <x:v>男</x:v>
      </x:c>
      <x:c r="E13" s="4" t="str">
        <x:v>原始病例主表及原始模拟事实</x:v>
      </x:c>
      <x:c r="F13" s="4" t="str">
        <x:v>反复左侧腰部隐痛伴运动后小便变红3年余，再发1天</x:v>
      </x:c>
      <x:c r="G13" s="4" t="str">
        <x:v>反复左侧腰部隐痛伴运动后小便变红3年余，再发1天</x:v>
      </x:c>
      <x:c r="H13" s="4" t="str">
        <x:v>患者因“反复左侧腰部隐痛伴运动后小便变红3年余，再发1天”就诊。血尿类型及定位线索：肉眼血尿/镜下大量红细胞。现病史关键阳性信息：肉眼血尿/镜下大量红细胞；运动后全程尿色加深，非典型终末血尿；酱油样/浓茶样；未诉血块；左侧腰部隐痛，非典型肾绞痛；左腰隐痛；无尿频尿急尿痛；无发热；尿色茶/酱油需与肾小球性血尿鉴别；本例影像结石明确。关键阴性信息：原始资料未单列关键阴性病史，需根据问诊继续完善。</x:v>
      </x:c>
      <x:c r="I13" s="4" t="str">
        <x:v>肉眼血尿/镜下大量红细胞；运动后全程尿色加深，非典型终末血尿；酱油样/浓茶样；未诉血块；左侧腰部隐痛，非典型肾绞痛；左腰隐痛；无尿频尿急尿痛；无发热；尿色茶/酱油需与肾小球性血尿鉴别；本例影像结石明确</x:v>
      </x:c>
      <x:c r="J13" s="4" t="str">
        <x:v>原始资料未单列关键阴性病史；需根据现病史继续追问。</x:v>
      </x:c>
      <x:c r="K13" s="4" t="str">
        <x:v>否认糖尿病、心脏病、肝炎、结核、结石病史。否认药物过敏史。否认、输血病史；结石史：否认糖尿病、心脏病、肝炎、结核、结石病史。否认吸烟饮酒史。否认药物过敏史。否认、输血病史。父母、配偶、子女均身体健康。；尿路感染史：无发热；外伤/泌尿操作史：未诉/否认外伤；肿瘤史：未诉/否认肿瘤史</x:v>
      </x:c>
      <x:c r="L13" s="4" t="str">
        <x:v>我没有长期服药</x:v>
      </x:c>
      <x:c r="M13" s="4" t="str">
        <x:v>否认糖尿病、心脏病、肝炎、结核、结石病史。否认吸烟饮酒史。否认药物过敏史。否认、输血病史。父母、配偶、子女均身体健康。；未诉/需主动询问；无</x:v>
      </x:c>
      <x:c r="N13" s="4" t="str">
        <x:v>原始资料未记录明确家族性血尿、遗传性肾病或泌尿系肿瘤史，需主动询问。</x:v>
      </x:c>
      <x:c r="O13" s="4" t="str">
        <x:v>我以前没有做过手术。；我以前没有输过血。；过敏史未记录，需主动询问。；以前没有做过导尿、膀胱镜等泌尿操作。</x:v>
      </x:c>
      <x:c r="P13" s="4" t="str">
        <x:v>不适用。</x:v>
      </x:c>
      <x:c r="Q13" s="4" t="str">
        <x:v>左肾铸型结石</x:v>
      </x:c>
      <x:c r="R13" s="4" t="str">
        <x:v>结石/左肾铸型结石</x:v>
      </x:c>
      <x:c r="S13" s="4" t="str">
        <x:v>尿路感染；尿路上皮肿瘤；肾梗死；肾小球性血尿</x:v>
      </x:c>
      <x:c r="T13" s="4" t="str">
        <x:v>尿常规（基础必开）；尿沉渣镜检（基础必开）；肾功能/eGFR（基础必开）；泌尿系CT平扫/低剂量NCCT KUB（场景必开）；泌尿系超声+残余尿（基础/场景）</x:v>
      </x:c>
      <x:c r="U13" s="4" t="str">
        <x:v>评估生命体征、出血、尿潴留、感染、AKI
评估生命体征、疼痛、感染、尿量、肾功能和梗阻；给予适当镇痛止吐。合并感染性梗阻、孤立肾或AKI时优先急诊引流。</x:v>
      </x:c>
      <x:c r="V13" s="4" t="str">
        <x:v>待专家确认
根据结石位置、大小、密度、解剖和患者因素选择观察排石、SWL、输尿管镜或PCNL；处理相关梗阻和感染。</x:v>
      </x:c>
      <x:c r="W13" s="4" t="str">
        <x:v>history.fever_chills｜fever_chills｜4分｜关键错误：待专家确认是否维度0分/总分封顶
risk.stone_history｜stone_history｜10分｜关键错误：待专家确认是否维度0分/总分封顶
risk.triggers｜triggers｜10分｜关键错误：待专家确认是否维度0分/总分封顶
risk.uti_history｜uti_history｜10分｜关键错误：待专家确认是否维度0分/总分封顶
risk.retention｜retention｜10分｜关键错误：待专家确认是否维度0分/总分封顶
exam.temperature｜体温｜12分｜关键错误：待专家确认是否维度0分/总分封顶
exam.blood_pressure｜血压｜12分｜关键错误：待专家确认是否维度0分/总分封顶
exam.targeted｜病例针对性查体｜11分｜关键错误：待专家确认是否维度0分/总分封顶
mdt.department｜department｜12分｜关键错误：待专家确认是否维度0分/总分封顶
mdt.trigger｜trigger｜11分｜关键错误：待专家确认是否维度0分/总分封顶
mdt.question｜question｜11分｜关键错误：待专家确认是否维度0分/总分封顶
mdt.evidence｜evidence｜11分｜关键错误：待专家确认是否维度0分/总分封顶
treatment.immediate｜immediate｜13分｜关键错误：待专家确认是否维度0分/总分封顶
treatment.etiologic｜etiologic｜13分｜关键错误：待专家确认是否维度0分/总分封顶
treatment.definitive｜definitive｜12分｜关键错误：待专家确认是否维度0分/总分封顶
treatment.perioperative｜perioperative｜12分｜关键错误：待专家确认是否维度0分/总分封顶</x:v>
      </x:c>
      <x:c r="X13" s="4" t="str">
        <x:v>保留原始P001–P012详细病史；仅进行结构化排版，未作训练性扩写。</x:v>
      </x:c>
      <x:c r="Y13" s="4" t="str">
        <x:v>病例尚未完成医学专家审核；11条模拟补充事实待确认；感染性梗阻未引流即碎石；未评估肾功能和感染</x:v>
      </x:c>
      <x:c r="Z13" s="4" t="str">
        <x:v>泌尿外科</x:v>
      </x:c>
      <x:c r="AA13" s="4" t="str">
        <x:v>待专家确认</x:v>
      </x:c>
      <x:c r="AB13" s="4" t="str">
        <x:v>核心内容来自原始上传工作簿；模拟事实仍需专家确认。</x:v>
      </x:c>
    </x:row>
    <x:row r="14" ht="132" customHeight="1">
      <x:c r="A14" s="4" t="str">
        <x:v>P011</x:v>
      </x:c>
      <x:c r="B14" s="4" t="str">
        <x:v>P011</x:v>
      </x:c>
      <x:c r="C14" s="4" t="str">
        <x:v>13</x:v>
      </x:c>
      <x:c r="D14" s="4" t="str">
        <x:v>女</x:v>
      </x:c>
      <x:c r="E14" s="4" t="str">
        <x:v>原始病例主表及原始模拟事实</x:v>
      </x:c>
      <x:c r="F14" s="4" t="str">
        <x:v>咽痛3周，小便变红1周</x:v>
      </x:c>
      <x:c r="G14" s="4" t="str">
        <x:v>咽痛3周，小便变红1周</x:v>
      </x:c>
      <x:c r="H14" s="4" t="str">
        <x:v>患者因“咽痛3周，小便变红1周”就诊。血尿类型及定位线索：肉眼血尿+肾小球性镜下证据。现病史关键阳性信息：肉眼血尿+肾小球性镜下证据；感染后数日出现肉眼血尿，不按起始/终末定位；可表现为全程淡红或洗肉水样；淡红色或洗肉水样；无血块；无尿痛；可有双腰酸胀；双侧腰部酸胀痛，不是典型肾绞痛；无尿频尿急尿痛；有咽痛/扁桃体炎伴发热，最高38℃；眼睑水肿、尿蛋白+、病理管型+、畸形红细胞显著升高，上感后血尿，提示肾小球性血尿。关键阴性信息：原始资料未单列关键阴性病史，需根据问诊继续完善。</x:v>
      </x:c>
      <x:c r="I14" s="4" t="str">
        <x:v>肉眼血尿+肾小球性镜下证据；感染后数日出现肉眼血尿，不按起始/终末定位；可表现为全程淡红或洗肉水样；淡红色或洗肉水样；无血块；无尿痛；可有双腰酸胀；双侧腰部酸胀痛，不是典型肾绞痛；无尿频尿急尿痛；有咽痛/扁桃体炎伴发热，最高38℃；眼睑水肿、尿蛋白+、病理管型+、畸形红细胞显著升高，上感后血尿，提示肾小球性血尿</x:v>
      </x:c>
      <x:c r="J14" s="4" t="str">
        <x:v>原始资料未单列关键阴性病史；需根据现病史继续追问。</x:v>
      </x:c>
      <x:c r="K14" s="4" t="str">
        <x:v>否认高血压、糖尿病、肝炎、结核病史。药物过敏未发现。否认输血病史。按期预防接种；结石史：未诉/否认明确结石史；尿路感染史：有咽痛/扁桃体炎伴发热，最高38℃；外伤/泌尿操作史：未诉/否认外伤；肿瘤史：未诉/否认肿瘤史</x:v>
      </x:c>
      <x:c r="L14" s="4" t="str">
        <x:v>我没有长期服药</x:v>
      </x:c>
      <x:c r="M14" s="4" t="str">
        <x:v>未诉/需主动询问；未诉/需主动询问；无特殊长期用药或原表未记录；训练中若被问及，按病例设定回答“无”。</x:v>
      </x:c>
      <x:c r="N14" s="4" t="str">
        <x:v>原始资料未记录明确家族性血尿、遗传性肾病或泌尿系肿瘤史，需主动询问。</x:v>
      </x:c>
      <x:c r="O14" s="4" t="str">
        <x:v>我以前没有做过手术。；输血史未记录，需主动询问。；过敏史未记录，需主动询问。；以前没有做过导尿、膀胱镜等泌尿操作。</x:v>
      </x:c>
      <x:c r="P14" s="4" t="str">
        <x:v>月经情况正常，这次尿色异常不是在月经期。；目前没有怀孕。</x:v>
      </x:c>
      <x:c r="Q14" s="4" t="str">
        <x:v>急性肾小球肾炎</x:v>
      </x:c>
      <x:c r="R14" s="4" t="str">
        <x:v>肾小球疾病/急性肾小球肾炎</x:v>
      </x:c>
      <x:c r="S14" s="4" t="str">
        <x:v>泌尿系肿瘤；泌尿系结石；尿路感染；肾小球性血尿</x:v>
      </x:c>
      <x:c r="T14" s="4" t="str">
        <x:v>尿沉渣镜检（基础必开）；尿红细胞形态/相差显微镜（场景必开）；尿蛋白定性/尿蛋白肌酐比（场景必开）；肾功能/eGFR（基础必开）；补体C3/C4（场景必开）；肾活检病理（场景必开）</x:v>
      </x:c>
      <x:c r="U14" s="4" t="str">
        <x:v>评估生命体征、出血、尿潴留、感染、AKI
评估血压、尿量、水肿、肾功能、电解质和尿蛋白；出现AKI、严重高血压、肺水肿或少尿时紧急肾内科处理。</x:v>
      </x:c>
      <x:c r="V14" s="4" t="str">
        <x:v>待专家确认
由肾内科结合尿沉渣红细胞形态、蛋白定量、免疫学和必要时肾活检明确病理类型，实施支持治疗和病因特异治疗。</x:v>
      </x:c>
      <x:c r="W14" s="4" t="str">
        <x:v>history.fever_chills｜fever_chills｜4分｜关键错误：待专家确认是否维度0分/总分封顶
risk.glomerular_features｜glomerular_features｜8分｜关键错误：待专家确认是否维度0分/总分封顶
risk.recent_uri｜recent_uri｜8分｜关键错误：待专家确认是否维度0分/总分封顶
risk.family_history｜family_history｜8分｜关键错误：待专家确认是否维度0分/总分封顶
risk.bleeding_tendency｜bleeding_tendency｜8分｜关键错误：待专家确认是否维度0分/总分封顶
risk.gynecologic_contamination｜gynecologic_contamination｜8分｜关键错误：待专家确认是否维度0分/总分封顶
exam.temperature｜体温｜12分｜关键错误：待专家确认是否维度0分/总分封顶
exam.blood_pressure｜血压｜12分｜关键错误：待专家确认是否维度0分/总分封顶
exam.targeted｜病例针对性查体｜11分｜关键错误：待专家确认是否维度0分/总分封顶
mdt.department｜department｜12分｜关键错误：待专家确认是否维度0分/总分封顶
mdt.trigger｜trigger｜11分｜关键错误：待专家确认是否维度0分/总分封顶
mdt.question｜question｜11分｜关键错误：待专家确认是否维度0分/总分封顶
mdt.evidence｜evidence｜11分｜关键错误：待专家确认是否维度0分/总分封顶
treatment.immediate｜immediate｜13分｜关键错误：待专家确认是否维度0分/总分封顶
treatment.etiologic｜etiologic｜13分｜关键错误：待专家确认是否维度0分/总分封顶
treatment.definitive｜definitive｜12分｜关键错误：待专家确认是否维度0分/总分封顶
treatment.perioperative｜perioperative｜12分｜关键错误：待专家确认是否维度0分/总分封顶</x:v>
      </x:c>
      <x:c r="X14" s="4" t="str">
        <x:v>保留原始P001–P012详细病史；仅进行结构化排版，未作训练性扩写。</x:v>
      </x:c>
      <x:c r="Y14" s="4" t="str">
        <x:v>病例尚未完成医学专家审核；16条模拟补充事实待确认；忽略蛋白尿、畸形红细胞或RBC管型；肾功能恶化时未触发肾内科安全网</x:v>
      </x:c>
      <x:c r="Z14" s="4" t="str">
        <x:v>儿科/儿童肾内科；肾内科</x:v>
      </x:c>
      <x:c r="AA14" s="4" t="str">
        <x:v>待专家确认</x:v>
      </x:c>
      <x:c r="AB14" s="4" t="str">
        <x:v>核心内容来自原始上传工作簿；模拟事实仍需专家确认。</x:v>
      </x:c>
    </x:row>
    <x:row r="15" ht="132" customHeight="1">
      <x:c r="A15" s="4" t="str">
        <x:v>P012</x:v>
      </x:c>
      <x:c r="B15" s="4" t="str">
        <x:v>P012</x:v>
      </x:c>
      <x:c r="C15" s="4" t="str">
        <x:v>21</x:v>
      </x:c>
      <x:c r="D15" s="4" t="str">
        <x:v>男</x:v>
      </x:c>
      <x:c r="E15" s="4" t="str">
        <x:v>原始病例主表及原始模拟事实</x:v>
      </x:c>
      <x:c r="F15" s="4" t="str">
        <x:v>反复小便变红伴尿泡沫增多半年余，加重半月</x:v>
      </x:c>
      <x:c r="G15" s="4" t="str">
        <x:v>反复小便变红伴尿泡沫增多半年余，加重半月</x:v>
      </x:c>
      <x:c r="H15" s="4" t="str">
        <x:v>患者因“反复小便变红伴尿泡沫增多半年余，加重半月”就诊。血尿类型及定位线索：肉眼/镜下血尿合并明显蛋白尿。现病史关键阳性信息：肉眼/镜下血尿合并明显蛋白尿；感冒后反复出现，不按起始/终末定位；常为全程尿色异常；可呈茶色、淡红或肉眼血尿，伴泡沫增多；无血块；无尿痛和肾绞痛；无典型腰痛；无尿频尿急尿痛；与感冒/上呼吸道感染相关，可无持续发热；泡沫尿、尿蛋白3+、24小时尿蛋白2.4g升至4.7g、畸形红细胞27000，强烈提示肾小球来源。关键阴性信息：原始资料未单列关键阴性病史，需根据问诊继续完善。</x:v>
      </x:c>
      <x:c r="I15" s="4" t="str">
        <x:v>肉眼/镜下血尿合并明显蛋白尿；感冒后反复出现，不按起始/终末定位；常为全程尿色异常；可呈茶色、淡红或肉眼血尿，伴泡沫增多；无血块；无尿痛和肾绞痛；无典型腰痛；无尿频尿急尿痛；与感冒/上呼吸道感染相关，可无持续发热；泡沫尿、尿蛋白3+、24小时尿蛋白2.4g升至4.7g、畸形红细胞27000，强烈提示肾小球来源</x:v>
      </x:c>
      <x:c r="J15" s="4" t="str">
        <x:v>原始资料未单列关键阴性病史；需根据现病史继续追问。</x:v>
      </x:c>
      <x:c r="K15" s="4" t="str">
        <x:v>既往体健；结石史：未诉/否认明确结石史；尿路感染史：与感冒/上呼吸道感染相关，可无持续发热；外伤/泌尿操作史：未诉/否认外伤；肿瘤史：未诉/否认肿瘤史</x:v>
      </x:c>
      <x:c r="L15" s="4" t="str">
        <x:v>我没有长期服药</x:v>
      </x:c>
      <x:c r="M15" s="4" t="str">
        <x:v>未诉/需主动询问；未诉/需主动询问；无</x:v>
      </x:c>
      <x:c r="N15" s="4" t="str">
        <x:v>原始资料未记录明确家族性血尿、遗传性肾病或泌尿系肿瘤史，需主动询问。</x:v>
      </x:c>
      <x:c r="O15" s="4" t="str">
        <x:v>我以前没有做过手术。；我以前没有输过血。；我没有已知药物或食物过敏。；以前没有做过导尿、膀胱镜等泌尿操作。</x:v>
      </x:c>
      <x:c r="P15" s="4" t="str">
        <x:v>不适用。</x:v>
      </x:c>
      <x:c r="Q15" s="4" t="str">
        <x:v>IgA肾病</x:v>
      </x:c>
      <x:c r="R15" s="4" t="str">
        <x:v>肾小球疾病/IgA肾病</x:v>
      </x:c>
      <x:c r="S15" s="4" t="str">
        <x:v>感染后肾小球肾炎；薄基底膜肾病；Alport综合征；狼疮性肾炎</x:v>
      </x:c>
      <x:c r="T15" s="4" t="str">
        <x:v>尿沉渣镜检（基础必开）；尿红细胞形态/相差显微镜（场景必开）；尿蛋白定性/尿蛋白肌酐比（场景必开）；肾功能/eGFR（基础必开）；补体C3/C4（场景必开）；肾活检病理（场景必开）</x:v>
      </x:c>
      <x:c r="U15" s="4" t="str">
        <x:v>评估生命体征、出血、尿潴留、感染、AKI
评估血压、尿量、水肿、肾功能、电解质和尿蛋白；出现AKI、严重高血压、肺水肿或少尿时紧急肾内科处理。</x:v>
      </x:c>
      <x:c r="V15" s="4" t="str">
        <x:v>待专家确认
由肾内科结合尿沉渣红细胞形态、蛋白定量、免疫学和必要时肾活检明确病理类型，实施支持治疗和病因特异治疗。</x:v>
      </x:c>
      <x:c r="W15" s="4" t="str">
        <x:v>history.fever_chills｜fever_chills｜4分｜关键错误：待专家确认是否维度0分/总分封顶
risk.glomerular_features｜glomerular_features｜10分｜关键错误：待专家确认是否维度0分/总分封顶
risk.recent_uri｜recent_uri｜10分｜关键错误：待专家确认是否维度0分/总分封顶
risk.family_history｜family_history｜10分｜关键错误：待专家确认是否维度0分/总分封顶
risk.bleeding_tendency｜bleeding_tendency｜10分｜关键错误：待专家确认是否维度0分/总分封顶
exam.temperature｜体温｜12分｜关键错误：待专家确认是否维度0分/总分封顶
exam.blood_pressure｜血压｜12分｜关键错误：待专家确认是否维度0分/总分封顶
exam.targeted｜病例针对性查体｜11分｜关键错误：待专家确认是否维度0分/总分封顶
mdt.department｜department｜12分｜关键错误：待专家确认是否维度0分/总分封顶
mdt.trigger｜trigger｜11分｜关键错误：待专家确认是否维度0分/总分封顶
mdt.question｜question｜11分｜关键错误：待专家确认是否维度0分/总分封顶
mdt.evidence｜evidence｜11分｜关键错误：待专家确认是否维度0分/总分封顶
treatment.immediate｜immediate｜13分｜关键错误：待专家确认是否维度0分/总分封顶
treatment.etiologic｜etiologic｜13分｜关键错误：待专家确认是否维度0分/总分封顶
treatment.definitive｜definitive｜12分｜关键错误：待专家确认是否维度0分/总分封顶
treatment.perioperative｜perioperative｜12分｜关键错误：待专家确认是否维度0分/总分封顶</x:v>
      </x:c>
      <x:c r="X15" s="4" t="str">
        <x:v>保留原始P001–P012详细病史；仅进行结构化排版，未作训练性扩写。</x:v>
      </x:c>
      <x:c r="Y15" s="4" t="str">
        <x:v>病例尚未完成医学专家审核；19条模拟补充事实待确认；忽略蛋白尿、畸形红细胞或RBC管型；肾功能恶化时未触发肾内科安全网</x:v>
      </x:c>
      <x:c r="Z15" s="4" t="str">
        <x:v>肾内科</x:v>
      </x:c>
      <x:c r="AA15" s="4" t="str">
        <x:v>待专家确认</x:v>
      </x:c>
      <x:c r="AB15" s="4" t="str">
        <x:v>核心内容来自原始上传工作簿；模拟事实仍需专家确认。</x:v>
      </x:c>
    </x:row>
    <x:row r="16" ht="132" customHeight="1">
      <x:c r="A16" s="4" t="str">
        <x:v>P013</x:v>
      </x:c>
      <x:c r="B16" s="4" t="str">
        <x:v>HX-ADD-001</x:v>
      </x:c>
      <x:c r="C16" s="4" t="str">
        <x:v>68</x:v>
      </x:c>
      <x:c r="D16" s="4" t="str">
        <x:v>男</x:v>
      </x:c>
      <x:c r="E16" s="4" t="str">
        <x:v>原始病例事实 + 训练模拟扩写</x:v>
      </x:c>
      <x:c r="F16" s="4" t="str">
        <x:v>医生，我这两个月断断续续尿血，但一点也不疼，会不会是哪里长东西了？</x:v>
      </x:c>
      <x:c r="G16" s="4" t="str">
        <x:v>间断肉眼血尿2个月</x:v>
      </x:c>
      <x:c r="H16" s="4" t="str">
        <x:v>患者2个月前无明显诱因首次发现尿液呈洗肉水样，整次排尿均发红，偶见少量米粒至黄豆大小血块，无尿痛。此后约每1～2周发作1次，每次持续半天至1天后自行转清，近2周发作频率增加。无尿频、尿急、排尿困难，无腰腹绞痛、发热寒战，无泡沫尿及眼睑或下肢水肿。未因血尿自行停药或使用抗生素。</x:v>
      </x:c>
      <x:c r="I16" s="4" t="str">
        <x:v>肉眼血尿；全程血尿；洗肉水样/暗红；少量小血块；无痛性；否；否；尿频否；尿急否；尿痛否；排尿困难否；泡沫尿否；水肿否</x:v>
      </x:c>
      <x:c r="J16" s="4" t="str">
        <x:v>原始资料未单列关键阴性病史；需根据现病史继续追问。</x:v>
      </x:c>
      <x:c r="K16" s="4" t="str">
        <x:v>有高血压病史，平时口服氨氯地平，血压总体平稳。否认糖尿病、冠心病、脑卒中、慢性肝病、结核病史；既往无明确泌尿系结石、反复尿路感染、泌尿系外伤或导尿/膀胱镜操作史，无肿瘤及放化疗史。既往无手术、输血史，否认已知药物和食物过敏。</x:v>
      </x:c>
      <x:c r="L16" s="4" t="str">
        <x:v>氨氯地平规律服用；否认华法林、利伐沙班等抗凝药及阿司匹林、氯吡格雷等抗血小板药。</x:v>
      </x:c>
      <x:c r="M16" s="4" t="str">
        <x:v>既往吸烟约40包年，5年前戒烟；曾从事染料/芳香胺相关工作30余年，职业暴露明确。平时不饮酒。</x:v>
      </x:c>
      <x:c r="N16" s="4" t="str">
        <x:v>否认家族中有泌尿系统肿瘤、反复血尿或遗传性肾病。</x:v>
      </x:c>
      <x:c r="O16" s="4" t="str">
        <x:v>无已知药物或食物过敏；既往手术、输血及泌尿操作信息已在详细既往史中说明。</x:v>
      </x:c>
      <x:c r="P16" s="4" t="str">
        <x:v>不适用。</x:v>
      </x:c>
      <x:c r="Q16" s="4" t="str">
        <x:v>膀胱尿路上皮癌</x:v>
      </x:c>
      <x:c r="R16" s="4" t="str">
        <x:v>泌尿系肿瘤/膀胱尿路上皮癌</x:v>
      </x:c>
      <x:c r="S16" s="4" t="str">
        <x:v>尿路感染；膀胱结石；上尿路尿路上皮癌；良性前列腺增生相关出血</x:v>
      </x:c>
      <x:c r="T16" s="4" t="str">
        <x:v>尿常规（基础必开）；尿沉渣镜检（基础必开）；尿脱落细胞学（场景必开）；肾功能/eGFR（基础必开）；CTU评估上尿路（场景必开）；膀胱镜（场景必开）</x:v>
      </x:c>
      <x:c r="U16" s="4" t="str">
        <x:v>评估生命体征、出血、尿潴留、感染、AKI
评估出血程度、贫血、血块尿潴留和肾功能；尿潴留时导尿冲洗，持续活动性出血时泌尿外科急诊处理。</x:v>
      </x:c>
      <x:c r="V16" s="4" t="str">
        <x:v>待专家确认
完成膀胱镜/输尿管镜或影像定位并取得病理，结合分期和患者状况制定内镜切除、根治性手术或系统治疗。</x:v>
      </x:c>
      <x:c r="W16" s="4" t="str">
        <x:v>history.fever_chills｜fever_chills｜4分｜关键错误：待专家确认是否维度0分/总分封顶
risk.smoking｜smoking｜8分｜关键错误：待专家确认是否维度0分/总分封顶
risk.occupation_exposure｜occupation_exposure｜8分｜关键错误：待专家确认是否维度0分/总分封顶
risk.tumor_history｜tumor_history｜8分｜关键错误：待专家确认是否维度0分/总分封顶
risk.anticoagulant｜anticoagulant｜8分｜关键错误：待专家确认是否维度0分/总分封顶
risk.antiplatelet｜antiplatelet｜8分｜关键错误：待专家确认是否维度0分/总分封顶
exam.temperature｜体温｜12分｜关键错误：待专家确认是否维度0分/总分封顶
exam.blood_pressure｜血压｜12分｜关键错误：待专家确认是否维度0分/总分封顶
exam.targeted｜病例针对性查体｜11分｜关键错误：待专家确认是否维度0分/总分封顶
mdt.department｜department｜12分｜关键错误：待专家确认是否维度0分/总分封顶
mdt.trigger｜trigger｜11分｜关键错误：待专家确认是否维度0分/总分封顶
mdt.question｜question｜11分｜关键错误：待专家确认是否维度0分/总分封顶
mdt.evidence｜evidence｜11分｜关键错误：待专家确认是否维度0分/总分封顶
treatment.immediate｜immediate｜13分｜关键错误：待专家确认是否维度0分/总分封顶
treatment.etiologic｜etiologic｜13分｜关键错误：待专家确认是否维度0分/总分封顶
treatment.definitive｜definitive｜12分｜关键错误：待专家确认是否维度0分/总分封顶
treatment.perioperative｜perioperative｜12分｜关键错误：待专家确认是否维度0分/总分封顶</x:v>
      </x:c>
      <x:c r="X16" s="4" t="str">
        <x:v>在原始症状和危险因素基础上，补充发作频率、病程变化、就诊/用药经过及系统性阴性病史。</x:v>
      </x:c>
      <x:c r="Y16" s="4" t="str">
        <x:v>病例尚未完成医学专家审核；13条模拟补充事实待确认；未取得病理和分期即实施确定性肿瘤治疗；血块尿潴留或严重出血未处理</x:v>
      </x:c>
      <x:c r="Z16" s="4" t="str">
        <x:v>泌尿外科</x:v>
      </x:c>
      <x:c r="AA16" s="4" t="str">
        <x:v>待专家确认</x:v>
      </x:c>
      <x:c r="AB16" s="4" t="str">
        <x:v>症状方向、诊断、危险因素和已知病史来自原始工作簿；病程进展、就诊经过及部分阴性史为训练模拟扩写，必须经医学专家确认后用于标准答案。</x:v>
      </x:c>
    </x:row>
    <x:row r="17" ht="132" customHeight="1">
      <x:c r="A17" s="4" t="str">
        <x:v>P014</x:v>
      </x:c>
      <x:c r="B17" s="4" t="str">
        <x:v>HX-ADD-002</x:v>
      </x:c>
      <x:c r="C17" s="4" t="str">
        <x:v>72</x:v>
      </x:c>
      <x:c r="D17" s="4" t="str">
        <x:v>女</x:v>
      </x:c>
      <x:c r="E17" s="4" t="str">
        <x:v>原始病例事实 + 训练模拟扩写</x:v>
      </x:c>
      <x:c r="F17" s="4" t="str">
        <x:v>医生，我这半年老是尿频、尿急，有时候尿里还有血，吃消炎药好一点又会犯。</x:v>
      </x:c>
      <x:c r="G17" s="4" t="str">
        <x:v>反复尿频伴血尿半年</x:v>
      </x:c>
      <x:c r="H17" s="4" t="str">
        <x:v>患者半年前开始反复出现尿频、尿急和轻度尿痛，间歇伴尿液由淡红转暗红，多为全程血尿，无明显血块。每次被当作“尿路感染”口服抗菌药后刺激症状可暂时减轻，但停药后数周再次出现，血尿并未完全消失。近1个月发作更频繁，夜间排尿次数增加。无明显腰痛、肾绞痛、发热寒战及排尿中断，无泡沫尿、水肿。</x:v>
      </x:c>
      <x:c r="I17" s="4" t="str">
        <x:v>肉眼血尿；全程血尿；淡红至暗红；轻度尿痛；否；否；尿频是；尿急是；尿痛轻度；排尿困难否；泡沫尿否；水肿否</x:v>
      </x:c>
      <x:c r="J17" s="4" t="str">
        <x:v>无明显血块</x:v>
      </x:c>
      <x:c r="K17" s="4" t="str">
        <x:v>有2型糖尿病病史，口服二甲双胍，平时血糖监测不规律。既往多次按尿路感染治疗，但缺少完整尿培养资料；否认泌尿系结石、外伤、导尿或膀胱镜操作史，否认肿瘤、放疗或化疗史。无高血压、冠心病、脑卒中、肝病及结核病史。既往无手术、输血史，无已知药物或食物过敏。</x:v>
      </x:c>
      <x:c r="L17" s="4" t="str">
        <x:v>二甲双胍；既往发作时曾短程使用抗菌药，具体药名及疗程需核实。否认抗凝、抗血小板药。</x:v>
      </x:c>
      <x:c r="M17" s="4" t="str">
        <x:v>不吸烟，不饮酒，无明确染料、芳香胺或橡胶工业暴露。</x:v>
      </x:c>
      <x:c r="N17" s="4" t="str">
        <x:v>家族中无明确泌尿系肿瘤、遗传性肾病或类似反复血尿者。</x:v>
      </x:c>
      <x:c r="O17" s="4" t="str">
        <x:v>无已知药物或食物过敏；既往手术、输血及泌尿操作信息已在详细既往史中说明。</x:v>
      </x:c>
      <x:c r="P17" s="4" t="str">
        <x:v>已绝经多年，近期无阴道流血；本次尿色异常并非月经或妇科出血污染。目前无妊娠可能。</x:v>
      </x:c>
      <x:c r="Q17" s="4" t="str">
        <x:v>膀胱癌误诊为反复尿路感染</x:v>
      </x:c>
      <x:c r="R17" s="4" t="str">
        <x:v>泌尿系肿瘤/膀胱癌/感染样表现</x:v>
      </x:c>
      <x:c r="S17" s="4" t="str">
        <x:v>尿路感染；膀胱结石；上尿路尿路上皮癌；良性前列腺增生相关出血</x:v>
      </x:c>
      <x:c r="T17" s="4" t="str">
        <x:v>尿常规（基础必开）；尿沉渣镜检（基础必开）；尿脱落细胞学（场景必开）；肾功能/eGFR（基础必开）；CTU评估上尿路（场景必开）；膀胱镜（场景必开）</x:v>
      </x:c>
      <x:c r="U17" s="4" t="str">
        <x:v>评估生命体征、出血、尿潴留、感染、AKI
评估出血程度、贫血、血块尿潴留和肾功能；尿潴留时导尿冲洗，持续活动性出血时泌尿外科急诊处理。</x:v>
      </x:c>
      <x:c r="V17" s="4" t="str">
        <x:v>待专家确认
完成膀胱镜/输尿管镜或影像定位并取得病理，结合分期和患者状况制定内镜切除、根治性手术或系统治疗。</x:v>
      </x:c>
      <x:c r="W17" s="4" t="str">
        <x:v>history.fever_chills｜fever_chills｜4分｜关键错误：待专家确认是否维度0分/总分封顶
risk.smoking｜smoking｜7分｜关键错误：待专家确认是否维度0分/总分封顶
risk.occupation_exposure｜occupation_exposure｜7分｜关键错误：待专家确认是否维度0分/总分封顶
risk.tumor_history｜tumor_history｜7分｜关键错误：待专家确认是否维度0分/总分封顶
risk.anticoagulant｜anticoagulant｜7分｜关键错误：待专家确认是否维度0分/总分封顶
risk.antiplatelet｜antiplatelet｜6分｜关键错误：待专家确认是否维度0分/总分封顶
risk.gynecologic_contamination｜gynecologic_contamination｜6分｜关键错误：待专家确认是否维度0分/总分封顶
exam.temperature｜体温｜12分｜关键错误：待专家确认是否维度0分/总分封顶
exam.blood_pressure｜血压｜12分｜关键错误：待专家确认是否维度0分/总分封顶
exam.targeted｜病例针对性查体｜11分｜关键错误：待专家确认是否维度0分/总分封顶
mdt.department｜department｜12分｜关键错误：待专家确认是否维度0分/总分封顶
mdt.trigger｜trigger｜11分｜关键错误：待专家确认是否维度0分/总分封顶
mdt.question｜question｜11分｜关键错误：待专家确认是否维度0分/总分封顶
mdt.evidence｜evidence｜11分｜关键错误：待专家确认是否维度0分/总分封顶
treatment.immediate｜immediate｜13分｜关键错误：待专家确认是否维度0分/总分封顶
treatment.etiologic｜etiologic｜13分｜关键错误：待专家确认是否维度0分/总分封顶
treatment.definitive｜definitive｜12分｜关键错误：待专家确认是否维度0分/总分封顶
treatment.perioperative｜perioperative｜12分｜关键错误：待专家确认是否维度0分/总分封顶</x:v>
      </x:c>
      <x:c r="X17" s="4" t="str">
        <x:v>增加既往反复按UTI治疗但血尿持续的时间线，并补足绝经及妇科来源排除信息。</x:v>
      </x:c>
      <x:c r="Y17" s="4" t="str">
        <x:v>病例尚未完成医学专家审核；15条模拟补充事实待确认；未取得病理和分期即实施确定性肿瘤治疗；血块尿潴留或严重出血未处理</x:v>
      </x:c>
      <x:c r="Z17" s="4" t="str">
        <x:v>泌尿外科</x:v>
      </x:c>
      <x:c r="AA17" s="4" t="str">
        <x:v>待专家确认</x:v>
      </x:c>
      <x:c r="AB17" s="4" t="str">
        <x:v>症状方向、诊断、危险因素和已知病史来自原始工作簿；病程进展、就诊经过及部分阴性史为训练模拟扩写，必须经医学专家确认后用于标准答案。</x:v>
      </x:c>
    </x:row>
    <x:row r="18" ht="132" customHeight="1">
      <x:c r="A18" s="4" t="str">
        <x:v>P015</x:v>
      </x:c>
      <x:c r="B18" s="4" t="str">
        <x:v>HX-ADD-003</x:v>
      </x:c>
      <x:c r="C18" s="4" t="str">
        <x:v>64</x:v>
      </x:c>
      <x:c r="D18" s="4" t="str">
        <x:v>男</x:v>
      </x:c>
      <x:c r="E18" s="4" t="str">
        <x:v>原始病例事实 + 训练模拟扩写</x:v>
      </x:c>
      <x:c r="F18" s="4" t="str">
        <x:v>医生，我左边腰一直有点胀，最近尿是暗红色的，有时还能看到细长的血块。</x:v>
      </x:c>
      <x:c r="G18" s="4" t="str">
        <x:v>左腰隐痛伴肉眼血尿1个月</x:v>
      </x:c>
      <x:c r="H18" s="4" t="str">
        <x:v>患者1个月前开始出现左腰部持续性隐胀不适，疼痛程度轻至中等，不呈阵发性绞痛，也不向腹股沟放射。同期发现全程暗红色肉眼血尿，间断出现，偶见细条索样血块；血尿与活动、体位关系不明显。无尿频、尿急、尿痛及排尿困难，无发热寒战、恶心呕吐。无泡沫尿、水肿或近期上呼吸道感染后茶色尿。</x:v>
      </x:c>
      <x:c r="I18" s="4" t="str">
        <x:v>肉眼血尿；全程血尿；暗红；偶有条索状血块；隐痛；否；是；尿频否；尿急否；尿痛否；排尿困难否；泡沫尿否；水肿否</x:v>
      </x:c>
      <x:c r="J18" s="4" t="str">
        <x:v>原始资料未单列关键阴性病史；需根据现病史继续追问。</x:v>
      </x:c>
      <x:c r="K18" s="4" t="str">
        <x:v>有高血压病史，长期口服缬沙坦。否认糖尿病、冠心病、脑卒中、慢性肝病、结核；否认既往泌尿系结石、反复尿路感染、泌尿系统外伤及导尿/膀胱镜等操作史。无既往肿瘤及放化疗史，无手术、输血史，无已知药物和食物过敏。</x:v>
      </x:c>
      <x:c r="L18" s="4" t="str">
        <x:v>缬沙坦；否认抗凝及抗血小板药物。</x:v>
      </x:c>
      <x:c r="M18" s="4" t="str">
        <x:v>吸烟约30包年；曾从事皮革或染料相关工作约20年，有潜在芳香胺接触。平时不饮酒。</x:v>
      </x:c>
      <x:c r="N18" s="4" t="str">
        <x:v>否认家族性血尿、遗传性肾病及泌尿系统肿瘤家族史。</x:v>
      </x:c>
      <x:c r="O18" s="4" t="str">
        <x:v>无已知药物或食物过敏；既往手术、输血及泌尿操作信息已在详细既往史中说明。</x:v>
      </x:c>
      <x:c r="P18" s="4" t="str">
        <x:v>不适用。</x:v>
      </x:c>
      <x:c r="Q18" s="4" t="str">
        <x:v>肾盂癌/上尿路尿路上皮癌</x:v>
      </x:c>
      <x:c r="R18" s="4" t="str">
        <x:v>泌尿系肿瘤/上尿路尿路上皮癌</x:v>
      </x:c>
      <x:c r="S18" s="4" t="str">
        <x:v>肾细胞癌；输尿管结石；血块或炎症性狭窄；膀胱尿路上皮癌</x:v>
      </x:c>
      <x:c r="T18" s="4" t="str">
        <x:v>尿常规（基础必开）；尿沉渣镜检（基础必开）；尿脱落细胞学（场景必开）；肾功能/eGFR（基础必开）；CTU评估上尿路（场景必开）；膀胱镜（场景必开）</x:v>
      </x:c>
      <x:c r="U18" s="4" t="str">
        <x:v>评估生命体征、出血、尿潴留、感染、AKI
评估出血程度、贫血、血块尿潴留和肾功能；尿潴留时导尿冲洗，持续活动性出血时泌尿外科急诊处理。</x:v>
      </x:c>
      <x:c r="V18" s="4" t="str">
        <x:v>待专家确认
完成膀胱镜/输尿管镜或影像定位并取得病理，结合分期和患者状况制定内镜切除、根治性手术或系统治疗。</x:v>
      </x:c>
      <x:c r="W18" s="4" t="str">
        <x:v>history.fever_chills｜fever_chills｜4分｜关键错误：待专家确认是否维度0分/总分封顶
risk.smoking｜smoking｜8分｜关键错误：待专家确认是否维度0分/总分封顶
risk.occupation_exposure｜occupation_exposure｜8分｜关键错误：待专家确认是否维度0分/总分封顶
risk.tumor_history｜tumor_history｜8分｜关键错误：待专家确认是否维度0分/总分封顶
risk.anticoagulant｜anticoagulant｜8分｜关键错误：待专家确认是否维度0分/总分封顶
risk.antiplatelet｜antiplatelet｜8分｜关键错误：待专家确认是否维度0分/总分封顶
exam.temperature｜体温｜12分｜关键错误：待专家确认是否维度0分/总分封顶
exam.blood_pressure｜血压｜12分｜关键错误：待专家确认是否维度0分/总分封顶
exam.targeted｜病例针对性查体｜11分｜关键错误：待专家确认是否维度0分/总分封顶
mdt.department｜department｜12分｜关键错误：待专家确认是否维度0分/总分封顶
mdt.trigger｜trigger｜11分｜关键错误：待专家确认是否维度0分/总分封顶
mdt.question｜question｜11分｜关键错误：待专家确认是否维度0分/总分封顶
mdt.evidence｜evidence｜11分｜关键错误：待专家确认是否维度0分/总分封顶
treatment.immediate｜immediate｜13分｜关键错误：待专家确认是否维度0分/总分封顶
treatment.etiologic｜etiologic｜13分｜关键错误：待专家确认是否维度0分/总分封顶
treatment.definitive｜definitive｜12分｜关键错误：待专家确认是否维度0分/总分封顶
treatment.perioperative｜perioperative｜12分｜关键错误：待专家确认是否维度0分/总分封顶</x:v>
      </x:c>
      <x:c r="X18" s="4" t="str">
        <x:v>将上尿路来源线索改写为连续病程，补足疼痛性质、放射特点和感染/肾小球阴性线索。</x:v>
      </x:c>
      <x:c r="Y18" s="4" t="str">
        <x:v>病例尚未完成医学专家审核；13条模拟补充事实待确认；未取得病理和分期即实施确定性肿瘤治疗；血块尿潴留或严重出血未处理</x:v>
      </x:c>
      <x:c r="Z18" s="4" t="str">
        <x:v>泌尿外科</x:v>
      </x:c>
      <x:c r="AA18" s="4" t="str">
        <x:v>待专家确认</x:v>
      </x:c>
      <x:c r="AB18" s="4" t="str">
        <x:v>症状方向、诊断、危险因素和已知病史来自原始工作簿；病程进展、就诊经过及部分阴性史为训练模拟扩写，必须经医学专家确认后用于标准答案。</x:v>
      </x:c>
    </x:row>
    <x:row r="19" ht="132" customHeight="1">
      <x:c r="A19" s="4" t="str">
        <x:v>P016</x:v>
      </x:c>
      <x:c r="B19" s="4" t="str">
        <x:v>HX-ADD-004</x:v>
      </x:c>
      <x:c r="C19" s="4" t="str">
        <x:v>58</x:v>
      </x:c>
      <x:c r="D19" s="4" t="str">
        <x:v>男</x:v>
      </x:c>
      <x:c r="E19" s="4" t="str">
        <x:v>原始病例事实 + 训练模拟扩写</x:v>
      </x:c>
      <x:c r="F19" s="4" t="str">
        <x:v>我这三周尿一直断断续续发红，但不痛，右腰偶尔有点胀。</x:v>
      </x:c>
      <x:c r="G19" s="4" t="str">
        <x:v>无痛性肉眼血尿3周</x:v>
      </x:c>
      <x:c r="H19" s="4" t="str">
        <x:v>患者3周前首次发现全程暗红色肉眼血尿，无明显诱因，无明显血块，间歇出现，休息和饮水后可变淡但未完全消失。伴右侧腰部轻度胀感、乏力和食欲下降，不呈绞痛。无排尿烧灼感、尿频尿急、排尿困难，无发热寒战。未诉明显泡沫尿、水肿；近期无外伤、剧烈运动或泌尿操作。</x:v>
      </x:c>
      <x:c r="I19" s="4" t="str">
        <x:v>肉眼血尿；全程血尿；暗红；无痛或胀痛；否；轻度；尿频否；尿急否；尿痛否；排尿困难否；泡沫尿否；水肿否；右腰胀感；乏力；食欲下降</x:v>
      </x:c>
      <x:c r="J19" s="4" t="str">
        <x:v>无明显血块</x:v>
      </x:c>
      <x:c r="K19" s="4" t="str">
        <x:v>有高血压病史，口服降压药，具体名称及剂量需核实。否认糖尿病、冠心病、脑卒中、慢性肝病、结核病；既往无泌尿系结石、反复感染、外伤或泌尿操作史，无肿瘤及放化疗史。无手术、输血史，无已知药物或食物过敏。</x:v>
      </x:c>
      <x:c r="L19" s="4" t="str">
        <x:v>长期降压药；否认抗凝和抗血小板药。</x:v>
      </x:c>
      <x:c r="M19" s="4" t="str">
        <x:v>吸烟约20包年，无明确化工、染料或重金属职业暴露；平时不饮酒。</x:v>
      </x:c>
      <x:c r="N19" s="4" t="str">
        <x:v>否认肾癌、遗传性肾病或类似血尿家族史。</x:v>
      </x:c>
      <x:c r="O19" s="4" t="str">
        <x:v>无已知药物或食物过敏；既往手术、输血及泌尿操作信息已在详细既往史中说明。</x:v>
      </x:c>
      <x:c r="P19" s="4" t="str">
        <x:v>不适用。</x:v>
      </x:c>
      <x:c r="Q19" s="4" t="str">
        <x:v>肾细胞癌</x:v>
      </x:c>
      <x:c r="R19" s="4" t="str">
        <x:v>泌尿系肿瘤/肾细胞癌</x:v>
      </x:c>
      <x:c r="S19" s="4" t="str">
        <x:v>上尿路尿路上皮癌；复杂性肾囊肿；肾血管平滑肌脂肪瘤；肾结石</x:v>
      </x:c>
      <x:c r="T19" s="4" t="str">
        <x:v>尿常规（基础必开）；尿沉渣镜检（基础必开）；尿脱落细胞学（场景必开）；肾功能/eGFR（基础必开）；CTU评估上尿路（场景必开）；膀胱镜（场景必开）</x:v>
      </x:c>
      <x:c r="U19" s="4" t="str">
        <x:v>评估生命体征、出血、尿潴留、感染、AKI
评估出血程度、贫血、血块尿潴留和肾功能；尿潴留时导尿冲洗，持续活动性出血时泌尿外科急诊处理。</x:v>
      </x:c>
      <x:c r="V19" s="4" t="str">
        <x:v>待专家确认
完成膀胱镜/输尿管镜或影像定位并取得病理，结合分期和患者状况制定内镜切除、根治性手术或系统治疗。</x:v>
      </x:c>
      <x:c r="W19" s="4" t="str">
        <x:v>history.fever_chills｜fever_chills｜4分｜关键错误：待专家确认是否维度0分/总分封顶
risk.smoking｜smoking｜8分｜关键错误：待专家确认是否维度0分/总分封顶
risk.occupation_exposure｜occupation_exposure｜8分｜关键错误：待专家确认是否维度0分/总分封顶
risk.tumor_history｜tumor_history｜8分｜关键错误：待专家确认是否维度0分/总分封顶
risk.anticoagulant｜anticoagulant｜8分｜关键错误：待专家确认是否维度0分/总分封顶
risk.antiplatelet｜antiplatelet｜8分｜关键错误：待专家确认是否维度0分/总分封顶
exam.temperature｜体温｜12分｜关键错误：待专家确认是否维度0分/总分封顶
exam.blood_pressure｜血压｜12分｜关键错误：待专家确认是否维度0分/总分封顶
exam.targeted｜病例针对性查体｜11分｜关键错误：待专家确认是否维度0分/总分封顶
mdt.department｜department｜12分｜关键错误：待专家确认是否维度0分/总分封顶
mdt.trigger｜trigger｜11分｜关键错误：待专家确认是否维度0分/总分封顶
mdt.question｜question｜11分｜关键错误：待专家确认是否维度0分/总分封顶
mdt.evidence｜evidence｜11分｜关键错误：待专家确认是否维度0分/总分封顶
treatment.immediate｜immediate｜13分｜关键错误：待专家确认是否维度0分/总分封顶
treatment.etiologic｜etiologic｜13分｜关键错误：待专家确认是否维度0分/总分封顶
treatment.definitive｜definitive｜12分｜关键错误：待专家确认是否维度0分/总分封顶
treatment.perioperative｜perioperative｜12分｜关键错误：待专家确认是否维度0分/总分封顶</x:v>
      </x:c>
      <x:c r="X19" s="4" t="str">
        <x:v>补充血尿持续性、腰部胀感、外伤/运动/操作史及系统性阴性信息。；按HX-ADD-004原始事实修正为右腰胀感，并恢复乏力、食欲下降</x:v>
      </x:c>
      <x:c r="Y19" s="4" t="str">
        <x:v>病例尚未完成医学专家审核；13条模拟补充事实待确认；未取得病理和分期即实施确定性肿瘤治疗；血块尿潴留或严重出血未处理</x:v>
      </x:c>
      <x:c r="Z19" s="4" t="str">
        <x:v>泌尿外科</x:v>
      </x:c>
      <x:c r="AA19" s="4" t="str">
        <x:v>待专家确认</x:v>
      </x:c>
      <x:c r="AB19" s="4" t="str">
        <x:v>症状方向、诊断、危险因素和已知病史来自原始工作簿；病程进展、就诊经过及部分阴性史为训练模拟扩写，必须经医学专家确认后用于标准答案。</x:v>
      </x:c>
    </x:row>
    <x:row r="20" ht="132" customHeight="1">
      <x:c r="A20" s="4" t="str">
        <x:v>P017</x:v>
      </x:c>
      <x:c r="B20" s="4" t="str">
        <x:v>HX-ADD-005</x:v>
      </x:c>
      <x:c r="C20" s="4" t="str">
        <x:v>76</x:v>
      </x:c>
      <x:c r="D20" s="4" t="str">
        <x:v>男</x:v>
      </x:c>
      <x:c r="E20" s="4" t="str">
        <x:v>原始病例事实 + 训练模拟扩写</x:v>
      </x:c>
      <x:c r="F20" s="4" t="str">
        <x:v>医生，我吃着利伐沙班，这几天尿里突然有血和小血块，我是不是药吃多了？</x:v>
      </x:c>
      <x:c r="G20" s="4" t="str">
        <x:v>服用抗凝药后肉眼血尿5天</x:v>
      </x:c>
      <x:c r="H20" s="4" t="str">
        <x:v>患者5天前无明显诱因出现全程鲜红至暗红色肉眼血尿，间歇可见少量小血块，无明显尿痛、腰痛、发热或排尿困难。血尿发生前未跌倒、撞伤或进行泌尿操作，未自行加量服药。无鼻出血、牙龈出血、黑便等其他明显出血表现。患者担心与抗凝药有关，但尚未自行停用利伐沙班。</x:v>
      </x:c>
      <x:c r="I20" s="4" t="str">
        <x:v>肉眼血尿；全程血尿；鲜红至暗红；有小血块；无痛性；否；否；尿频否；尿急否；尿痛否；排尿困难否；泡沫尿否；水肿否</x:v>
      </x:c>
      <x:c r="J20" s="4" t="str">
        <x:v>原始资料未单列关键阴性病史；需根据现病史继续追问。</x:v>
      </x:c>
      <x:c r="K20" s="4" t="str">
        <x:v>训练设定为因非瓣膜性房颤长期接受抗凝，并服用阿托伐他汀；其余心血管病史需核实。否认糖尿病、脑卒中、肝病、结核；既往无泌尿系结石、反复尿路感染、泌尿操作或肿瘤史。无手术、输血史，无已知药物或食物过敏。</x:v>
      </x:c>
      <x:c r="L20" s="4" t="str">
        <x:v>利伐沙班、阿托伐他汀。否认同时服用阿司匹林或氯吡格雷；具体剂量、末次服药时间、肾功能及是否合并中药/NSAIDs需主动询问。</x:v>
      </x:c>
      <x:c r="M20" s="4" t="str">
        <x:v>既往吸烟约25包年，无明确职业性芳香胺暴露；平时不饮酒。</x:v>
      </x:c>
      <x:c r="N20" s="4" t="str">
        <x:v>否认泌尿系统肿瘤、遗传性出血病或家族性血尿。</x:v>
      </x:c>
      <x:c r="O20" s="4" t="str">
        <x:v>无已知药物或食物过敏；既往手术、输血及泌尿操作信息已在详细既往史中说明。</x:v>
      </x:c>
      <x:c r="P20" s="4" t="str">
        <x:v>不适用。</x:v>
      </x:c>
      <x:c r="Q20" s="4" t="str">
        <x:v>抗凝相关血尿并需排除膀胱肿瘤</x:v>
      </x:c>
      <x:c r="R20" s="4" t="str">
        <x:v>药物/凝血相关/抗凝相关血尿并器质性病变排查</x:v>
      </x:c>
      <x:c r="S20" s="4" t="str">
        <x:v>尿路感染；膀胱结石；上尿路尿路上皮癌；良性前列腺增生相关出血</x:v>
      </x:c>
      <x:c r="T20" s="4" t="str">
        <x:v>尿常规（基础必开）；尿沉渣镜检（基础必开）；血常规（基础必开）；凝血功能（基础/场景）；肾功能/eGFR（基础必开）</x:v>
      </x:c>
      <x:c r="U20" s="4" t="str">
        <x:v>评估生命体征、出血、尿潴留、感染、AKI
评估生命体征、血红蛋白、凝血和肾功能；根据出血严重度处理血块尿潴留。核实抗凝指征并与相关专科共同评估停药或调整，不能自行把血尿归因于抗凝药。</x:v>
      </x:c>
      <x:c r="V20" s="4" t="str">
        <x:v>待专家确认
完成风险分层的泌尿系器质性病变评估；治疗明确病因。围操作期抗栓方案由泌尿外科、心内科/神经内科、血液科和麻醉科共同决定。</x:v>
      </x:c>
      <x:c r="W20" s="4" t="str">
        <x:v>history.fever_chills｜fever_chills｜4分｜关键错误：待专家确认是否维度0分/总分封顶
risk.anticoagulant｜anticoagulant｜10分｜关键错误：待专家确认是否维度0分/总分封顶
risk.antiplatelet｜antiplatelet｜10分｜关键错误：待专家确认是否维度0分/总分封顶
risk.bleeding_tendency｜bleeding_tendency｜10分｜关键错误：待专家确认是否维度0分/总分封顶
risk.tumor_history｜tumor_history｜10分｜关键错误：待专家确认是否维度0分/总分封顶
exam.temperature｜体温｜12分｜关键错误：待专家确认是否维度0分/总分封顶
exam.blood_pressure｜血压｜12分｜关键错误：待专家确认是否维度0分/总分封顶
exam.targeted｜病例针对性查体｜11分｜关键错误：待专家确认是否维度0分/总分封顶
mdt.department｜department｜12分｜关键错误：待专家确认是否维度0分/总分封顶
mdt.trigger｜trigger｜11分｜关键错误：待专家确认是否维度0分/总分封顶
mdt.question｜question｜11分｜关键错误：待专家确认是否维度0分/总分封顶
mdt.evidence｜evidence｜11分｜关键错误：待专家确认是否维度0分/总分封顶
treatment.immediate｜immediate｜13分｜关键错误：待专家确认是否维度0分/总分封顶
treatment.etiologic｜etiologic｜13分｜关键错误：待专家确认是否维度0分/总分封顶
treatment.definitive｜definitive｜12分｜关键错误：待专家确认是否维度0分/总分封顶
treatment.perioperative｜perioperative｜12分｜关键错误：待专家确认是否维度0分/总分封顶</x:v>
      </x:c>
      <x:c r="X20" s="4" t="str">
        <x:v>补足其他部位出血、抗凝适应证和自行停药风险；抗凝适应证为训练模拟设定，需专家确认。</x:v>
      </x:c>
      <x:c r="Y20" s="4" t="str">
        <x:v>病例尚未完成医学专家审核；11条模拟补充事实待确认；将抗凝或抗血小板药作为血尿唯一解释；未评估血栓风险即自行停药</x:v>
      </x:c>
      <x:c r="Z20" s="4" t="str">
        <x:v>泌尿外科</x:v>
      </x:c>
      <x:c r="AA20" s="4" t="str">
        <x:v>待专家确认</x:v>
      </x:c>
      <x:c r="AB20" s="4" t="str">
        <x:v>症状方向、诊断、危险因素和已知病史来自原始工作簿；病程进展、就诊经过及部分阴性史为训练模拟扩写，必须经医学专家确认后用于标准答案。</x:v>
      </x:c>
    </x:row>
    <x:row r="21" ht="132" customHeight="1">
      <x:c r="A21" s="4" t="str">
        <x:v>P018</x:v>
      </x:c>
      <x:c r="B21" s="4" t="str">
        <x:v>HX-ADD-006</x:v>
      </x:c>
      <x:c r="C21" s="4" t="str">
        <x:v>24</x:v>
      </x:c>
      <x:c r="D21" s="4" t="str">
        <x:v>女</x:v>
      </x:c>
      <x:c r="E21" s="4" t="str">
        <x:v>原始病例事实 + 训练模拟扩写</x:v>
      </x:c>
      <x:c r="F21" s="4" t="str">
        <x:v>医生，我这两天一小会儿就想尿，尿的时候特别刺痛，最后还有点血。</x:v>
      </x:c>
      <x:c r="G21" s="4" t="str">
        <x:v>尿频尿急尿痛伴血尿2天</x:v>
      </x:c>
      <x:c r="H21" s="4" t="str">
        <x:v>患者2天前开始出现明显尿频、尿急和排尿烧灼痛，排尿末段可见淡红色血尿，尿量每次不多。下腹有轻度坠胀感，无肉眼血块。否认发热寒战、腰背部疼痛、恶心呕吐及排尿困难。饮水后症状稍缓解，尚未自行使用抗菌药。</x:v>
      </x:c>
      <x:c r="I21" s="4" t="str">
        <x:v>肉眼血尿；终末血尿；淡红；无；排尿痛；否；否；尿频是；尿急是；尿痛是；排尿困难否；泡沫尿否；水肿否</x:v>
      </x:c>
      <x:c r="J21" s="4" t="str">
        <x:v>原始资料未单列关键阴性病史；需根据现病史继续追问。</x:v>
      </x:c>
      <x:c r="K21" s="4" t="str">
        <x:v>既往偶有类似下尿路感染发作，均为短程治疗后缓解，具体次数和尿培养结果需核实。否认高血压、糖尿病、肝病、结核病；无泌尿系结石、泌尿操作、肿瘤、手术及输血史。无已知药物或食物过敏。 平时月经规律，无妇科肿瘤或盆腔放疗史；既往无妊娠相关泌尿系统并发症。</x:v>
      </x:c>
      <x:c r="L21" s="4" t="str">
        <x:v>无长期用药；否认抗凝、抗血小板药，发病后未自行使用抗菌药。</x:v>
      </x:c>
      <x:c r="M21" s="4" t="str">
        <x:v>不吸烟、不饮酒，无职业性化学物暴露。</x:v>
      </x:c>
      <x:c r="N21" s="4" t="str">
        <x:v>否认家族性肾病、反复血尿或泌尿系统肿瘤。</x:v>
      </x:c>
      <x:c r="O21" s="4" t="str">
        <x:v>无已知药物或食物过敏；既往手术、输血及泌尿操作信息已在详细既往史中说明。</x:v>
      </x:c>
      <x:c r="P21" s="4" t="str">
        <x:v>月经规律，本次发病不在月经期；无异常阴道流血或分泌物，目前无妊娠可能。</x:v>
      </x:c>
      <x:c r="Q21" s="4" t="str">
        <x:v>急性膀胱炎</x:v>
      </x:c>
      <x:c r="R21" s="4" t="str">
        <x:v>感染/急性膀胱炎</x:v>
      </x:c>
      <x:c r="S21" s="4" t="str">
        <x:v>尿道炎；急性肾盂肾炎；泌尿系结石；月经或阴道出血污染</x:v>
      </x:c>
      <x:c r="T21" s="4" t="str">
        <x:v>尿常规（基础必开）；尿沉渣镜检（基础必开）；中段尿培养+药敏（场景必开）；血常规（基础必开）；CRP/降钙素原（场景必开）；肾功能/eGFR（基础必开）</x:v>
      </x:c>
      <x:c r="U21" s="4" t="str">
        <x:v>评估生命体征、出血、尿潴留、感染、AKI
评估是否系统性感染或脓毒症；规范留取尿培养，必要时血培养，给予经验性抗感染和支持治疗。若合并梗阻，必须同步紧急引流。</x:v>
      </x:c>
      <x:c r="V21" s="4" t="str">
        <x:v>待专家确认
依据培养和药敏调整抗菌药，处理结石、残余尿、糖尿病、导尿等复杂因素；持续血尿需进入完整血尿评估路径。</x:v>
      </x:c>
      <x:c r="W21" s="4" t="str">
        <x:v>history.fever_chills｜fever_chills｜4分｜关键错误：待专家确认是否维度0分/总分封顶
risk.uti_history｜uti_history｜10分｜关键错误：待专家确认是否维度0分/总分封顶
risk.stone_history｜stone_history｜10分｜关键错误：待专家确认是否维度0分/总分封顶
risk.urinary_procedure_history｜urinary_procedure_history｜10分｜关键错误：待专家确认是否维度0分/总分封顶
risk.gynecologic_contamination｜gynecologic_contamination｜10分｜关键错误：待专家确认是否维度0分/总分封顶
exam.temperature｜体温｜12分｜关键错误：待专家确认是否维度0分/总分封顶
exam.blood_pressure｜血压｜12分｜关键错误：待专家确认是否维度0分/总分封顶
exam.targeted｜病例针对性查体｜11分｜关键错误：待专家确认是否维度0分/总分封顶
mdt.department｜department｜12分｜关键错误：待专家确认是否维度0分/总分封顶
mdt.trigger｜trigger｜11分｜关键错误：待专家确认是否维度0分/总分封顶
mdt.question｜question｜11分｜关键错误：待专家确认是否维度0分/总分封顶
mdt.evidence｜evidence｜11分｜关键错误：待专家确认是否维度0分/总分封顶
treatment.immediate｜immediate｜13分｜关键错误：待专家确认是否维度0分/总分封顶
treatment.etiologic｜etiologic｜13分｜关键错误：待专家确认是否维度0分/总分封顶
treatment.definitive｜definitive｜12分｜关键错误：待专家确认是否维度0分/总分封顶
treatment.perioperative｜perioperative｜12分｜关键错误：待专家确认是否维度0分/总分封顶</x:v>
      </x:c>
      <x:c r="X21" s="4" t="str">
        <x:v>补足症状起始顺序、尿量、下腹不适、抗菌药使用和妇科污染排除。</x:v>
      </x:c>
      <x:c r="Y21" s="4" t="str">
        <x:v>病例尚未完成医学专家审核；16条模拟补充事实待确认；脓毒症或感染性梗阻未及时识别；未留取培养即长期盲目用药</x:v>
      </x:c>
      <x:c r="Z21" s="4" t="str">
        <x:v>泌尿外科</x:v>
      </x:c>
      <x:c r="AA21" s="4" t="str">
        <x:v>待专家确认</x:v>
      </x:c>
      <x:c r="AB21" s="4" t="str">
        <x:v>症状方向、诊断、危险因素和已知病史来自原始工作簿；病程进展、就诊经过及部分阴性史为训练模拟扩写，必须经医学专家确认后用于标准答案。</x:v>
      </x:c>
    </x:row>
    <x:row r="22" ht="132" customHeight="1">
      <x:c r="A22" s="4" t="str">
        <x:v>P019</x:v>
      </x:c>
      <x:c r="B22" s="4" t="str">
        <x:v>HX-ADD-007</x:v>
      </x:c>
      <x:c r="C22" s="4" t="str">
        <x:v>35</x:v>
      </x:c>
      <x:c r="D22" s="4" t="str">
        <x:v>女</x:v>
      </x:c>
      <x:c r="E22" s="4" t="str">
        <x:v>原始病例事实 + 训练模拟扩写</x:v>
      </x:c>
      <x:c r="F22" s="4" t="str">
        <x:v>我这三天发高烧、打冷战，腰也很痛，还一直尿频尿痛。</x:v>
      </x:c>
      <x:c r="G22" s="4" t="str">
        <x:v>发热腰痛伴尿频尿痛3天</x:v>
      </x:c>
      <x:c r="H22" s="4" t="str">
        <x:v>患者3天前先出现尿频、尿急、尿痛，随后出现高热和寒战，体温最高约39℃，伴明显一侧腰背部持续痛和全身乏力，尿液外观可正常或略呈淡红。服用退热药后体温可短暂下降，但数小时后再次升高。无明显血块或排尿中断，暂未出现意识改变，但食欲差、饮水减少。</x:v>
      </x:c>
      <x:c r="I22" s="4" t="str">
        <x:v>镜下血尿；全程血尿；淡红或外观不明显；无；腰痛明显；高热寒战；是；尿频是；尿急是；尿痛是；排尿困难否；泡沫尿否；水肿否</x:v>
      </x:c>
      <x:c r="J22" s="4" t="str">
        <x:v>原始资料未单列关键阴性病史；需根据现病史继续追问。</x:v>
      </x:c>
      <x:c r="K22" s="4" t="str">
        <x:v>既往曾有膀胱炎发作，具体培养和耐药史需追问。否认高血压、糖尿病、冠心病、脑卒中、肝病、结核；无泌尿系结石、导尿/膀胱镜操作、肿瘤、手术或输血史。无已知药物或食物过敏。</x:v>
      </x:c>
      <x:c r="L22" s="4" t="str">
        <x:v>发病后自行服用退热药，未规律使用抗菌药；否认长期用药、抗凝及抗血小板药。</x:v>
      </x:c>
      <x:c r="M22" s="4" t="str">
        <x:v>不吸烟、不饮酒，无职业性化学暴露。</x:v>
      </x:c>
      <x:c r="N22" s="4" t="str">
        <x:v>否认遗传性肾病、泌尿系肿瘤和反复感染家族史。</x:v>
      </x:c>
      <x:c r="O22" s="4" t="str">
        <x:v>无已知药物或食物过敏；既往手术、输血及泌尿操作信息已在详细既往史中说明。</x:v>
      </x:c>
      <x:c r="P22" s="4" t="str">
        <x:v>月经规律，本次不在月经期；目前无妊娠可能。</x:v>
      </x:c>
      <x:c r="Q22" s="4" t="str">
        <x:v>急性肾盂肾炎/系统性UTI</x:v>
      </x:c>
      <x:c r="R22" s="4" t="str">
        <x:v>感染/急性肾盂肾炎/系统性UTI</x:v>
      </x:c>
      <x:c r="S22" s="4" t="str">
        <x:v>感染性梗阻结石；急性膀胱炎；肾脓肿；盆腔炎</x:v>
      </x:c>
      <x:c r="T22" s="4" t="str">
        <x:v>尿常规（基础必开）；尿沉渣镜检（基础必开）；中段尿培养+药敏（场景必开）；血常规（基础必开）；CRP/降钙素原（场景必开）；肾功能/eGFR（基础必开）</x:v>
      </x:c>
      <x:c r="U22" s="4" t="str">
        <x:v>评估生命体征、出血、尿潴留、感染、AKI
评估是否系统性感染或脓毒症；规范留取尿培养，必要时血培养，给予经验性抗感染和支持治疗。若合并梗阻，必须同步紧急引流。</x:v>
      </x:c>
      <x:c r="V22" s="4" t="str">
        <x:v>待专家确认
依据培养和药敏调整抗菌药，处理结石、残余尿、糖尿病、导尿等复杂因素；持续血尿需进入完整血尿评估路径。</x:v>
      </x:c>
      <x:c r="W22" s="4" t="str">
        <x:v>history.fever_chills｜fever_chills｜4分｜关键错误：待专家确认是否维度0分/总分封顶
risk.uti_history｜uti_history｜10分｜关键错误：待专家确认是否维度0分/总分封顶
risk.stone_history｜stone_history｜10分｜关键错误：待专家确认是否维度0分/总分封顶
risk.urinary_procedure_history｜urinary_procedure_history｜10分｜关键错误：待专家确认是否维度0分/总分封顶
risk.gynecologic_contamination｜gynecologic_contamination｜10分｜关键错误：待专家确认是否维度0分/总分封顶
exam.temperature｜体温｜12分｜关键错误：待专家确认是否维度0分/总分封顶
exam.blood_pressure｜血压｜12分｜关键错误：待专家确认是否维度0分/总分封顶
exam.targeted｜病例针对性查体｜11分｜关键错误：待专家确认是否维度0分/总分封顶
mdt.department｜department｜12分｜关键错误：待专家确认是否维度0分/总分封顶
mdt.trigger｜trigger｜11分｜关键错误：待专家确认是否维度0分/总分封顶
mdt.question｜question｜11分｜关键错误：待专家确认是否维度0分/总分封顶
mdt.evidence｜evidence｜11分｜关键错误：待专家确认是否维度0分/总分封顶
treatment.immediate｜immediate｜13分｜关键错误：待专家确认是否维度0分/总分封顶
treatment.etiologic｜etiologic｜13分｜关键错误：待专家确认是否维度0分/总分封顶
treatment.definitive｜definitive｜12分｜关键错误：待专家确认是否维度0分/总分封顶
treatment.perioperative｜perioperative｜12分｜关键错误：待专家确认是否维度0分/总分封顶</x:v>
      </x:c>
      <x:c r="X22" s="4" t="str">
        <x:v>增加发热与尿路症状的时间顺序、退热反应、摄入减少和脓毒症筛查线索。</x:v>
      </x:c>
      <x:c r="Y22" s="4" t="str">
        <x:v>病例尚未完成医学专家审核；16条模拟补充事实待确认；脓毒症或感染性梗阻未及时识别；未留取培养即长期盲目用药</x:v>
      </x:c>
      <x:c r="Z22" s="4" t="str">
        <x:v>肾内科；泌尿外科</x:v>
      </x:c>
      <x:c r="AA22" s="4" t="str">
        <x:v>待专家确认</x:v>
      </x:c>
      <x:c r="AB22" s="4" t="str">
        <x:v>症状方向、诊断、危险因素和已知病史来自原始工作簿；病程进展、就诊经过及部分阴性史为训练模拟扩写，必须经医学专家确认后用于标准答案。</x:v>
      </x:c>
    </x:row>
    <x:row r="23" ht="132" customHeight="1">
      <x:c r="A23" s="4" t="str">
        <x:v>P020</x:v>
      </x:c>
      <x:c r="B23" s="4" t="str">
        <x:v>HX-ADD-008</x:v>
      </x:c>
      <x:c r="C23" s="4" t="str">
        <x:v>47</x:v>
      </x:c>
      <x:c r="D23" s="4" t="str">
        <x:v>男</x:v>
      </x:c>
      <x:c r="E23" s="4" t="str">
        <x:v>原始病例事实 + 训练模拟扩写</x:v>
      </x:c>
      <x:c r="F23" s="4" t="str">
        <x:v>医生，我发烧、尿痛，会阴里面胀得难受，现在小便也越来越费劲。</x:v>
      </x:c>
      <x:c r="G23" s="4" t="str">
        <x:v>发热、尿痛伴会阴胀痛2天</x:v>
      </x:c>
      <x:c r="H23" s="4" t="str">
        <x:v>患者2天前出现发热、寒战，随后出现尿频、尿急、排尿灼痛及会阴部持续胀痛，坐位时更明显。近半天尿线变细、排尿费力，但仍能排出少量尿液；尿色淡红，无明显血块。无腰部绞痛、恶心呕吐。发病前无导尿、膀胱镜、前列腺按摩或不洁泌尿操作。</x:v>
      </x:c>
      <x:c r="I23" s="4" t="str">
        <x:v>肉眼血尿；全程血尿；淡红；无；排尿痛+会阴胀痛；发热寒战；否；尿频是；尿急是；尿痛是；排尿困难有排尿费力；泡沫尿否；水肿否</x:v>
      </x:c>
      <x:c r="J23" s="4" t="str">
        <x:v>原始资料未单列关键阴性病史；需根据现病史继续追问。</x:v>
      </x:c>
      <x:c r="K23" s="4" t="str">
        <x:v>既往体健，否认高血压、糖尿病、冠心病、脑卒中、肝病、结核；无泌尿系结石、反复尿路感染、外伤、泌尿操作或肿瘤史。无手术、输血史，无已知药物或食物过敏。 既往无前列腺炎、前列腺增生或性传播感染诊断，近期无不洁性接触史，相关信息需在保护隐私的前提下询问。</x:v>
      </x:c>
      <x:c r="L23" s="4" t="str">
        <x:v>无长期用药，发病后未规律使用抗菌药；否认抗凝和抗血小板药。</x:v>
      </x:c>
      <x:c r="M23" s="4" t="str">
        <x:v>吸烟约10包年，不饮酒，无明确职业暴露。</x:v>
      </x:c>
      <x:c r="N23" s="4" t="str">
        <x:v>否认泌尿系肿瘤、遗传性肾病或类似感染家族史。</x:v>
      </x:c>
      <x:c r="O23" s="4" t="str">
        <x:v>无已知药物或食物过敏；既往手术、输血及泌尿操作信息已在详细既往史中说明。</x:v>
      </x:c>
      <x:c r="P23" s="4" t="str">
        <x:v>不适用。</x:v>
      </x:c>
      <x:c r="Q23" s="4" t="str">
        <x:v>急性细菌性前列腺炎</x:v>
      </x:c>
      <x:c r="R23" s="4" t="str">
        <x:v>感染/急性细菌性前列腺炎</x:v>
      </x:c>
      <x:c r="S23" s="4" t="str">
        <x:v>急性膀胱炎；良性前列腺增生并感染；前列腺脓肿；尿道炎</x:v>
      </x:c>
      <x:c r="T23" s="4" t="str">
        <x:v>尿常规（基础必开）；尿沉渣镜检（基础必开）；中段尿培养+药敏（场景必开）；血常规（基础必开）；CRP/降钙素原（场景必开）；肾功能/eGFR（基础必开）</x:v>
      </x:c>
      <x:c r="U23" s="4" t="str">
        <x:v>评估生命体征、出血、尿潴留、感染、AKI
评估是否系统性感染或脓毒症；规范留取尿培养，必要时血培养，给予经验性抗感染和支持治疗。若合并梗阻，必须同步紧急引流。</x:v>
      </x:c>
      <x:c r="V23" s="4" t="str">
        <x:v>待专家确认
依据培养和药敏调整抗菌药，处理结石、残余尿、糖尿病、导尿等复杂因素；持续血尿需进入完整血尿评估路径。</x:v>
      </x:c>
      <x:c r="W23" s="4" t="str">
        <x:v>history.fever_chills｜fever_chills｜4分｜关键错误：待专家确认是否维度0分/总分封顶
risk.uti_history｜uti_history｜10分｜关键错误：待专家确认是否维度0分/总分封顶
risk.stone_history｜stone_history｜10分｜关键错误：待专家确认是否维度0分/总分封顶
risk.urinary_procedure_history｜urinary_procedure_history｜10分｜关键错误：待专家确认是否维度0分/总分封顶
risk.gynecologic_contamination｜gynecologic_contamination｜10分｜关键错误：待专家确认是否维度0分/总分封顶
exam.temperature｜体温｜12分｜关键错误：待专家确认是否维度0分/总分封顶
exam.blood_pressure｜血压｜12分｜关键错误：待专家确认是否维度0分/总分封顶
exam.targeted｜病例针对性查体｜11分｜关键错误：待专家确认是否维度0分/总分封顶
mdt.department｜department｜12分｜关键错误：待专家确认是否维度0分/总分封顶
mdt.trigger｜trigger｜11分｜关键错误：待专家确认是否维度0分/总分封顶
mdt.question｜question｜11分｜关键错误：待专家确认是否维度0分/总分封顶
mdt.evidence｜evidence｜11分｜关键错误：待专家确认是否维度0分/总分封顶
treatment.immediate｜immediate｜13分｜关键错误：待专家确认是否维度0分/总分封顶
treatment.etiologic｜etiologic｜13分｜关键错误：待专家确认是否维度0分/总分封顶
treatment.definitive｜definitive｜12分｜关键错误：待专家确认是否维度0分/总分封顶
treatment.perioperative｜perioperative｜12分｜关键错误：待专家确认是否维度0分/总分封顶</x:v>
      </x:c>
      <x:c r="X23" s="4" t="str">
        <x:v>补足会阴痛体位特点、排尿梗阻进展和无泌尿操作史，突出尿潴留/脓毒症风险。</x:v>
      </x:c>
      <x:c r="Y23" s="4" t="str">
        <x:v>病例尚未完成医学专家审核；14条模拟补充事实待确认；脓毒症或感染性梗阻未及时识别；未留取培养即长期盲目用药</x:v>
      </x:c>
      <x:c r="Z23" s="4" t="str">
        <x:v>泌尿外科</x:v>
      </x:c>
      <x:c r="AA23" s="4" t="str">
        <x:v>待专家确认</x:v>
      </x:c>
      <x:c r="AB23" s="4" t="str">
        <x:v>症状方向、诊断、危险因素和已知病史来自原始工作簿；病程进展、就诊经过及部分阴性史为训练模拟扩写，必须经医学专家确认后用于标准答案。</x:v>
      </x:c>
    </x:row>
    <x:row r="24" ht="132" customHeight="1">
      <x:c r="A24" s="4" t="str">
        <x:v>P021</x:v>
      </x:c>
      <x:c r="B24" s="4" t="str">
        <x:v>HX-ADD-009</x:v>
      </x:c>
      <x:c r="C24" s="4" t="str">
        <x:v>63</x:v>
      </x:c>
      <x:c r="D24" s="4" t="str">
        <x:v>女</x:v>
      </x:c>
      <x:c r="E24" s="4" t="str">
        <x:v>原始病例事实 + 训练模拟扩写</x:v>
      </x:c>
      <x:c r="F24" s="4" t="str">
        <x:v>医生，我这一个星期尿得特别频，尿的时候疼，最后还有点血，血糖最近也没好好管。</x:v>
      </x:c>
      <x:c r="G24" s="4" t="str">
        <x:v>尿频尿痛伴血尿1周</x:v>
      </x:c>
      <x:c r="H24" s="4" t="str">
        <x:v>患者1周前开始出现尿频、尿急、尿痛，终末尿呈淡红色，伴轻度下腹坠胀和低热，无明显血块。症状逐渐加重，夜间多次起床排尿。无明显腰痛、寒战、恶心呕吐或排尿困难。既往类似发作多次，本次尚未留取尿培养即自行服过少量旧抗菌药，效果不明显。</x:v>
      </x:c>
      <x:c r="I24" s="4" t="str">
        <x:v>肉眼血尿；终末血尿；淡红；无；排尿痛；低热；否；尿频是；尿急是；尿痛是；排尿困难否；泡沫尿否；水肿否</x:v>
      </x:c>
      <x:c r="J24" s="4" t="str">
        <x:v>原始资料未单列关键阴性病史；需根据现病史继续追问。</x:v>
      </x:c>
      <x:c r="K24" s="4" t="str">
        <x:v>有2型糖尿病病史，平时胰岛素使用不规律，近期血糖监测少；既往反复尿路感染。否认高血压、冠心病、脑卒中、肝病、结核；无泌尿系结石、泌尿操作、肿瘤、手术或输血史。无已知药物和食物过敏。</x:v>
      </x:c>
      <x:c r="L24" s="4" t="str">
        <x:v>胰岛素间断使用；发作后可能自行服用既往剩余抗菌药，具体名称与剂量需核实。否认抗凝和抗血小板药。</x:v>
      </x:c>
      <x:c r="M24" s="4" t="str">
        <x:v>不吸烟、不饮酒，无职业性化学暴露。</x:v>
      </x:c>
      <x:c r="N24" s="4" t="str">
        <x:v>否认遗传性肾病、泌尿系肿瘤或反复感染家族史。</x:v>
      </x:c>
      <x:c r="O24" s="4" t="str">
        <x:v>无已知药物或食物过敏；既往手术、输血及泌尿操作信息已在详细既往史中说明。</x:v>
      </x:c>
      <x:c r="P24" s="4" t="str">
        <x:v>已绝经，近期无阴道流血；本次尿色异常与妇科出血无关。</x:v>
      </x:c>
      <x:c r="Q24" s="4" t="str">
        <x:v>复杂性膀胱炎/糖尿病相关UTI</x:v>
      </x:c>
      <x:c r="R24" s="4" t="str">
        <x:v>感染/复杂性尿路感染</x:v>
      </x:c>
      <x:c r="S24" s="4" t="str">
        <x:v>尿道炎；急性肾盂肾炎；泌尿系结石；月经或阴道出血污染</x:v>
      </x:c>
      <x:c r="T24" s="4" t="str">
        <x:v>尿常规（基础必开）；尿沉渣镜检（基础必开）；中段尿培养+药敏（场景必开）；血常规（基础必开）；CRP/降钙素原（场景必开）；肾功能/eGFR（基础必开）</x:v>
      </x:c>
      <x:c r="U24" s="4" t="str">
        <x:v>评估生命体征、出血、尿潴留、感染、AKI
评估是否系统性感染或脓毒症；规范留取尿培养，必要时血培养，给予经验性抗感染和支持治疗。若合并梗阻，必须同步紧急引流。</x:v>
      </x:c>
      <x:c r="V24" s="4" t="str">
        <x:v>待专家确认
依据培养和药敏调整抗菌药，处理结石、残余尿、糖尿病、导尿等复杂因素；持续血尿需进入完整血尿评估路径。</x:v>
      </x:c>
      <x:c r="W24" s="4" t="str">
        <x:v>history.fever_chills｜fever_chills｜4分｜关键错误：待专家确认是否维度0分/总分封顶
risk.uti_history｜uti_history｜10分｜关键错误：待专家确认是否维度0分/总分封顶
risk.stone_history｜stone_history｜10分｜关键错误：待专家确认是否维度0分/总分封顶
risk.urinary_procedure_history｜urinary_procedure_history｜10分｜关键错误：待专家确认是否维度0分/总分封顶
risk.gynecologic_contamination｜gynecologic_contamination｜10分｜关键错误：待专家确认是否维度0分/总分封顶
exam.temperature｜体温｜12分｜关键错误：待专家确认是否维度0分/总分封顶
exam.blood_pressure｜血压｜12分｜关键错误：待专家确认是否维度0分/总分封顶
exam.targeted｜病例针对性查体｜11分｜关键错误：待专家确认是否维度0分/总分封顶
mdt.department｜department｜12分｜关键错误：待专家确认是否维度0分/总分封顶
mdt.trigger｜trigger｜11分｜关键错误：待专家确认是否维度0分/总分封顶
mdt.question｜question｜11分｜关键错误：待专家确认是否维度0分/总分封顶
mdt.evidence｜evidence｜11分｜关键错误：待专家确认是否维度0分/总分封顶
treatment.immediate｜immediate｜13分｜关键错误：待专家确认是否维度0分/总分封顶
treatment.etiologic｜etiologic｜13分｜关键错误：待专家确认是否维度0分/总分封顶
treatment.definitive｜definitive｜12分｜关键错误：待专家确认是否维度0分/总分封顶
treatment.perioperative｜perioperative｜12分｜关键错误：待专家确认是否维度0分/总分封顶</x:v>
      </x:c>
      <x:c r="X24" s="4" t="str">
        <x:v>加入糖尿病控制不规律、反复感染和自行使用残余抗菌药等复杂性UTI训练线索。</x:v>
      </x:c>
      <x:c r="Y24" s="4" t="str">
        <x:v>病例尚未完成医学专家审核；15条模拟补充事实待确认；脓毒症或感染性梗阻未及时识别；未留取培养即长期盲目用药</x:v>
      </x:c>
      <x:c r="Z24" s="4" t="str">
        <x:v>泌尿外科</x:v>
      </x:c>
      <x:c r="AA24" s="4" t="str">
        <x:v>待专家确认</x:v>
      </x:c>
      <x:c r="AB24" s="4" t="str">
        <x:v>症状方向、诊断、危险因素和已知病史来自原始工作簿；病程进展、就诊经过及部分阴性史为训练模拟扩写，必须经医学专家确认后用于标准答案。</x:v>
      </x:c>
    </x:row>
    <x:row r="25" ht="132" customHeight="1">
      <x:c r="A25" s="4" t="str">
        <x:v>P022</x:v>
      </x:c>
      <x:c r="B25" s="4" t="str">
        <x:v>HX-ADD-010</x:v>
      </x:c>
      <x:c r="C25" s="4" t="str">
        <x:v>55</x:v>
      </x:c>
      <x:c r="D25" s="4" t="str">
        <x:v>女</x:v>
      </x:c>
      <x:c r="E25" s="4" t="str">
        <x:v>原始病例事实 + 训练模拟扩写</x:v>
      </x:c>
      <x:c r="F25" s="4" t="str">
        <x:v>我这一年总是尿痛、尿急，吃药时好一点，但每次复查尿里还是有红细胞。</x:v>
      </x:c>
      <x:c r="G25" s="4" t="str">
        <x:v>反复尿痛伴镜下血尿1年</x:v>
      </x:c>
      <x:c r="H25" s="4" t="str">
        <x:v>患者近1年反复出现尿频、尿急、尿痛，每次持续数天，偶伴低热，口服抗菌药后症状可缓解。多次尿检提示镜下血尿，即使刺激症状消失后仍有红细胞阳性；肉眼观察尿色多正常。无明显腰痛、肾绞痛、血块、排尿困难或水肿。既往治疗多未保留尿培养和药敏结果。</x:v>
      </x:c>
      <x:c r="I25" s="4" t="str">
        <x:v>镜下血尿；镜下血尿；外观多正常；无；排尿痛发作期有；偶低热；否；尿频发作时有；尿急发作时有；尿痛发作时有；排尿困难否；泡沫尿否；水肿否</x:v>
      </x:c>
      <x:c r="J25" s="4" t="str">
        <x:v>原始资料未单列关键阴性病史；需根据现病史继续追问。</x:v>
      </x:c>
      <x:c r="K25" s="4" t="str">
        <x:v>既往被诊断为反复尿路感染，无已知泌尿系结石、糖尿病、泌尿操作、肿瘤或放化疗史。否认高血压、冠心病、脑卒中、肝病、结核；无手术、输血史，无已知药物或食物过敏。 既往肾功能大致正常，无妇科肿瘤或盆腔放疗史，未接受膀胱镜或上尿路影像系统评估。</x:v>
      </x:c>
      <x:c r="L25" s="4" t="str">
        <x:v>无长期用药；发作期曾多次短程使用抗菌药，药名和疗程不详。否认抗凝与抗血小板药。</x:v>
      </x:c>
      <x:c r="M25" s="4" t="str">
        <x:v>不吸烟、不饮酒，无明确芳香胺或橡胶工业暴露。</x:v>
      </x:c>
      <x:c r="N25" s="4" t="str">
        <x:v>否认泌尿系肿瘤、家族性血尿及遗传性肾病。</x:v>
      </x:c>
      <x:c r="O25" s="4" t="str">
        <x:v>无已知药物或食物过敏；既往手术、输血及泌尿操作信息已在详细既往史中说明。</x:v>
      </x:c>
      <x:c r="P25" s="4" t="str">
        <x:v>训练设定为已绝经2年，无近期阴道流血；需与妇科来源污染鉴别。</x:v>
      </x:c>
      <x:c r="Q25" s="4" t="str">
        <x:v>复发性UTI后持续血尿需排除肿瘤/结石</x:v>
      </x:c>
      <x:c r="R25" s="4" t="str">
        <x:v>感染/复发性UTI后持续血尿</x:v>
      </x:c>
      <x:c r="S25" s="4" t="str">
        <x:v>尿路结石；尿路上皮肿瘤；肾小球性血尿；妇科污染</x:v>
      </x:c>
      <x:c r="T25" s="4" t="str">
        <x:v>尿常规（基础必开）；尿沉渣镜检（基础必开）；中段尿培养+药敏（场景必开）；血常规（基础必开）；CRP/降钙素原（场景必开）；肾功能/eGFR（基础必开）</x:v>
      </x:c>
      <x:c r="U25" s="4" t="str">
        <x:v>评估生命体征、出血、尿潴留、感染、AKI
评估是否系统性感染或脓毒症；规范留取尿培养，必要时血培养，给予经验性抗感染和支持治疗。若合并梗阻，必须同步紧急引流。</x:v>
      </x:c>
      <x:c r="V25" s="4" t="str">
        <x:v>待专家确认
依据培养和药敏调整抗菌药，处理结石、残余尿、糖尿病、导尿等复杂因素；持续血尿需进入完整血尿评估路径。</x:v>
      </x:c>
      <x:c r="W25" s="4" t="str">
        <x:v>history.fever_chills｜fever_chills｜4分｜关键错误：待专家确认是否维度0分/总分封顶
risk.uti_history｜uti_history｜10分｜关键错误：待专家确认是否维度0分/总分封顶
risk.stone_history｜stone_history｜10分｜关键错误：待专家确认是否维度0分/总分封顶
risk.urinary_procedure_history｜urinary_procedure_history｜10分｜关键错误：待专家确认是否维度0分/总分封顶
risk.gynecologic_contamination｜gynecologic_contamination｜10分｜关键错误：待专家确认是否维度0分/总分封顶
exam.temperature｜体温｜12分｜关键错误：待专家确认是否维度0分/总分封顶
exam.blood_pressure｜血压｜12分｜关键错误：待专家确认是否维度0分/总分封顶
exam.targeted｜病例针对性查体｜11分｜关键错误：待专家确认是否维度0分/总分封顶
mdt.department｜department｜12分｜关键错误：待专家确认是否维度0分/总分封顶
mdt.trigger｜trigger｜11分｜关键错误：待专家确认是否维度0分/总分封顶
mdt.question｜question｜11分｜关键错误：待专家确认是否维度0分/总分封顶
mdt.evidence｜evidence｜11分｜关键错误：待专家确认是否维度0分/总分封顶
treatment.immediate｜immediate｜13分｜关键错误：待专家确认是否维度0分/总分封顶
treatment.etiologic｜etiologic｜13分｜关键错误：待专家确认是否维度0分/总分封顶
treatment.definitive｜definitive｜12分｜关键错误：待专家确认是否维度0分/总分封顶
treatment.perioperative｜perioperative｜12分｜关键错误：待专家确认是否维度0分/总分封顶</x:v>
      </x:c>
      <x:c r="X25" s="4" t="str">
        <x:v>强化“感染症状缓解后镜下血尿仍持续”的关键时间线，补足培养缺失和绝经后出血鉴别。</x:v>
      </x:c>
      <x:c r="Y25" s="4" t="str">
        <x:v>病例尚未完成医学专家审核；16条模拟补充事实待确认；脓毒症或感染性梗阻未及时识别；未留取培养即长期盲目用药</x:v>
      </x:c>
      <x:c r="Z25" s="4" t="str">
        <x:v>泌尿外科</x:v>
      </x:c>
      <x:c r="AA25" s="4" t="str">
        <x:v>待专家确认</x:v>
      </x:c>
      <x:c r="AB25" s="4" t="str">
        <x:v>症状方向、诊断、危险因素和已知病史来自原始工作簿；病程进展、就诊经过及部分阴性史为训练模拟扩写，必须经医学专家确认后用于标准答案。</x:v>
      </x:c>
    </x:row>
    <x:row r="26" ht="132" customHeight="1">
      <x:c r="A26" s="4" t="str">
        <x:v>P023</x:v>
      </x:c>
      <x:c r="B26" s="4" t="str">
        <x:v>HX-ADD-011</x:v>
      </x:c>
      <x:c r="C26" s="4" t="str">
        <x:v>39</x:v>
      </x:c>
      <x:c r="D26" s="4" t="str">
        <x:v>男</x:v>
      </x:c>
      <x:c r="E26" s="4" t="str">
        <x:v>原始病例事实 + 训练模拟扩写</x:v>
      </x:c>
      <x:c r="F26" s="4" t="str">
        <x:v>医生，我右边腰突然像绞一样疼，坐也坐不住，尿也变红了。</x:v>
      </x:c>
      <x:c r="G26" s="4" t="str">
        <x:v>右腰腹绞痛伴血尿6小时</x:v>
      </x:c>
      <x:c r="H26" s="4" t="str">
        <x:v>患者6小时前无明显诱因突发右侧腰腹部剧烈阵发性绞痛，疼痛向右下腹及腹股沟放射，发作时辗转不安，伴恶心和肉眼淡红色血尿。可有轻度尿频、尿急，但无明显排尿困难。否认发热寒战、持续呕吐或尿量明显减少。发病后未自行服用抗菌药。</x:v>
      </x:c>
      <x:c r="I26" s="4" t="str">
        <x:v>肉眼血尿；全程血尿；淡红；无；剧烈绞痛；否；是；尿频可有；尿急可有；尿痛可有；排尿困难否；泡沫尿否；水肿否</x:v>
      </x:c>
      <x:c r="J26" s="4" t="str">
        <x:v>原始资料未单列关键阴性病史；需根据现病史继续追问。</x:v>
      </x:c>
      <x:c r="K26" s="4" t="str">
        <x:v>数年前曾排出过一次小结石，未接受手术治疗；否认反复尿路感染、泌尿操作、肿瘤、慢性肾病。无高血压、糖尿病、冠心病、脑卒中、肝病、结核；无手术、输血史，无已知过敏。 既往肾功能检查未发现明确异常，无痛风或甲状旁腺疾病史，未做24小时尿代谢评估。 既往未因结石出现感染性休克或急性肾损伤。</x:v>
      </x:c>
      <x:c r="L26" s="4" t="str">
        <x:v>无长期用药；否认抗凝和抗血小板药。</x:v>
      </x:c>
      <x:c r="M26" s="4" t="str">
        <x:v>吸烟约5包年，不饮酒；平时饮水偏少，具体饮食及高盐、高动物蛋白摄入需追问。</x:v>
      </x:c>
      <x:c r="N26" s="4" t="str">
        <x:v>否认明确尿路结石或遗传性肾病家族史。</x:v>
      </x:c>
      <x:c r="O26" s="4" t="str">
        <x:v>无已知药物或食物过敏；既往手术、输血及泌尿操作信息已在详细既往史中说明。</x:v>
      </x:c>
      <x:c r="P26" s="4" t="str">
        <x:v>不适用。</x:v>
      </x:c>
      <x:c r="Q26" s="4" t="str">
        <x:v>输尿管结石</x:v>
      </x:c>
      <x:c r="R26" s="4" t="str">
        <x:v>结石/输尿管结石</x:v>
      </x:c>
      <x:c r="S26" s="4" t="str">
        <x:v>急性肾盂肾炎；肾梗死；阑尾炎或胆道疾病；上尿路尿路上皮癌</x:v>
      </x:c>
      <x:c r="T26" s="4" t="str">
        <x:v>尿常规（基础必开）；尿沉渣镜检（基础必开）；肾功能/eGFR（基础必开）；泌尿系CT平扫/低剂量NCCT KUB（场景必开）；泌尿系超声+残余尿（基础/场景）</x:v>
      </x:c>
      <x:c r="U26" s="4" t="str">
        <x:v>评估生命体征、出血、尿潴留、感染、AKI
评估生命体征、疼痛、感染、尿量、肾功能和梗阻；给予适当镇痛止吐。合并感染性梗阻、孤立肾或AKI时优先急诊引流。</x:v>
      </x:c>
      <x:c r="V26" s="4" t="str">
        <x:v>待专家确认
根据结石位置、大小、密度、解剖和患者因素选择观察排石、SWL、输尿管镜或PCNL；处理相关梗阻和感染。</x:v>
      </x:c>
      <x:c r="W26" s="4" t="str">
        <x:v>history.fever_chills｜fever_chills｜4分｜关键错误：待专家确认是否维度0分/总分封顶
risk.stone_history｜stone_history｜10分｜关键错误：待专家确认是否维度0分/总分封顶
risk.triggers｜triggers｜10分｜关键错误：待专家确认是否维度0分/总分封顶
risk.uti_history｜uti_history｜10分｜关键错误：待专家确认是否维度0分/总分封顶
risk.retention｜retention｜10分｜关键错误：待专家确认是否维度0分/总分封顶
exam.temperature｜体温｜12分｜关键错误：待专家确认是否维度0分/总分封顶
exam.blood_pressure｜血压｜12分｜关键错误：待专家确认是否维度0分/总分封顶
exam.targeted｜病例针对性查体｜11分｜关键错误：待专家确认是否维度0分/总分封顶
mdt.department｜department｜12分｜关键错误：待专家确认是否维度0分/总分封顶
mdt.trigger｜trigger｜11分｜关键错误：待专家确认是否维度0分/总分封顶
mdt.question｜question｜11分｜关键错误：待专家确认是否维度0分/总分封顶
mdt.evidence｜evidence｜11分｜关键错误：待专家确认是否维度0分/总分封顶
treatment.immediate｜immediate｜13分｜关键错误：待专家确认是否维度0分/总分封顶
treatment.etiologic｜etiologic｜13分｜关键错误：待专家确认是否维度0分/总分封顶
treatment.definitive｜definitive｜12分｜关键错误：待专家确认是否维度0分/总分封顶
treatment.perioperative｜perioperative｜12分｜关键错误：待专家确认是否维度0分/总分封顶</x:v>
      </x:c>
      <x:c r="X26" s="4" t="str">
        <x:v>补足典型肾绞痛放射、辗转不安、恶心和感染/少尿阴性信息。</x:v>
      </x:c>
      <x:c r="Y26" s="4" t="str">
        <x:v>病例尚未完成医学专家审核；14条模拟补充事实待确认；感染性梗阻未引流即碎石；未评估肾功能和感染</x:v>
      </x:c>
      <x:c r="Z26" s="4" t="str">
        <x:v>泌尿外科</x:v>
      </x:c>
      <x:c r="AA26" s="4" t="str">
        <x:v>待专家确认</x:v>
      </x:c>
      <x:c r="AB26" s="4" t="str">
        <x:v>症状方向、诊断、危险因素和已知病史来自原始工作簿；病程进展、就诊经过及部分阴性史为训练模拟扩写，必须经医学专家确认后用于标准答案。</x:v>
      </x:c>
    </x:row>
    <x:row r="27" ht="132" customHeight="1">
      <x:c r="A27" s="4" t="str">
        <x:v>P024</x:v>
      </x:c>
      <x:c r="B27" s="4" t="str">
        <x:v>HX-ADD-012</x:v>
      </x:c>
      <x:c r="C27" s="4" t="str">
        <x:v>45</x:v>
      </x:c>
      <x:c r="D27" s="4" t="str">
        <x:v>男</x:v>
      </x:c>
      <x:c r="E27" s="4" t="str">
        <x:v>原始病例事实 + 训练模拟扩写</x:v>
      </x:c>
      <x:c r="F27" s="4" t="str">
        <x:v>我左边腰这一天一直钝钝地疼，尿也有点红，不像以前那种很剧烈的绞痛。</x:v>
      </x:c>
      <x:c r="G27" s="4" t="str">
        <x:v>左腰痛伴血尿1天</x:v>
      </x:c>
      <x:c r="H27" s="4" t="str">
        <x:v>患者1天前出现左腰部持续性钝痛，活动后略加重，无明显向腹股沟放射，同时发现全程淡红色肉眼血尿。无发热寒战、尿频尿急尿痛、恶心呕吐或排尿困难。既往有肾结石史，本次疼痛较既往绞痛轻，尚未使用止痛药。</x:v>
      </x:c>
      <x:c r="I27" s="4" t="str">
        <x:v>肉眼血尿；全程血尿；淡红；无；腰部钝痛；否；是；尿频否；尿急否；尿痛否；排尿困难否；泡沫尿否；水肿否</x:v>
      </x:c>
      <x:c r="J27" s="4" t="str">
        <x:v>原始资料未单列关键阴性病史；需根据现病史继续追问。</x:v>
      </x:c>
      <x:c r="K27" s="4" t="str">
        <x:v>既往有肾结石，曾经保守治疗或自行排石，具体结石成分和代谢评估未做。否认反复尿路感染、泌尿操作、肿瘤及慢性肾病。无高血压、糖尿病、冠心病、脑卒中、肝病、结核；无手术、输血史，无已知过敏。 既往肾功能大致正常，无痛风、肠道手术或长期补钙史；未系统进行结石成分和代谢评估。</x:v>
      </x:c>
      <x:c r="L27" s="4" t="str">
        <x:v>无长期用药，否认抗凝及抗血小板药。</x:v>
      </x:c>
      <x:c r="M27" s="4" t="str">
        <x:v>吸烟约10包年，平时饮水量偏少；无明确职业暴露。</x:v>
      </x:c>
      <x:c r="N27" s="4" t="str">
        <x:v>否认明确结石及遗传性肾病家族史。</x:v>
      </x:c>
      <x:c r="O27" s="4" t="str">
        <x:v>无已知药物或食物过敏；既往手术、输血及泌尿操作信息已在详细既往史中说明。</x:v>
      </x:c>
      <x:c r="P27" s="4" t="str">
        <x:v>不适用。</x:v>
      </x:c>
      <x:c r="Q27" s="4" t="str">
        <x:v>肾盂/肾盏结石</x:v>
      </x:c>
      <x:c r="R27" s="4" t="str">
        <x:v>结石/肾盂/肾盏结石</x:v>
      </x:c>
      <x:c r="S27" s="4" t="str">
        <x:v>输尿管结石；急性肾盂肾炎；肾盂肿瘤；肾乳头坏死</x:v>
      </x:c>
      <x:c r="T27" s="4" t="str">
        <x:v>尿常规（基础必开）；尿沉渣镜检（基础必开）；肾功能/eGFR（基础必开）；泌尿系CT平扫/低剂量NCCT KUB（场景必开）；泌尿系超声+残余尿（基础/场景）</x:v>
      </x:c>
      <x:c r="U27" s="4" t="str">
        <x:v>评估生命体征、出血、尿潴留、感染、AKI
评估生命体征、疼痛、感染、尿量、肾功能和梗阻；给予适当镇痛止吐。合并感染性梗阻、孤立肾或AKI时优先急诊引流。</x:v>
      </x:c>
      <x:c r="V27" s="4" t="str">
        <x:v>待专家确认
根据结石位置、大小、密度、解剖和患者因素选择观察排石、SWL、输尿管镜或PCNL；处理相关梗阻和感染。</x:v>
      </x:c>
      <x:c r="W27" s="4" t="str">
        <x:v>history.fever_chills｜fever_chills｜4分｜关键错误：待专家确认是否维度0分/总分封顶
risk.stone_history｜stone_history｜10分｜关键错误：待专家确认是否维度0分/总分封顶
risk.triggers｜triggers｜10分｜关键错误：待专家确认是否维度0分/总分封顶
risk.uti_history｜uti_history｜10分｜关键错误：待专家确认是否维度0分/总分封顶
risk.retention｜retention｜10分｜关键错误：待专家确认是否维度0分/总分封顶
exam.temperature｜体温｜12分｜关键错误：待专家确认是否维度0分/总分封顶
exam.blood_pressure｜血压｜12分｜关键错误：待专家确认是否维度0分/总分封顶
exam.targeted｜病例针对性查体｜11分｜关键错误：待专家确认是否维度0分/总分封顶
mdt.department｜department｜12分｜关键错误：待专家确认是否维度0分/总分封顶
mdt.trigger｜trigger｜11分｜关键错误：待专家确认是否维度0分/总分封顶
mdt.question｜question｜11分｜关键错误：待专家确认是否维度0分/总分封顶
mdt.evidence｜evidence｜11分｜关键错误：待专家确认是否维度0分/总分封顶
treatment.immediate｜immediate｜13分｜关键错误：待专家确认是否维度0分/总分封顶
treatment.etiologic｜etiologic｜13分｜关键错误：待专家确认是否维度0分/总分封顶
treatment.definitive｜definitive｜12分｜关键错误：待专家确认是否维度0分/总分封顶
treatment.perioperative｜perioperative｜12分｜关键错误：待专家确认是否维度0分/总分封顶</x:v>
      </x:c>
      <x:c r="X27" s="4" t="str">
        <x:v>增加与既往结石发作的比较、疼痛性质和代谢评估缺失。</x:v>
      </x:c>
      <x:c r="Y27" s="4" t="str">
        <x:v>病例尚未完成医学专家审核；14条模拟补充事实待确认；感染性梗阻未引流即碎石；未评估肾功能和感染</x:v>
      </x:c>
      <x:c r="Z27" s="4" t="str">
        <x:v>泌尿外科</x:v>
      </x:c>
      <x:c r="AA27" s="4" t="str">
        <x:v>待专家确认</x:v>
      </x:c>
      <x:c r="AB27" s="4" t="str">
        <x:v>症状方向、诊断、危险因素和已知病史来自原始工作簿；病程进展、就诊经过及部分阴性史为训练模拟扩写，必须经医学专家确认后用于标准答案。</x:v>
      </x:c>
    </x:row>
    <x:row r="28" ht="132" customHeight="1">
      <x:c r="A28" s="4" t="str">
        <x:v>P025</x:v>
      </x:c>
      <x:c r="B28" s="4" t="str">
        <x:v>HX-ADD-013</x:v>
      </x:c>
      <x:c r="C28" s="4" t="str">
        <x:v>67</x:v>
      </x:c>
      <x:c r="D28" s="4" t="str">
        <x:v>男</x:v>
      </x:c>
      <x:c r="E28" s="4" t="str">
        <x:v>原始病例事实 + 训练模拟扩写</x:v>
      </x:c>
      <x:c r="F28" s="4" t="str">
        <x:v>医生，我这三个月小便越来越不顺，尿到一半会突然停，最后还会滴几滴血。</x:v>
      </x:c>
      <x:c r="G28" s="4" t="str">
        <x:v>排尿困难伴终末血尿3个月</x:v>
      </x:c>
      <x:c r="H28" s="4" t="str">
        <x:v>患者3个月来逐渐出现尿线变细、排尿费力和尿流中断，部分时候变换体位后可继续排尿，伴尿频、尿急和下腹不适。排尿末段常见淡红至鲜红色血尿，偶有少量血块，偶伴轻度尿痛。无发热寒战或腰部绞痛。近期夜尿增多，间断服用坦索罗辛后改善不明显。</x:v>
      </x:c>
      <x:c r="I28" s="4" t="str">
        <x:v>肉眼血尿；终末血尿；鲜红/淡红；少量；下腹不适；否；否；尿频有；尿急有；尿痛偶有；排尿困难明显；泡沫尿否；水肿否</x:v>
      </x:c>
      <x:c r="J28" s="4" t="str">
        <x:v>原始资料未单列关键阴性病史；需根据现病史继续追问。</x:v>
      </x:c>
      <x:c r="K28" s="4" t="str">
        <x:v>既往有反复尿路感染样症状，但无明确泌尿系结石诊断。否认糖尿病、慢性肾病、泌尿操作、肿瘤或放化疗史。无高血压、冠心病、脑卒中、肝病、结核；无手术、输血史，无已知过敏。</x:v>
      </x:c>
      <x:c r="L28" s="4" t="str">
        <x:v>坦索罗辛间断服用；否认抗凝及抗血小板药。</x:v>
      </x:c>
      <x:c r="M28" s="4" t="str">
        <x:v>吸烟约20包年，不饮酒，无职业性化学暴露。</x:v>
      </x:c>
      <x:c r="N28" s="4" t="str">
        <x:v>否认泌尿系结石、前列腺癌或遗传性肾病家族史。</x:v>
      </x:c>
      <x:c r="O28" s="4" t="str">
        <x:v>无已知药物或食物过敏；既往手术、输血及泌尿操作信息已在详细既往史中说明。</x:v>
      </x:c>
      <x:c r="P28" s="4" t="str">
        <x:v>不适用。</x:v>
      </x:c>
      <x:c r="Q28" s="4" t="str">
        <x:v>膀胱结石</x:v>
      </x:c>
      <x:c r="R28" s="4" t="str">
        <x:v>结石/膀胱结石</x:v>
      </x:c>
      <x:c r="S28" s="4" t="str">
        <x:v>良性前列腺增生；膀胱肿瘤；尿路感染；尿道狭窄</x:v>
      </x:c>
      <x:c r="T28" s="4" t="str">
        <x:v>尿常规（基础必开）；尿沉渣镜检（基础必开）；肾功能/eGFR（基础必开）；泌尿系CT平扫/低剂量NCCT KUB（场景必开）；泌尿系超声+残余尿（基础/场景）</x:v>
      </x:c>
      <x:c r="U28" s="4" t="str">
        <x:v>评估生命体征、出血、尿潴留、感染、AKI
评估生命体征、疼痛、感染、尿量、肾功能和梗阻；给予适当镇痛止吐。合并感染性梗阻、孤立肾或AKI时优先急诊引流。</x:v>
      </x:c>
      <x:c r="V28" s="4" t="str">
        <x:v>待专家确认
根据结石位置、大小、密度、解剖和患者因素选择观察排石、SWL、输尿管镜或PCNL；处理相关梗阻和感染。</x:v>
      </x:c>
      <x:c r="W28" s="4" t="str">
        <x:v>history.fever_chills｜fever_chills｜4分｜关键错误：待专家确认是否维度0分/总分封顶
risk.stone_history｜stone_history｜10分｜关键错误：待专家确认是否维度0分/总分封顶
risk.triggers｜triggers｜10分｜关键错误：待专家确认是否维度0分/总分封顶
risk.uti_history｜uti_history｜10分｜关键错误：待专家确认是否维度0分/总分封顶
risk.retention｜retention｜10分｜关键错误：待专家确认是否维度0分/总分封顶
exam.temperature｜体温｜12分｜关键错误：待专家确认是否维度0分/总分封顶
exam.blood_pressure｜血压｜12分｜关键错误：待专家确认是否维度0分/总分封顶
exam.targeted｜病例针对性查体｜11分｜关键错误：待专家确认是否维度0分/总分封顶
mdt.department｜department｜12分｜关键错误：待专家确认是否维度0分/总分封顶
mdt.trigger｜trigger｜11分｜关键错误：待专家确认是否维度0分/总分封顶
mdt.question｜question｜11分｜关键错误：待专家确认是否维度0分/总分封顶
mdt.evidence｜evidence｜11分｜关键错误：待专家确认是否维度0分/总分封顶
treatment.immediate｜immediate｜13分｜关键错误：待专家确认是否维度0分/总分封顶
treatment.etiologic｜etiologic｜13分｜关键错误：待专家确认是否维度0分/总分封顶
treatment.definitive｜definitive｜12分｜关键错误：待专家确认是否维度0分/总分封顶
treatment.perioperative｜perioperative｜12分｜关键错误：待专家确认是否维度0分/总分封顶</x:v>
      </x:c>
      <x:c r="X28" s="4" t="str">
        <x:v>加入体位相关尿流中断这一膀胱结石训练线索，并补足LUTS进展和用药反应。</x:v>
      </x:c>
      <x:c r="Y28" s="4" t="str">
        <x:v>病例尚未完成医学专家审核；14条模拟补充事实待确认；感染性梗阻未引流即碎石；未评估肾功能和感染</x:v>
      </x:c>
      <x:c r="Z28" s="4" t="str">
        <x:v>泌尿外科</x:v>
      </x:c>
      <x:c r="AA28" s="4" t="str">
        <x:v>待专家确认</x:v>
      </x:c>
      <x:c r="AB28" s="4" t="str">
        <x:v>症状方向、诊断、危险因素和已知病史来自原始工作簿；病程进展、就诊经过及部分阴性史为训练模拟扩写，必须经医学专家确认后用于标准答案。</x:v>
      </x:c>
    </x:row>
    <x:row r="29" ht="132" customHeight="1">
      <x:c r="A29" s="4" t="str">
        <x:v>P026</x:v>
      </x:c>
      <x:c r="B29" s="4" t="str">
        <x:v>HX-ADD-014</x:v>
      </x:c>
      <x:c r="C29" s="4" t="str">
        <x:v>61</x:v>
      </x:c>
      <x:c r="D29" s="4" t="str">
        <x:v>女</x:v>
      </x:c>
      <x:c r="E29" s="4" t="str">
        <x:v>原始病例事实 + 训练模拟扩写</x:v>
      </x:c>
      <x:c r="F29" s="4" t="str">
        <x:v>我这半年反复发烧、腰痛，尿又浑又红，吃消炎药好一阵又复发。</x:v>
      </x:c>
      <x:c r="G29" s="4" t="str">
        <x:v>反复发热腰痛伴血尿半年</x:v>
      </x:c>
      <x:c r="H29" s="4" t="str">
        <x:v>患者近半年反复出现一侧腰部胀痛、发热和寒战，每次持续数天，伴尿频、尿急、尿痛，尿液浑浊并呈淡红色。曾多次自行或门诊使用抗菌药，症状可短暂缓解但很快复发。近1周发热和腰痛加重，乏力、食欲下降。无明显排尿中断或血块，但需警惕感染性梗阻和脓毒症。</x:v>
      </x:c>
      <x:c r="I29" s="4" t="str">
        <x:v>肉眼血尿；全程血尿；浑浊淡红；无；腰痛胀痛；发热寒战；是；尿频有；尿急有；尿痛有；排尿困难否；泡沫尿否；水肿否</x:v>
      </x:c>
      <x:c r="J29" s="4" t="str">
        <x:v>原始资料未单列关键阴性病史；需根据现病史继续追问。</x:v>
      </x:c>
      <x:c r="K29" s="4" t="str">
        <x:v>有糖尿病病史，口服降糖药，血糖控制情况需核实；既往反复尿路感染，之前未明确诊断结石，后续影像提示鹿角形结石。否认泌尿操作、肿瘤、放化疗及慢性肝病、结核。无手术、输血史，无已知药物过敏。</x:v>
      </x:c>
      <x:c r="L29" s="4" t="str">
        <x:v>口服降糖药，具体品种和依从性需核实；反复使用过抗菌药，药名与疗程不详。否认抗凝和抗血小板药。</x:v>
      </x:c>
      <x:c r="M29" s="4" t="str">
        <x:v>不吸烟、不饮酒，无职业暴露。</x:v>
      </x:c>
      <x:c r="N29" s="4" t="str">
        <x:v>否认结石、遗传性肾病及泌尿系肿瘤家族史。</x:v>
      </x:c>
      <x:c r="O29" s="4" t="str">
        <x:v>无已知药物或食物过敏；既往手术、输血及泌尿操作信息已在详细既往史中说明。</x:v>
      </x:c>
      <x:c r="P29" s="4" t="str">
        <x:v>已绝经，近期无阴道流血。</x:v>
      </x:c>
      <x:c r="Q29" s="4" t="str">
        <x:v>鹿角形结石合并感染</x:v>
      </x:c>
      <x:c r="R29" s="4" t="str">
        <x:v>结石/感染性鹿角形结石</x:v>
      </x:c>
      <x:c r="S29" s="4" t="str">
        <x:v>感染性梗阻结石；肾盂肾炎；肾结核；肾盂肿瘤</x:v>
      </x:c>
      <x:c r="T29" s="4" t="str">
        <x:v>尿常规（基础必开）；尿沉渣镜检（基础必开）；肾功能/eGFR（基础必开）；泌尿系CT平扫/低剂量NCCT KUB（场景必开）；泌尿系超声+残余尿（基础/场景）</x:v>
      </x:c>
      <x:c r="U29" s="4" t="str">
        <x:v>评估生命体征、出血、尿潴留、感染、AKI
留取尿培养和必要时血培养，评估脓毒症、AKI和梗阻；感染合并梗阻时先抗感染并紧急支架或肾造瘘引流。</x:v>
      </x:c>
      <x:c r="V29" s="4" t="str">
        <x:v>待专家确认
感染控制后根据结石负荷和解剖制定分期PCNL等清石方案，争取清除感染性结石并依据培养调整抗菌药。</x:v>
      </x:c>
      <x:c r="W29" s="4" t="str">
        <x:v>history.fever_chills｜fever_chills｜4分｜关键错误：待专家确认是否维度0分/总分封顶
risk.stone_history｜stone_history｜8分｜关键错误：待专家确认是否维度0分/总分封顶
risk.triggers｜triggers｜8分｜关键错误：待专家确认是否维度0分/总分封顶
risk.uti_history｜uti_history｜8分｜关键错误：待专家确认是否维度0分/总分封顶
risk.retention｜retention｜8分｜关键错误：待专家确认是否维度0分/总分封顶
risk.gynecologic_contamination｜gynecologic_contamination｜8分｜关键错误：待专家确认是否维度0分/总分封顶
exam.temperature｜体温｜12分｜关键错误：待专家确认是否维度0分/总分封顶
exam.blood_pressure｜血压｜12分｜关键错误：待专家确认是否维度0分/总分封顶
exam.targeted｜病例针对性查体｜11分｜关键错误：待专家确认是否维度0分/总分封顶
mdt.department｜department｜12分｜关键错误：待专家确认是否维度0分/总分封顶
mdt.trigger｜trigger｜11分｜关键错误：待专家确认是否维度0分/总分封顶
mdt.question｜question｜11分｜关键错误：待专家确认是否维度0分/总分封顶
mdt.evidence｜evidence｜11分｜关键错误：待专家确认是否维度0分/总分封顶
treatment.immediate｜immediate｜13分｜关键错误：待专家确认是否维度0分/总分封顶
treatment.etiologic｜etiologic｜13分｜关键错误：待专家确认是否维度0分/总分封顶
treatment.definitive｜definitive｜12分｜关键错误：待专家确认是否维度0分/总分封顶
treatment.perioperative｜perioperative｜12分｜关键错误：待专家确认是否维度0分/总分封顶</x:v>
      </x:c>
      <x:c r="X29" s="4" t="str">
        <x:v>强化反复感染、短期抗菌药后复发、糖尿病和感染性梗阻风险。</x:v>
      </x:c>
      <x:c r="Y29" s="4" t="str">
        <x:v>病例尚未完成医学专家审核；15条模拟补充事实待确认；感染未控制或未引流即直接碎石；脓毒症时延误复苏和引流</x:v>
      </x:c>
      <x:c r="Z29" s="4" t="str">
        <x:v>泌尿外科</x:v>
      </x:c>
      <x:c r="AA29" s="4" t="str">
        <x:v>待专家确认</x:v>
      </x:c>
      <x:c r="AB29" s="4" t="str">
        <x:v>症状方向、诊断、危险因素和已知病史来自原始工作簿；病程进展、就诊经过及部分阴性史为训练模拟扩写，必须经医学专家确认后用于标准答案。</x:v>
      </x:c>
    </x:row>
    <x:row r="30" ht="132" customHeight="1">
      <x:c r="A30" s="4" t="str">
        <x:v>P027</x:v>
      </x:c>
      <x:c r="B30" s="4" t="str">
        <x:v>HX-ADD-015</x:v>
      </x:c>
      <x:c r="C30" s="4" t="str">
        <x:v>52</x:v>
      </x:c>
      <x:c r="D30" s="4" t="str">
        <x:v>男</x:v>
      </x:c>
      <x:c r="E30" s="4" t="str">
        <x:v>原始病例事实 + 训练模拟扩写</x:v>
      </x:c>
      <x:c r="F30" s="4" t="str">
        <x:v>我左边腰突然一阵阵绞痛，尿里有血。我有痛风，降尿酸药也没怎么按时吃。</x:v>
      </x:c>
      <x:c r="G30" s="4" t="str">
        <x:v>左侧腰腹痛伴血尿1天</x:v>
      </x:c>
      <x:c r="H30" s="4" t="str">
        <x:v>患者1天前突发左侧腰腹部阵发性绞痛，疼痛向下腹放射，伴轻度尿急和全程淡红色肉眼血尿。无发热寒战、明显尿痛、持续呕吐或尿量减少。既往有痛风和小结石发作，本次症状相似。发病前一段时间饮水少，降尿酸治疗不规律。</x:v>
      </x:c>
      <x:c r="I30" s="4" t="str">
        <x:v>肉眼血尿；全程血尿；淡红；无；阵发性绞痛；否；是；尿频否；尿急轻度；尿痛否；排尿困难否；泡沫尿否；水肿否</x:v>
      </x:c>
      <x:c r="J30" s="4" t="str">
        <x:v>原始资料未单列关键阴性病史；需根据现病史继续追问。</x:v>
      </x:c>
      <x:c r="K30" s="4" t="str">
        <x:v>有痛风病史，既往曾发现或排出小结石，未做结石成分分析。否认反复尿路感染、泌尿操作、肿瘤及慢性肾病。无高血压、糖尿病、冠心病、脑卒中、肝病、结核；无手术、输血史，无已知过敏。 既往肾功能资料不全，无肠道手术、甲状旁腺疾病或长期补钙史；未接受规范结石代谢评估。 既往无感染性梗阻或急性肾损伤。</x:v>
      </x:c>
      <x:c r="L30" s="4" t="str">
        <x:v>别嘌醇服用不规律；否认抗凝和抗血小板药。</x:v>
      </x:c>
      <x:c r="M30" s="4" t="str">
        <x:v>吸烟约15包年；训练设定为平时高嘌呤饮食较多、饮水不足，需在问诊中主动核实。</x:v>
      </x:c>
      <x:c r="N30" s="4" t="str">
        <x:v>否认明确痛风性结石或遗传性肾病家族史。</x:v>
      </x:c>
      <x:c r="O30" s="4" t="str">
        <x:v>无已知药物或食物过敏；既往手术、输血及泌尿操作信息已在详细既往史中说明。</x:v>
      </x:c>
      <x:c r="P30" s="4" t="str">
        <x:v>不适用。</x:v>
      </x:c>
      <x:c r="Q30" s="4" t="str">
        <x:v>尿酸结石</x:v>
      </x:c>
      <x:c r="R30" s="4" t="str">
        <x:v>结石/尿酸结石</x:v>
      </x:c>
      <x:c r="S30" s="4" t="str">
        <x:v>输尿管结石；急性肾盂肾炎；肾盂肿瘤；肾乳头坏死</x:v>
      </x:c>
      <x:c r="T30" s="4" t="str">
        <x:v>尿常规（基础必开）；尿沉渣镜检（基础必开）；肾功能/eGFR（基础必开）；泌尿系CT平扫/低剂量NCCT KUB（场景必开）；泌尿系超声+残余尿（基础/场景）</x:v>
      </x:c>
      <x:c r="U30" s="4" t="str">
        <x:v>评估生命体征、出血、尿潴留、感染、AKI
评估生命体征、疼痛、感染、尿量、肾功能和梗阻；给予适当镇痛止吐。合并感染性梗阻、孤立肾或AKI时优先急诊引流。</x:v>
      </x:c>
      <x:c r="V30" s="4" t="str">
        <x:v>待专家确认
根据结石位置、大小、密度、解剖和患者因素选择观察排石、SWL、输尿管镜或PCNL；处理相关梗阻和感染。</x:v>
      </x:c>
      <x:c r="W30" s="4" t="str">
        <x:v>history.fever_chills｜fever_chills｜4分｜关键错误：待专家确认是否维度0分/总分封顶
risk.stone_history｜stone_history｜10分｜关键错误：待专家确认是否维度0分/总分封顶
risk.triggers｜triggers｜10分｜关键错误：待专家确认是否维度0分/总分封顶
risk.uti_history｜uti_history｜10分｜关键错误：待专家确认是否维度0分/总分封顶
risk.retention｜retention｜10分｜关键错误：待专家确认是否维度0分/总分封顶
exam.temperature｜体温｜12分｜关键错误：待专家确认是否维度0分/总分封顶
exam.blood_pressure｜血压｜12分｜关键错误：待专家确认是否维度0分/总分封顶
exam.targeted｜病例针对性查体｜11分｜关键错误：待专家确认是否维度0分/总分封顶
mdt.department｜department｜12分｜关键错误：待专家确认是否维度0分/总分封顶
mdt.trigger｜trigger｜11分｜关键错误：待专家确认是否维度0分/总分封顶
mdt.question｜question｜11分｜关键错误：待专家确认是否维度0分/总分封顶
mdt.evidence｜evidence｜11分｜关键错误：待专家确认是否维度0分/总分封顶
treatment.immediate｜immediate｜13分｜关键错误：待专家确认是否维度0分/总分封顶
treatment.etiologic｜etiologic｜13分｜关键错误：待专家确认是否维度0分/总分封顶
treatment.definitive｜definitive｜12分｜关键错误：待专家确认是否维度0分/总分封顶
treatment.perioperative｜perioperative｜12分｜关键错误：待专家确认是否维度0分/总分封顶</x:v>
      </x:c>
      <x:c r="X30" s="4" t="str">
        <x:v>补足痛风、饮食饮水、结石成分未分析及药物依从性。</x:v>
      </x:c>
      <x:c r="Y30" s="4" t="str">
        <x:v>病例尚未完成医学专家审核；14条模拟补充事实待确认；感染性梗阻未引流即碎石；未评估肾功能和感染</x:v>
      </x:c>
      <x:c r="Z30" s="4" t="str">
        <x:v>泌尿外科</x:v>
      </x:c>
      <x:c r="AA30" s="4" t="str">
        <x:v>待专家确认</x:v>
      </x:c>
      <x:c r="AB30" s="4" t="str">
        <x:v>症状方向、诊断、危险因素和已知病史来自原始工作簿；病程进展、就诊经过及部分阴性史为训练模拟扩写，必须经医学专家确认后用于标准答案。</x:v>
      </x:c>
    </x:row>
    <x:row r="31" ht="132" customHeight="1">
      <x:c r="A31" s="4" t="str">
        <x:v>P028</x:v>
      </x:c>
      <x:c r="B31" s="4" t="str">
        <x:v>HX-ADD-016</x:v>
      </x:c>
      <x:c r="C31" s="4" t="str">
        <x:v>73</x:v>
      </x:c>
      <x:c r="D31" s="4" t="str">
        <x:v>男</x:v>
      </x:c>
      <x:c r="E31" s="4" t="str">
        <x:v>原始病例事实 + 训练模拟扩写</x:v>
      </x:c>
      <x:c r="F31" s="4" t="str">
        <x:v>医生，我本来就小便费劲，这三天尿突然变红了，有时还有小血块。</x:v>
      </x:c>
      <x:c r="G31" s="4" t="str">
        <x:v>排尿困难伴肉眼血尿3天</x:v>
      </x:c>
      <x:c r="H31" s="4" t="str">
        <x:v>患者有多年尿频、夜尿、尿线细、排尿等待和尿不尽感，近3天无明显诱因出现全程淡红至鲜红色肉眼血尿，可见少量小血块，排尿困难较前加重。无尿痛、发热寒战或腰部绞痛。间断服用坦索罗辛和非那雄胺，依从性差。若血块增多或不能排尿，需按急症处理。</x:v>
      </x:c>
      <x:c r="I31" s="4" t="str">
        <x:v>肉眼血尿；全程血尿；鲜红/淡红；可有小血块；否；否；尿频有；尿急有；尿痛否；排尿困难明显；泡沫尿否；水肿否</x:v>
      </x:c>
      <x:c r="J31" s="4" t="str">
        <x:v>无明显疼痛</x:v>
      </x:c>
      <x:c r="K31" s="4" t="str">
        <x:v>既往考虑良性前列腺增生，未规律复诊；否认糖尿病、冠心病、脑卒中、肝病、结核、泌尿系结石及反复感染。无导尿或膀胱镜操作史，无肿瘤及放化疗史。无手术、输血史，无已知过敏。</x:v>
      </x:c>
      <x:c r="L31" s="4" t="str">
        <x:v>坦索罗辛、非那雄胺服用不规律；同时使用阿司匹林，具体适应证和剂量需核实。否认抗凝药。</x:v>
      </x:c>
      <x:c r="M31" s="4" t="str">
        <x:v>吸烟约20包年，不饮酒，无职业性化学暴露。</x:v>
      </x:c>
      <x:c r="N31" s="4" t="str">
        <x:v>否认前列腺癌、泌尿系肿瘤或遗传性肾病家族史。</x:v>
      </x:c>
      <x:c r="O31" s="4" t="str">
        <x:v>无已知药物或食物过敏；既往手术、输血及泌尿操作信息已在详细既往史中说明。</x:v>
      </x:c>
      <x:c r="P31" s="4" t="str">
        <x:v>不适用。</x:v>
      </x:c>
      <x:c r="Q31" s="4" t="str">
        <x:v>前列腺增生相关血尿</x:v>
      </x:c>
      <x:c r="R31" s="4" t="str">
        <x:v>前列腺疾病/良性前列腺增生相关血尿</x:v>
      </x:c>
      <x:c r="S31" s="4" t="str">
        <x:v>前列腺癌；膀胱颈挛缩；尿道狭窄；神经源性膀胱</x:v>
      </x:c>
      <x:c r="T31" s="4" t="str">
        <x:v>尿常规（基础必开）；肾功能/eGFR（基础必开）；泌尿系超声+残余尿（基础/场景）；尿流率+残余尿（按需）；PSA（按需）</x:v>
      </x:c>
      <x:c r="U31" s="4" t="str">
        <x:v>评估生命体征、出血、尿潴留、感染、AKI
评估尿潴留、血块、感染和肾功能；急性尿潴留时规范导尿，血块堵塞时考虑三腔导尿和膀胱冲洗。</x:v>
      </x:c>
      <x:c r="V31" s="4" t="str">
        <x:v>待专家确认
评估症状、残余尿和前列腺体积，采用药物治疗；反复潴留、出血、感染或肾功能受损时评估手术。</x:v>
      </x:c>
      <x:c r="W31" s="4" t="str">
        <x:v>history.fever_chills｜fever_chills｜4分｜关键错误：待专家确认是否维度0分/总分封顶
risk.voiding_difficulty｜voiding_difficulty｜10分｜关键错误：待专家确认是否维度0分/总分封顶
risk.retention｜retention｜10分｜关键错误：待专家确认是否维度0分/总分封顶
risk.medications｜medications｜10分｜关键错误：待专家确认是否维度0分/总分封顶
risk.surgery_history｜surgery_history｜10分｜关键错误：待专家确认是否维度0分/总分封顶
exam.temperature｜体温｜12分｜关键错误：待专家确认是否维度0分/总分封顶
exam.blood_pressure｜血压｜12分｜关键错误：待专家确认是否维度0分/总分封顶
exam.targeted｜病例针对性查体｜11分｜关键错误：待专家确认是否维度0分/总分封顶
mdt.department｜department｜12分｜关键错误：待专家确认是否维度0分/总分封顶
mdt.trigger｜trigger｜11分｜关键错误：待专家确认是否维度0分/总分封顶
mdt.question｜question｜11分｜关键错误：待专家确认是否维度0分/总分封顶
mdt.evidence｜evidence｜11分｜关键错误：待专家确认是否维度0分/总分封顶
treatment.immediate｜immediate｜13分｜关键错误：待专家确认是否维度0分/总分封顶
treatment.etiologic｜etiologic｜13分｜关键错误：待专家确认是否维度0分/总分封顶
treatment.definitive｜definitive｜12分｜关键错误：待专家确认是否维度0分/总分封顶
treatment.perioperative｜perioperative｜12分｜关键错误：待专家确认是否维度0分/总分封顶</x:v>
      </x:c>
      <x:c r="X31" s="4" t="str">
        <x:v>增加多年LUTS、药物依从性和阿司匹林适应证需核实，突出血块尿潴留风险。</x:v>
      </x:c>
      <x:c r="Y31" s="4" t="str">
        <x:v>病例尚未完成医学专家审核；12条模拟补充事实待确认；尿潴留或血块堵塞未及时解除；仅凭PSA直接诊断前列腺癌</x:v>
      </x:c>
      <x:c r="Z31" s="4" t="str">
        <x:v>泌尿外科</x:v>
      </x:c>
      <x:c r="AA31" s="4" t="str">
        <x:v>待专家确认</x:v>
      </x:c>
      <x:c r="AB31" s="4" t="str">
        <x:v>症状方向、诊断、危险因素和已知病史来自原始工作簿；病程进展、就诊经过及部分阴性史为训练模拟扩写，必须经医学专家确认后用于标准答案。</x:v>
      </x:c>
    </x:row>
    <x:row r="32" ht="132" customHeight="1">
      <x:c r="A32" s="4" t="str">
        <x:v>P029</x:v>
      </x:c>
      <x:c r="B32" s="4" t="str">
        <x:v>HX-ADD-017</x:v>
      </x:c>
      <x:c r="C32" s="4" t="str">
        <x:v>80</x:v>
      </x:c>
      <x:c r="D32" s="4" t="str">
        <x:v>男</x:v>
      </x:c>
      <x:c r="E32" s="4" t="str">
        <x:v>原始病例事实 + 训练模拟扩写</x:v>
      </x:c>
      <x:c r="F32" s="4" t="str">
        <x:v>我昨晚完全尿不出来，医院插了尿管以后尿变成鲜红色，还带点小血块。</x:v>
      </x:c>
      <x:c r="G32" s="4" t="str">
        <x:v>导尿后肉眼血尿1天</x:v>
      </x:c>
      <x:c r="H32" s="4" t="str">
        <x:v>患者既往长期有尿频、夜尿、尿线细和排尿费力，1天前突发下腹明显胀痛并完全不能排尿，急诊导尿后尿潴留缓解。导尿后出现鲜红色肉眼血尿，尿袋内可见少量小血块。无发热寒战、腰痛或明显尿痛。需鉴别导尿损伤、前列腺增生相关出血及其他泌尿系病变。</x:v>
      </x:c>
      <x:c r="I32" s="4" t="str">
        <x:v>肉眼血尿；全程血尿；鲜红；小血块可能；下腹胀痛缓解后血尿；否；否；尿频有；尿急有；尿痛否；排尿困难明显；泡沫尿否；水肿否</x:v>
      </x:c>
      <x:c r="J32" s="4" t="str">
        <x:v>原始资料未单列关键阴性病史；需根据现病史继续追问。</x:v>
      </x:c>
      <x:c r="K32" s="4" t="str">
        <x:v>既往诊断或高度怀疑良性前列腺增生，长期服用坦索罗辛。否认高血压、糖尿病、脑卒中、肝病、结核、结石和反复尿路感染。此次为已知导尿操作；此前无泌尿手术或肿瘤史。无手术、输血史，无已知过敏。</x:v>
      </x:c>
      <x:c r="L32" s="4" t="str">
        <x:v>坦索罗辛、阿司匹林；阿司匹林适应证和末次服药时间需核实。否认华法林、利伐沙班等抗凝药。</x:v>
      </x:c>
      <x:c r="M32" s="4" t="str">
        <x:v>不吸烟、不饮酒，无职业暴露。</x:v>
      </x:c>
      <x:c r="N32" s="4" t="str">
        <x:v>否认前列腺癌或泌尿系肿瘤家族史。</x:v>
      </x:c>
      <x:c r="O32" s="4" t="str">
        <x:v>无已知药物或食物过敏；既往手术、输血及泌尿操作信息已在详细既往史中说明。</x:v>
      </x:c>
      <x:c r="P32" s="4" t="str">
        <x:v>不适用。</x:v>
      </x:c>
      <x:c r="Q32" s="4" t="str">
        <x:v>BPH急性尿潴留/导尿相关血尿</x:v>
      </x:c>
      <x:c r="R32" s="4" t="str">
        <x:v>前列腺疾病/BPH急性尿潴留/导尿相关血尿</x:v>
      </x:c>
      <x:c r="S32" s="4" t="str">
        <x:v>前列腺癌；膀胱颈挛缩；尿道狭窄；神经源性膀胱</x:v>
      </x:c>
      <x:c r="T32" s="4" t="str">
        <x:v>尿常规（基础必开）；肾功能/eGFR（基础必开）；泌尿系超声+残余尿（基础/场景）；尿流率+残余尿（按需）；PSA（按需）</x:v>
      </x:c>
      <x:c r="U32" s="4" t="str">
        <x:v>评估生命体征、出血、尿潴留、感染、AKI
评估尿潴留、血块、感染和肾功能；急性尿潴留时规范导尿，血块堵塞时考虑三腔导尿和膀胱冲洗。</x:v>
      </x:c>
      <x:c r="V32" s="4" t="str">
        <x:v>待专家确认
评估症状、残余尿和前列腺体积，采用药物治疗；反复潴留、出血、感染或肾功能受损时评估手术。</x:v>
      </x:c>
      <x:c r="W32" s="4" t="str">
        <x:v>history.fever_chills｜fever_chills｜4分｜关键错误：待专家确认是否维度0分/总分封顶
risk.voiding_difficulty｜voiding_difficulty｜10分｜关键错误：待专家确认是否维度0分/总分封顶
risk.retention｜retention｜10分｜关键错误：待专家确认是否维度0分/总分封顶
risk.medications｜medications｜10分｜关键错误：待专家确认是否维度0分/总分封顶
risk.surgery_history｜surgery_history｜10分｜关键错误：待专家确认是否维度0分/总分封顶
exam.temperature｜体温｜12分｜关键错误：待专家确认是否维度0分/总分封顶
exam.blood_pressure｜血压｜12分｜关键错误：待专家确认是否维度0分/总分封顶
exam.targeted｜病例针对性查体｜11分｜关键错误：待专家确认是否维度0分/总分封顶
mdt.department｜department｜12分｜关键错误：待专家确认是否维度0分/总分封顶
mdt.trigger｜trigger｜11分｜关键错误：待专家确认是否维度0分/总分封顶
mdt.question｜question｜11分｜关键错误：待专家确认是否维度0分/总分封顶
mdt.evidence｜evidence｜11分｜关键错误：待专家确认是否维度0分/总分封顶
treatment.immediate｜immediate｜13分｜关键错误：待专家确认是否维度0分/总分封顶
treatment.etiologic｜etiologic｜13分｜关键错误：待专家确认是否维度0分/总分封顶
treatment.definitive｜definitive｜12分｜关键错误：待专家确认是否维度0分/总分封顶
treatment.perioperative｜perioperative｜12分｜关键错误：待专家确认是否维度0分/总分封顶</x:v>
      </x:c>
      <x:c r="X32" s="4" t="str">
        <x:v>补足急性尿潴留发生、导尿时间与出血先后关系，并保留器质性病因排查。</x:v>
      </x:c>
      <x:c r="Y32" s="4" t="str">
        <x:v>病例尚未完成医学专家审核；11条模拟补充事实待确认；尿潴留或血块堵塞未及时解除；仅凭PSA直接诊断前列腺癌</x:v>
      </x:c>
      <x:c r="Z32" s="4" t="str">
        <x:v>泌尿外科</x:v>
      </x:c>
      <x:c r="AA32" s="4" t="str">
        <x:v>待专家确认</x:v>
      </x:c>
      <x:c r="AB32" s="4" t="str">
        <x:v>症状方向、诊断、危险因素和已知病史来自原始工作簿；病程进展、就诊经过及部分阴性史为训练模拟扩写，必须经医学专家确认后用于标准答案。</x:v>
      </x:c>
    </x:row>
    <x:row r="33" ht="132" customHeight="1">
      <x:c r="A33" s="4" t="str">
        <x:v>P030</x:v>
      </x:c>
      <x:c r="B33" s="4" t="str">
        <x:v>HX-ADD-018</x:v>
      </x:c>
      <x:c r="C33" s="4" t="str">
        <x:v>69</x:v>
      </x:c>
      <x:c r="D33" s="4" t="str">
        <x:v>男</x:v>
      </x:c>
      <x:c r="E33" s="4" t="str">
        <x:v>原始病例事实 + 训练模拟扩写</x:v>
      </x:c>
      <x:c r="F33" s="4" t="str">
        <x:v>我这半年小便越来越困难，体检又发现尿里有红细胞，担心是不是前列腺癌。</x:v>
      </x:c>
      <x:c r="G33" s="4" t="str">
        <x:v>排尿困难伴镜下血尿半年</x:v>
      </x:c>
      <x:c r="H33" s="4" t="str">
        <x:v>患者近半年逐渐出现尿线变细、排尿等待、排尿费力和尿不尽感，伴尿频，尿液外观一直正常。体检及复查尿检发现持续镜下血尿，无肉眼血尿、血块、尿痛、发热或腰痛。否认骨痛、下肢水肿和近期明显消瘦。尚未完成PSA复核、直肠指检及影像/病理评估。</x:v>
      </x:c>
      <x:c r="I33" s="4" t="str">
        <x:v>镜下血尿；镜下血尿；外观正常；无；无痛；否；否；尿频有；尿急否；尿痛否；排尿困难明显；泡沫尿否；水肿否</x:v>
      </x:c>
      <x:c r="J33" s="4" t="str">
        <x:v>原始资料未单列关键阴性病史；需根据现病史继续追问。</x:v>
      </x:c>
      <x:c r="K33" s="4" t="str">
        <x:v>有高血压病史，口服降压药。否认糖尿病、冠心病、脑卒中、肝病、结核、泌尿系结石、反复尿路感染、导尿或膀胱镜操作史。无既往肿瘤及放化疗史，无手术、输血史，无已知过敏。</x:v>
      </x:c>
      <x:c r="L33" s="4" t="str">
        <x:v>长期降压药，具体品种需核实；否认抗凝和抗血小板药。</x:v>
      </x:c>
      <x:c r="M33" s="4" t="str">
        <x:v>吸烟约30包年，不饮酒，无明确职业性化学暴露。</x:v>
      </x:c>
      <x:c r="N33" s="4" t="str">
        <x:v>一名兄弟患前列腺癌；否认已知家族性肾病或类似血尿。</x:v>
      </x:c>
      <x:c r="O33" s="4" t="str">
        <x:v>无已知药物或食物过敏；既往手术、输血及泌尿操作信息已在详细既往史中说明。</x:v>
      </x:c>
      <x:c r="P33" s="4" t="str">
        <x:v>不适用。</x:v>
      </x:c>
      <x:c r="Q33" s="4" t="str">
        <x:v>前列腺癌合并血尿/需鉴别</x:v>
      </x:c>
      <x:c r="R33" s="4" t="str">
        <x:v>前列腺疾病/前列腺癌相关血尿</x:v>
      </x:c>
      <x:c r="S33" s="4" t="str">
        <x:v>良性前列腺增生；前列腺炎；膀胱肿瘤；尿路感染</x:v>
      </x:c>
      <x:c r="T33" s="4" t="str">
        <x:v>尿常规（基础必开）；肾功能/eGFR（基础必开）；泌尿系超声+残余尿（基础/场景）；尿流率+残余尿（按需）；PSA（按需）</x:v>
      </x:c>
      <x:c r="U33" s="4" t="str">
        <x:v>评估生命体征、出血、尿潴留、感染、AKI
评估尿潴留、血块、感染和肾功能；急性尿潴留时规范导尿，血块堵塞时考虑三腔导尿和膀胱冲洗。</x:v>
      </x:c>
      <x:c r="V33" s="4" t="str">
        <x:v>待专家确认
结合PSA、直肠指检、前列腺MRI和必要时穿刺病理完成诊断分期，再制定监测、手术、放疗或系统治疗。</x:v>
      </x:c>
      <x:c r="W33" s="4" t="str">
        <x:v>history.fever_chills｜fever_chills｜4分｜关键错误：待专家确认是否维度0分/总分封顶
risk.voiding_difficulty｜voiding_difficulty｜10分｜关键错误：待专家确认是否维度0分/总分封顶
risk.retention｜retention｜10分｜关键错误：待专家确认是否维度0分/总分封顶
risk.medications｜medications｜10分｜关键错误：待专家确认是否维度0分/总分封顶
risk.surgery_history｜surgery_history｜10分｜关键错误：待专家确认是否维度0分/总分封顶
exam.temperature｜体温｜12分｜关键错误：待专家确认是否维度0分/总分封顶
exam.blood_pressure｜血压｜12分｜关键错误：待专家确认是否维度0分/总分封顶
exam.targeted｜病例针对性查体｜11分｜关键错误：待专家确认是否维度0分/总分封顶
mdt.department｜department｜12分｜关键错误：待专家确认是否维度0分/总分封顶
mdt.trigger｜trigger｜11分｜关键错误：待专家确认是否维度0分/总分封顶
mdt.question｜question｜11分｜关键错误：待专家确认是否维度0分/总分封顶
mdt.evidence｜evidence｜11分｜关键错误：待专家确认是否维度0分/总分封顶
treatment.immediate｜immediate｜13分｜关键错误：待专家确认是否维度0分/总分封顶
treatment.etiologic｜etiologic｜13分｜关键错误：待专家确认是否维度0分/总分封顶
treatment.definitive｜definitive｜12分｜关键错误：待专家确认是否维度0分/总分封顶
treatment.perioperative｜perioperative｜12分｜关键错误：待专家确认是否维度0分/总分封顶</x:v>
      </x:c>
      <x:c r="X33" s="4" t="str">
        <x:v>增加LUTS进展、镜下血尿确认、骨痛/消瘦阴性和PSA不能单独确诊的前置条件。；按HX-ADD-018原始事实恢复兄弟前列腺癌家族史</x:v>
      </x:c>
      <x:c r="Y33" s="4" t="str">
        <x:v>病例尚未完成医学专家审核；12条模拟补充事实待确认；尿潴留或血块堵塞未及时解除；仅凭PSA直接诊断前列腺癌</x:v>
      </x:c>
      <x:c r="Z33" s="4" t="str">
        <x:v>泌尿外科</x:v>
      </x:c>
      <x:c r="AA33" s="4" t="str">
        <x:v>待专家确认</x:v>
      </x:c>
      <x:c r="AB33" s="4" t="str">
        <x:v>症状方向、诊断、危险因素和已知病史来自原始工作簿；病程进展、就诊经过及部分阴性史为训练模拟扩写，必须经医学专家确认后用于标准答案。</x:v>
      </x:c>
    </x:row>
    <x:row r="34" ht="132" customHeight="1">
      <x:c r="A34" s="4" t="str">
        <x:v>P031</x:v>
      </x:c>
      <x:c r="B34" s="4" t="str">
        <x:v>HX-ADD-019</x:v>
      </x:c>
      <x:c r="C34" s="4" t="str">
        <x:v>21</x:v>
      </x:c>
      <x:c r="D34" s="4" t="str">
        <x:v>男</x:v>
      </x:c>
      <x:c r="E34" s="4" t="str">
        <x:v>原始病例事实 + 训练模拟扩写</x:v>
      </x:c>
      <x:c r="F34" s="4" t="str">
        <x:v>我前两天咽痛，几乎同时尿就变成可乐色了，早上眼皮还有点肿。</x:v>
      </x:c>
      <x:c r="G34" s="4" t="str">
        <x:v>咽痛后肉眼血尿2天</x:v>
      </x:c>
      <x:c r="H34" s="4" t="str">
        <x:v>患者2天前在咽痛、低热期间发现全程浓茶色或可乐色肉眼血尿，时间上与上呼吸道症状几乎同步，伴轻度腰酸、尿液泡沫增多和晨起眼睑轻度浮肿。无血块、尿频尿急尿痛、排尿困难或典型肾绞痛。尿量未明显减少。既往感冒时是否出现类似尿色变化需进一步追问。</x:v>
      </x:c>
      <x:c r="I34" s="4" t="str">
        <x:v>肉眼血尿；全程血尿；浓茶色/可乐色；无；低热/咽痛前驱；轻度腰酸；尿频否；尿急否；尿痛否；排尿困难否；泡沫尿可有泡沫；水肿轻度眼睑浮肿可有</x:v>
      </x:c>
      <x:c r="J34" s="4" t="str">
        <x:v>无明显尿痛</x:v>
      </x:c>
      <x:c r="K34" s="4" t="str">
        <x:v>既往体健，否认高血压、糖尿病、肝病、结核、泌尿系结石、尿路感染、泌尿操作或肿瘤史。无手术、输血史，无已知过敏。 既往体检血压和肾功能大致正常，未做过肾活检或遗传学检查，也无听力下降及眼部异常史。</x:v>
      </x:c>
      <x:c r="L34" s="4" t="str">
        <x:v>无长期用药，发病前未使用抗凝或抗血小板药。</x:v>
      </x:c>
      <x:c r="M34" s="4" t="str">
        <x:v>不吸烟、不饮酒，无职业暴露。</x:v>
      </x:c>
      <x:c r="N34" s="4" t="str">
        <x:v>否认已知家族性血尿、遗传性肾病或听力异常家族史。</x:v>
      </x:c>
      <x:c r="O34" s="4" t="str">
        <x:v>无已知药物或食物过敏；既往手术、输血及泌尿操作信息已在详细既往史中说明。</x:v>
      </x:c>
      <x:c r="P34" s="4" t="str">
        <x:v>不适用。</x:v>
      </x:c>
      <x:c r="Q34" s="4" t="str">
        <x:v>IgA肾病</x:v>
      </x:c>
      <x:c r="R34" s="4" t="str">
        <x:v>肾小球疾病/IgA肾病</x:v>
      </x:c>
      <x:c r="S34" s="4" t="str">
        <x:v>感染后肾小球肾炎；薄基底膜肾病；Alport综合征；狼疮性肾炎</x:v>
      </x:c>
      <x:c r="T34" s="4" t="str">
        <x:v>尿沉渣镜检（基础必开）；尿红细胞形态/相差显微镜（场景必开）；尿蛋白定性/尿蛋白肌酐比（场景必开）；肾功能/eGFR（基础必开）；补体C3/C4（场景必开）；肾活检病理（场景必开）</x:v>
      </x:c>
      <x:c r="U34" s="4" t="str">
        <x:v>评估生命体征、出血、尿潴留、感染、AKI
评估血压、尿量、水肿、肾功能、电解质和尿蛋白；出现AKI、严重高血压、肺水肿或少尿时紧急肾内科处理。</x:v>
      </x:c>
      <x:c r="V34" s="4" t="str">
        <x:v>待专家确认
由肾内科结合尿沉渣红细胞形态、蛋白定量、免疫学和必要时肾活检明确病理类型，实施支持治疗和病因特异治疗。</x:v>
      </x:c>
      <x:c r="W34" s="4" t="str">
        <x:v>history.fever_chills｜fever_chills｜4分｜关键错误：待专家确认是否维度0分/总分封顶
risk.glomerular_features｜glomerular_features｜10分｜关键错误：待专家确认是否维度0分/总分封顶
risk.recent_uri｜recent_uri｜10分｜关键错误：待专家确认是否维度0分/总分封顶
risk.family_history｜family_history｜10分｜关键错误：待专家确认是否维度0分/总分封顶
risk.bleeding_tendency｜bleeding_tendency｜10分｜关键错误：待专家确认是否维度0分/总分封顶
exam.temperature｜体温｜12分｜关键错误：待专家确认是否维度0分/总分封顶
exam.blood_pressure｜血压｜12分｜关键错误：待专家确认是否维度0分/总分封顶
exam.targeted｜病例针对性查体｜11分｜关键错误：待专家确认是否维度0分/总分封顶
mdt.department｜department｜12分｜关键错误：待专家确认是否维度0分/总分封顶
mdt.trigger｜trigger｜11分｜关键错误：待专家确认是否维度0分/总分封顶
mdt.question｜question｜11分｜关键错误：待专家确认是否维度0分/总分封顶
mdt.evidence｜evidence｜11分｜关键错误：待专家确认是否维度0分/总分封顶
treatment.immediate｜immediate｜13分｜关键错误：待专家确认是否维度0分/总分封顶
treatment.etiologic｜etiologic｜13分｜关键错误：待专家确认是否维度0分/总分封顶
treatment.definitive｜definitive｜12分｜关键错误：待专家确认是否维度0分/总分封顶
treatment.perioperative｜perioperative｜12分｜关键错误：待专家确认是否维度0分/总分封顶</x:v>
      </x:c>
      <x:c r="X34" s="4" t="str">
        <x:v>突出“咽炎同期血尿”与感染后肾炎潜伏期不同，补充泡沫尿、水肿和尿量。</x:v>
      </x:c>
      <x:c r="Y34" s="4" t="str">
        <x:v>病例尚未完成医学专家审核；14条模拟补充事实待确认；忽略蛋白尿、畸形红细胞或RBC管型；肾功能恶化时未触发肾内科安全网</x:v>
      </x:c>
      <x:c r="Z34" s="4" t="str">
        <x:v>肾内科</x:v>
      </x:c>
      <x:c r="AA34" s="4" t="str">
        <x:v>待专家确认</x:v>
      </x:c>
      <x:c r="AB34" s="4" t="str">
        <x:v>症状方向、诊断、危险因素和已知病史来自原始工作簿；病程进展、就诊经过及部分阴性史为训练模拟扩写，必须经医学专家确认后用于标准答案。</x:v>
      </x:c>
    </x:row>
    <x:row r="35" ht="132" customHeight="1">
      <x:c r="A35" s="4" t="str">
        <x:v>P032</x:v>
      </x:c>
      <x:c r="B35" s="4" t="str">
        <x:v>HX-ADD-020</x:v>
      </x:c>
      <x:c r="C35" s="4" t="str">
        <x:v>16</x:v>
      </x:c>
      <x:c r="D35" s="4" t="str">
        <x:v>男</x:v>
      </x:c>
      <x:c r="E35" s="4" t="str">
        <x:v>原始病例事实 + 训练模拟扩写</x:v>
      </x:c>
      <x:c r="F35" s="4" t="str">
        <x:v>两三周前腿上长过脓疱，现在尿像浓茶，眼皮和脚都有点肿。</x:v>
      </x:c>
      <x:c r="G35" s="4" t="str">
        <x:v>皮肤感染后茶色尿伴眼睑水肿1周</x:v>
      </x:c>
      <x:c r="H35" s="4" t="str">
        <x:v>患者约3周前曾有皮肤脓疱感染，局部红肿后自行好转。1周前开始出现全程茶色或烟熏色尿，伴晨起眼睑及下肢水肿、泡沫尿，尿量较平时减少，可有轻度腰酸。无尿频、尿急、尿痛和血块，无明显高热寒战。近期是否有头痛、血压升高、气促需重点询问。</x:v>
      </x:c>
      <x:c r="I35" s="4" t="str">
        <x:v>肉眼血尿；全程血尿；茶色/烟熏色；无；无尿痛；无或低热；可有腰酸；尿频否；尿急否；尿痛否；排尿困难否；泡沫尿可有；水肿眼睑/下肢水肿</x:v>
      </x:c>
      <x:c r="J35" s="4" t="str">
        <x:v>原始资料未单列关键阴性病史；需根据现病史继续追问。</x:v>
      </x:c>
      <x:c r="K35" s="4" t="str">
        <x:v>既往体健，无高血压、糖尿病、肝病、结核、结石、反复尿路感染、泌尿操作或肿瘤史。无手术、输血史，无已知药物或食物过敏。 既往体检血压和肾功能无明确异常，无先天性心脏病、听力异常或家族性肾炎线索，未做过肾活检。</x:v>
      </x:c>
      <x:c r="L35" s="4" t="str">
        <x:v>无长期用药；皮肤感染期间是否使用抗菌药需核实。否认抗凝和抗血小板药。</x:v>
      </x:c>
      <x:c r="M35" s="4" t="str">
        <x:v>不吸烟、不饮酒，无职业暴露。</x:v>
      </x:c>
      <x:c r="N35" s="4" t="str">
        <x:v>否认家族性肾炎、血尿、听力异常或早发肾衰竭。</x:v>
      </x:c>
      <x:c r="O35" s="4" t="str">
        <x:v>无已知药物或食物过敏；既往手术、输血及泌尿操作信息已在详细既往史中说明。</x:v>
      </x:c>
      <x:c r="P35" s="4" t="str">
        <x:v>不适用。</x:v>
      </x:c>
      <x:c r="Q35" s="4" t="str">
        <x:v>感染后急性肾小球肾炎</x:v>
      </x:c>
      <x:c r="R35" s="4" t="str">
        <x:v>肾小球疾病/感染后急性肾小球肾炎</x:v>
      </x:c>
      <x:c r="S35" s="4" t="str">
        <x:v>IgA肾病；狼疮性肾炎；膜增生性肾小球肾炎；溶血尿毒综合征</x:v>
      </x:c>
      <x:c r="T35" s="4" t="str">
        <x:v>尿沉渣镜检（基础必开）；尿红细胞形态/相差显微镜（场景必开）；尿蛋白定性/尿蛋白肌酐比（场景必开）；肾功能/eGFR（基础必开）；补体C3/C4（场景必开）；肾活检病理（场景必开）</x:v>
      </x:c>
      <x:c r="U35" s="4" t="str">
        <x:v>评估生命体征、出血、尿潴留、感染、AKI
评估血压、尿量、水肿、肾功能、电解质和尿蛋白；出现AKI、严重高血压、肺水肿或少尿时紧急肾内科处理。</x:v>
      </x:c>
      <x:c r="V35" s="4" t="str">
        <x:v>待专家确认
由肾内科结合尿沉渣红细胞形态、蛋白定量、免疫学和必要时肾活检明确病理类型，实施支持治疗和病因特异治疗。</x:v>
      </x:c>
      <x:c r="W35" s="4" t="str">
        <x:v>history.fever_chills｜fever_chills｜4分｜关键错误：待专家确认是否维度0分/总分封顶
risk.glomerular_features｜glomerular_features｜10分｜关键错误：待专家确认是否维度0分/总分封顶
risk.recent_uri｜recent_uri｜10分｜关键错误：待专家确认是否维度0分/总分封顶
risk.family_history｜family_history｜10分｜关键错误：待专家确认是否维度0分/总分封顶
risk.bleeding_tendency｜bleeding_tendency｜10分｜关键错误：待专家确认是否维度0分/总分封顶
exam.temperature｜体温｜12分｜关键错误：待专家确认是否维度0分/总分封顶
exam.blood_pressure｜血压｜12分｜关键错误：待专家确认是否维度0分/总分封顶
exam.targeted｜病例针对性查体｜11分｜关键错误：待专家确认是否维度0分/总分封顶
mdt.department｜department｜12分｜关键错误：待专家确认是否维度0分/总分封顶
mdt.trigger｜trigger｜11分｜关键错误：待专家确认是否维度0分/总分封顶
mdt.question｜question｜11分｜关键错误：待专家确认是否维度0分/总分封顶
mdt.evidence｜evidence｜11分｜关键错误：待专家确认是否维度0分/总分封顶
treatment.immediate｜immediate｜13分｜关键错误：待专家确认是否维度0分/总分封顶
treatment.etiologic｜etiologic｜13分｜关键错误：待专家确认是否维度0分/总分封顶
treatment.definitive｜definitive｜12分｜关键错误：待专家确认是否维度0分/总分封顶
treatment.perioperative｜perioperative｜12分｜关键错误：待专家确认是否维度0分/总分封顶</x:v>
      </x:c>
      <x:c r="X35" s="4" t="str">
        <x:v>增加皮肤感染与肾炎之间潜伏期、少尿/水肿及高血压和肺水肿安全网。</x:v>
      </x:c>
      <x:c r="Y35" s="4" t="str">
        <x:v>病例尚未完成医学专家审核；14条模拟补充事实待确认；忽略蛋白尿、畸形红细胞或RBC管型；肾功能恶化时未触发肾内科安全网</x:v>
      </x:c>
      <x:c r="Z35" s="4" t="str">
        <x:v>儿科/儿童肾内科；肾内科；泌尿外科</x:v>
      </x:c>
      <x:c r="AA35" s="4" t="str">
        <x:v>待专家确认</x:v>
      </x:c>
      <x:c r="AB35" s="4" t="str">
        <x:v>症状方向、诊断、危险因素和已知病史来自原始工作簿；病程进展、就诊经过及部分阴性史为训练模拟扩写，必须经医学专家确认后用于标准答案。</x:v>
      </x:c>
    </x:row>
    <x:row r="36" ht="132" customHeight="1">
      <x:c r="A36" s="4" t="str">
        <x:v>P033</x:v>
      </x:c>
      <x:c r="B36" s="4" t="str">
        <x:v>HX-ADD-021</x:v>
      </x:c>
      <x:c r="C36" s="4" t="str">
        <x:v>28</x:v>
      </x:c>
      <x:c r="D36" s="4" t="str">
        <x:v>女</x:v>
      </x:c>
      <x:c r="E36" s="4" t="str">
        <x:v>原始病例事实 + 训练模拟扩写</x:v>
      </x:c>
      <x:c r="F36" s="4" t="str">
        <x:v>我连续三年体检都说尿里有红细胞，但自己看尿一直正常，也没有不舒服。</x:v>
      </x:c>
      <x:c r="G36" s="4" t="str">
        <x:v>体检发现镜下血尿3年</x:v>
      </x:c>
      <x:c r="H36" s="4" t="str">
        <x:v>患者3年前体检首次发现镜下血尿，之后多次复查仍有红细胞，尿液外观始终正常。期间无肉眼血尿、血块、腰痛、尿频尿急尿痛、排尿困难、泡沫尿或水肿。既往肾功能和血压大致正常，蛋白尿情况需以定量检查确认。血尿与运动、感染和月经无明确关系。</x:v>
      </x:c>
      <x:c r="I36" s="4" t="str">
        <x:v>镜下血尿；镜下血尿；外观正常；无；无痛；否；否；尿频否；尿急否；尿痛否；排尿困难否；泡沫尿否；水肿否</x:v>
      </x:c>
      <x:c r="J36" s="4" t="str">
        <x:v>原始资料未单列关键阴性病史；需根据现病史继续追问。</x:v>
      </x:c>
      <x:c r="K36" s="4" t="str">
        <x:v>既往体健，否认高血压、糖尿病、肝病、结核、泌尿系结石、反复尿路感染、泌尿操作或肿瘤史。无手术、输血史，无已知过敏。 既往体检血压和肾功能大致正常，无妊娠期高血压或肾脏并发症史；未做肾活检或遗传学检查。</x:v>
      </x:c>
      <x:c r="L36" s="4" t="str">
        <x:v>无长期用药，否认抗凝和抗血小板药。</x:v>
      </x:c>
      <x:c r="M36" s="4" t="str">
        <x:v>不吸烟、不饮酒，无职业性化学暴露。</x:v>
      </x:c>
      <x:c r="N36" s="4" t="str">
        <x:v>原始资料否认明确家族性血尿或遗传性肾病，但薄基底膜相关疾病仍需再次追问一级亲属尿检、听力及肾功能情况。</x:v>
      </x:c>
      <x:c r="O36" s="4" t="str">
        <x:v>无已知药物或食物过敏；既往手术、输血及泌尿操作信息已在详细既往史中说明。</x:v>
      </x:c>
      <x:c r="P36" s="4" t="str">
        <x:v>月经规律，采尿时避开月经期；目前无妊娠。</x:v>
      </x:c>
      <x:c r="Q36" s="4" t="str">
        <x:v>薄基底膜肾病/家族性良性血尿</x:v>
      </x:c>
      <x:c r="R36" s="4" t="str">
        <x:v>肾小球疾病/薄基底膜肾病</x:v>
      </x:c>
      <x:c r="S36" s="4" t="str">
        <x:v>Alport综合征；IgA肾病；泌尿系结石；高钙尿症</x:v>
      </x:c>
      <x:c r="T36" s="4" t="str">
        <x:v>尿沉渣镜检（基础必开）；尿红细胞形态/相差显微镜（场景必开）；尿蛋白定性/尿蛋白肌酐比（场景必开）；肾功能/eGFR（基础必开）；补体C3/C4（场景必开）；肾活检病理（场景必开）</x:v>
      </x:c>
      <x:c r="U36" s="4" t="str">
        <x:v>评估生命体征、出血、尿潴留、感染、AKI
评估血压、尿量、水肿、肾功能、电解质和尿蛋白；出现AKI、严重高血压、肺水肿或少尿时紧急肾内科处理。</x:v>
      </x:c>
      <x:c r="V36" s="4" t="str">
        <x:v>待专家确认
由肾内科结合尿沉渣红细胞形态、蛋白定量、免疫学和必要时肾活检明确病理类型，实施支持治疗和病因特异治疗。</x:v>
      </x:c>
      <x:c r="W36" s="4" t="str">
        <x:v>history.fever_chills｜fever_chills｜4分｜关键错误：待专家确认是否维度0分/总分封顶
risk.glomerular_features｜glomerular_features｜8分｜关键错误：待专家确认是否维度0分/总分封顶
risk.recent_uri｜recent_uri｜8分｜关键错误：待专家确认是否维度0分/总分封顶
risk.family_history｜family_history｜8分｜关键错误：待专家确认是否维度0分/总分封顶
risk.bleeding_tendency｜bleeding_tendency｜8分｜关键错误：待专家确认是否维度0分/总分封顶
risk.gynecologic_contamination｜gynecologic_contamination｜8分｜关键错误：待专家确认是否维度0分/总分封顶
exam.temperature｜体温｜12分｜关键错误：待专家确认是否维度0分/总分封顶
exam.blood_pressure｜血压｜12分｜关键错误：待专家确认是否维度0分/总分封顶
exam.targeted｜病例针对性查体｜11分｜关键错误：待专家确认是否维度0分/总分封顶
mdt.department｜department｜12分｜关键错误：待专家确认是否维度0分/总分封顶
mdt.trigger｜trigger｜11分｜关键错误：待专家确认是否维度0分/总分封顶
mdt.question｜question｜11分｜关键错误：待专家确认是否维度0分/总分封顶
mdt.evidence｜evidence｜11分｜关键错误：待专家确认是否维度0分/总分封顶
treatment.immediate｜immediate｜13分｜关键错误：待专家确认是否维度0分/总分封顶
treatment.etiologic｜etiologic｜13分｜关键错误：待专家确认是否维度0分/总分封顶
treatment.definitive｜definitive｜12分｜关键错误：待专家确认是否维度0分/总分封顶
treatment.perioperative｜perioperative｜12分｜关键错误：待专家确认是否维度0分/总分封顶</x:v>
      </x:c>
      <x:c r="X36" s="4" t="str">
        <x:v>补足长期稳定、无蛋白尿症状和家族尿检追问，同时避免直接称“良性”。</x:v>
      </x:c>
      <x:c r="Y36" s="4" t="str">
        <x:v>病例尚未完成医学专家审核；16条模拟补充事实待确认；忽略蛋白尿、畸形红细胞或RBC管型；肾功能恶化时未触发肾内科安全网</x:v>
      </x:c>
      <x:c r="Z36" s="4" t="str">
        <x:v>肾内科</x:v>
      </x:c>
      <x:c r="AA36" s="4" t="str">
        <x:v>待专家确认</x:v>
      </x:c>
      <x:c r="AB36" s="4" t="str">
        <x:v>症状方向、诊断、危险因素和已知病史来自原始工作簿；病程进展、就诊经过及部分阴性史为训练模拟扩写，必须经医学专家确认后用于标准答案。</x:v>
      </x:c>
    </x:row>
    <x:row r="37" ht="132" customHeight="1">
      <x:c r="A37" s="4" t="str">
        <x:v>P034</x:v>
      </x:c>
      <x:c r="B37" s="4" t="str">
        <x:v>HX-ADD-022</x:v>
      </x:c>
      <x:c r="C37" s="4" t="str">
        <x:v>19</x:v>
      </x:c>
      <x:c r="D37" s="4" t="str">
        <x:v>男</x:v>
      </x:c>
      <x:c r="E37" s="4" t="str">
        <x:v>原始病例事实 + 训练模拟扩写</x:v>
      </x:c>
      <x:c r="F37" s="4" t="str">
        <x:v>我体检反复发现尿里有红细胞，最近也觉得听别人说话没以前清楚。</x:v>
      </x:c>
      <x:c r="G37" s="4" t="str">
        <x:v>反复镜下血尿伴听力下降</x:v>
      </x:c>
      <x:c r="H37" s="4" t="str">
        <x:v>患者数年来反复镜下血尿，尿液外观多正常，近期听力逐渐下降，尤其在嘈杂环境中更明显。无尿频尿急尿痛、腰痛、血块或排尿困难，可有轻度泡沫尿但无明显水肿。既往是否在儿童期感染后出现肉眼血尿、是否伴视力或眼部异常需进一步询问。</x:v>
      </x:c>
      <x:c r="I37" s="4" t="str">
        <x:v>肉眼血尿；未明确；外观多正常；无；无痛；否；否；尿频否；尿急否；尿痛否；排尿困难否；泡沫尿可有</x:v>
      </x:c>
      <x:c r="J37" s="4" t="str">
        <x:v>水肿无明显</x:v>
      </x:c>
      <x:c r="K37" s="4" t="str">
        <x:v>既往无高血压、糖尿病、肝病、结核、结石、尿路感染、泌尿操作和肿瘤史。无手术、输血史，无已知药物或食物过敏。 儿童期无明确肾炎诊断，既往未接受听力学、眼科或遗传学系统评估，肾功能基线资料不完整。</x:v>
      </x:c>
      <x:c r="L37" s="4" t="str">
        <x:v>无长期用药，否认抗凝及抗血小板药。</x:v>
      </x:c>
      <x:c r="M37" s="4" t="str">
        <x:v>不吸烟、不饮酒，无职业性噪声及化学物暴露史；详细噪声暴露需核实。</x:v>
      </x:c>
      <x:c r="N37" s="4" t="str">
        <x:v>原始资料未记录类似家族史；需重点追问母系/父系亲属中是否有血尿、听力下降、眼部异常或早发肾衰竭。</x:v>
      </x:c>
      <x:c r="O37" s="4" t="str">
        <x:v>无已知药物或食物过敏；既往手术、输血及泌尿操作信息已在详细既往史中说明。</x:v>
      </x:c>
      <x:c r="P37" s="4" t="str">
        <x:v>不适用。</x:v>
      </x:c>
      <x:c r="Q37" s="4" t="str">
        <x:v>Alport综合征</x:v>
      </x:c>
      <x:c r="R37" s="4" t="str">
        <x:v>肾小球疾病/Alport综合征</x:v>
      </x:c>
      <x:c r="S37" s="4" t="str">
        <x:v>薄基底膜肾病；IgA肾病；遗传性耳聋伴非肾性血尿；其他遗传性肾病</x:v>
      </x:c>
      <x:c r="T37" s="4" t="str">
        <x:v>尿沉渣镜检（基础必开）；尿红细胞形态/相差显微镜（场景必开）；尿蛋白定性/尿蛋白肌酐比（场景必开）；肾功能/eGFR（基础必开）；补体C3/C4（场景必开）；肾活检病理（场景必开）</x:v>
      </x:c>
      <x:c r="U37" s="4" t="str">
        <x:v>评估生命体征、出血、尿潴留、感染、AKI
评估血压、尿量、水肿、肾功能、电解质和尿蛋白；出现AKI、严重高血压、肺水肿或少尿时紧急肾内科处理。</x:v>
      </x:c>
      <x:c r="V37" s="4" t="str">
        <x:v>待专家确认
由肾内科结合尿沉渣红细胞形态、蛋白定量、免疫学和必要时肾活检明确病理类型，实施支持治疗和病因特异治疗。</x:v>
      </x:c>
      <x:c r="W37" s="4" t="str">
        <x:v>history.fever_chills｜fever_chills｜4分｜关键错误：待专家确认是否维度0分/总分封顶
risk.glomerular_features｜glomerular_features｜10分｜关键错误：待专家确认是否维度0分/总分封顶
risk.recent_uri｜recent_uri｜10分｜关键错误：待专家确认是否维度0分/总分封顶
risk.family_history｜family_history｜10分｜关键错误：待专家确认是否维度0分/总分封顶
risk.bleeding_tendency｜bleeding_tendency｜10分｜关键错误：待专家确认是否维度0分/总分封顶
exam.temperature｜体温｜12分｜关键错误：待专家确认是否维度0分/总分封顶
exam.blood_pressure｜血压｜12分｜关键错误：待专家确认是否维度0分/总分封顶
exam.targeted｜病例针对性查体｜11分｜关键错误：待专家确认是否维度0分/总分封顶
mdt.department｜department｜12分｜关键错误：待专家确认是否维度0分/总分封顶
mdt.trigger｜trigger｜11分｜关键错误：待专家确认是否维度0分/总分封顶
mdt.question｜question｜11分｜关键错误：待专家确认是否维度0分/总分封顶
mdt.evidence｜evidence｜11分｜关键错误：待专家确认是否维度0分/总分封顶
treatment.immediate｜immediate｜13分｜关键错误：待专家确认是否维度0分/总分封顶
treatment.etiologic｜etiologic｜13分｜关键错误：待专家确认是否维度0分/总分封顶
treatment.definitive｜definitive｜12分｜关键错误：待专家确认是否维度0分/总分封顶
treatment.perioperative｜perioperative｜12分｜关键错误：待专家确认是否维度0分/总分封顶</x:v>
      </x:c>
      <x:c r="X37" s="4" t="str">
        <x:v>修正原表“肉眼血尿”与主诉“镜下血尿”不一致，采用镜下血尿主线，并增加听力和眼部/家族史追问。</x:v>
      </x:c>
      <x:c r="Y37" s="4" t="str">
        <x:v>病例尚未完成医学专家审核；14条模拟补充事实待确认；忽略蛋白尿、畸形红细胞或RBC管型；肾功能恶化时未触发肾内科安全网</x:v>
      </x:c>
      <x:c r="Z37" s="4" t="str">
        <x:v>肾内科</x:v>
      </x:c>
      <x:c r="AA37" s="4" t="str">
        <x:v>待专家确认</x:v>
      </x:c>
      <x:c r="AB37" s="4" t="str">
        <x:v>症状方向、诊断、危险因素和已知病史来自原始工作簿；病程进展、就诊经过及部分阴性史为训练模拟扩写，必须经医学专家确认后用于标准答案。</x:v>
      </x:c>
    </x:row>
    <x:row r="38" ht="132" customHeight="1">
      <x:c r="A38" s="4" t="str">
        <x:v>P035</x:v>
      </x:c>
      <x:c r="B38" s="4" t="str">
        <x:v>HX-ADD-023</x:v>
      </x:c>
      <x:c r="C38" s="4" t="str">
        <x:v>25</x:v>
      </x:c>
      <x:c r="D38" s="4" t="str">
        <x:v>女</x:v>
      </x:c>
      <x:c r="E38" s="4" t="str">
        <x:v>原始病例事实 + 训练模拟扩写</x:v>
      </x:c>
      <x:c r="F38" s="4" t="str">
        <x:v>我这两周尿泡沫很多，检查有血尿，脸上还出了红疹，腿也有点肿。</x:v>
      </x:c>
      <x:c r="G38" s="4" t="str">
        <x:v>泡沫尿、血尿伴面部皮疹2周</x:v>
      </x:c>
      <x:c r="H38" s="4" t="str">
        <x:v>患者2周前开始出现尿液泡沫明显增多，尿检提示镜下血尿，尿色偶呈茶色，随后出现双下肢轻度水肿和低热。同期面颊及鼻梁部出现红色皮疹，日晒后可能加重，并可伴乏力、关节酸痛。无尿频、尿急、尿痛、血块或肾绞痛。尿量、血压和近期体重变化需进一步评估。</x:v>
      </x:c>
      <x:c r="I38" s="4" t="str">
        <x:v>镜下血尿；全程血尿；外观多正常或茶色；无；无尿痛；低热；否；尿频否；尿急否；尿痛否；排尿困难否；泡沫尿明显泡沫尿；水肿下肢轻肿</x:v>
      </x:c>
      <x:c r="J38" s="4" t="str">
        <x:v>原始资料未单列关键阴性病史；需根据现病史继续追问。</x:v>
      </x:c>
      <x:c r="K38" s="4" t="str">
        <x:v>既往无明确肾病、自身免疫病、高血压、糖尿病、肝病、结核、结石、尿路感染或泌尿操作史。无肿瘤及放化疗史，无手术、输血史，无已知药物或食物过敏。 既往月经和生育史无特殊，未诊断血栓性疾病或反复流产，未使用免疫抑制剂和长期激素。</x:v>
      </x:c>
      <x:c r="L38" s="4" t="str">
        <x:v>无长期用药，否认近期使用可能诱发药物性狼疮的药物，否认抗凝和抗血小板药。</x:v>
      </x:c>
      <x:c r="M38" s="4" t="str">
        <x:v>不吸烟、不饮酒，无职业性化学暴露。</x:v>
      </x:c>
      <x:c r="N38" s="4" t="str">
        <x:v>否认明确系统性红斑狼疮、遗传性肾病或反复血尿家族史。</x:v>
      </x:c>
      <x:c r="O38" s="4" t="str">
        <x:v>无已知药物或食物过敏；既往手术、输血及泌尿操作信息已在详细既往史中说明。</x:v>
      </x:c>
      <x:c r="P38" s="4" t="str">
        <x:v>月经规律，本次采尿不在月经期；目前无妊娠。需询问近期流产、口服避孕药及妊娠计划。</x:v>
      </x:c>
      <x:c r="Q38" s="4" t="str">
        <x:v>狼疮性肾炎</x:v>
      </x:c>
      <x:c r="R38" s="4" t="str">
        <x:v>肾小球疾病/狼疮性肾炎</x:v>
      </x:c>
      <x:c r="S38" s="4" t="str">
        <x:v>IgA肾病；ANCA相关性血管炎；感染后肾小球肾炎；抗GBM病</x:v>
      </x:c>
      <x:c r="T38" s="4" t="str">
        <x:v>尿沉渣镜检（基础必开）；尿红细胞形态/相差显微镜（场景必开）；尿蛋白定性/尿蛋白肌酐比（场景必开）；肾功能/eGFR（基础必开）；补体C3/C4（场景必开）；肾活检病理（场景必开）</x:v>
      </x:c>
      <x:c r="U38" s="4" t="str">
        <x:v>评估生命体征、出血、尿潴留、感染、AKI
评估血压、尿量、水肿、肾功能、电解质和尿蛋白；出现AKI、严重高血压、肺水肿或少尿时紧急肾内科处理。</x:v>
      </x:c>
      <x:c r="V38" s="4" t="str">
        <x:v>待专家确认
由肾内科结合尿沉渣红细胞形态、蛋白定量、免疫学和必要时肾活检明确病理类型，实施支持治疗和病因特异治疗。</x:v>
      </x:c>
      <x:c r="W38" s="4" t="str">
        <x:v>history.fever_chills｜fever_chills｜4分｜关键错误：待专家确认是否维度0分/总分封顶
risk.glomerular_features｜glomerular_features｜8分｜关键错误：待专家确认是否维度0分/总分封顶
risk.recent_uri｜recent_uri｜8分｜关键错误：待专家确认是否维度0分/总分封顶
risk.family_history｜family_history｜8分｜关键错误：待专家确认是否维度0分/总分封顶
risk.bleeding_tendency｜bleeding_tendency｜8分｜关键错误：待专家确认是否维度0分/总分封顶
risk.gynecologic_contamination｜gynecologic_contamination｜8分｜关键错误：待专家确认是否维度0分/总分封顶
exam.temperature｜体温｜12分｜关键错误：待专家确认是否维度0分/总分封顶
exam.blood_pressure｜血压｜12分｜关键错误：待专家确认是否维度0分/总分封顶
exam.targeted｜病例针对性查体｜11分｜关键错误：待专家确认是否维度0分/总分封顶
mdt.department｜department｜12分｜关键错误：待专家确认是否维度0分/总分封顶
mdt.trigger｜trigger｜11分｜关键错误：待专家确认是否维度0分/总分封顶
mdt.question｜question｜11分｜关键错误：待专家确认是否维度0分/总分封顶
mdt.evidence｜evidence｜11分｜关键错误：待专家确认是否维度0分/总分封顶
treatment.immediate｜immediate｜13分｜关键错误：待专家确认是否维度0分/总分封顶
treatment.etiologic｜etiologic｜13分｜关键错误：待专家确认是否维度0分/总分封顶
treatment.definitive｜definitive｜12分｜关键错误：待专家确认是否维度0分/总分封顶
treatment.perioperative｜perioperative｜12分｜关键错误：待专家确认是否维度0分/总分封顶</x:v>
      </x:c>
      <x:c r="X38" s="4" t="str">
        <x:v>补充光敏皮疹、关节症状、尿量/血压和生育相关安全信息，新增部分为训练模拟。</x:v>
      </x:c>
      <x:c r="Y38" s="4" t="str">
        <x:v>病例尚未完成医学专家审核；16条模拟补充事实待确认；忽略蛋白尿、畸形红细胞或RBC管型；肾功能恶化时未触发肾内科安全网</x:v>
      </x:c>
      <x:c r="Z38" s="4" t="str">
        <x:v>肾内科；风湿免疫科</x:v>
      </x:c>
      <x:c r="AA38" s="4" t="str">
        <x:v>待专家确认</x:v>
      </x:c>
      <x:c r="AB38" s="4" t="str">
        <x:v>症状方向、诊断、危险因素和已知病史来自原始工作簿；病程进展、就诊经过及部分阴性史为训练模拟扩写，必须经医学专家确认后用于标准答案。</x:v>
      </x:c>
    </x:row>
    <x:row r="39" ht="132" customHeight="1">
      <x:c r="A39" s="4" t="str">
        <x:v>P036</x:v>
      </x:c>
      <x:c r="B39" s="4" t="str">
        <x:v>HX-ADD-024</x:v>
      </x:c>
      <x:c r="C39" s="4" t="str">
        <x:v>20</x:v>
      </x:c>
      <x:c r="D39" s="4" t="str">
        <x:v>男</x:v>
      </x:c>
      <x:c r="E39" s="4" t="str">
        <x:v>原始病例事实 + 训练模拟扩写</x:v>
      </x:c>
      <x:c r="F39" s="4" t="str">
        <x:v>我昨天跑完长跑后尿变红了一次，休息喝水后今天已经淡下来了。</x:v>
      </x:c>
      <x:c r="G39" s="4" t="str">
        <x:v>长跑后肉眼血尿1次</x:v>
      </x:c>
      <x:c r="H39" s="4" t="str">
        <x:v>患者完成长距离跑步后数小时发现一次全程淡红色肉眼血尿，无疼痛、血块、尿频尿急尿痛、腰痛或发热。停止运动、休息及补液后尿色逐渐恢复，既往无类似发作。运动中无明显碰撞、脱水晕厥或横纹肌溶解相关肌痛、无力；仍需复查尿沉渣确认是否真正血尿。</x:v>
      </x:c>
      <x:c r="I39" s="4" t="str">
        <x:v>肉眼血尿；全程血尿；淡红；无；无痛；否；否；尿频否；尿急否；尿痛否；排尿困难否；泡沫尿否；水肿否</x:v>
      </x:c>
      <x:c r="J39" s="4" t="str">
        <x:v>原始资料未单列关键阴性病史；需根据现病史继续追问。</x:v>
      </x:c>
      <x:c r="K39" s="4" t="str">
        <x:v>既往体健，无高血压、糖尿病、肝病、结核、结石、尿路感染、泌尿外伤、泌尿操作或肿瘤史。无手术、输血史，无已知过敏。 既往运动体检无异常，无横纹肌溶解、热射病或严重脱水史，近期未患上呼吸道感染。</x:v>
      </x:c>
      <x:c r="L39" s="4" t="str">
        <x:v>无长期用药，否认NSAIDs、抗凝及抗血小板药。</x:v>
      </x:c>
      <x:c r="M39" s="4" t="str">
        <x:v>不吸烟、不饮酒，经常进行耐力运动。训练量、补液情况及是否服用运动补剂需询问。</x:v>
      </x:c>
      <x:c r="N39" s="4" t="str">
        <x:v>否认家族性血尿、遗传性肾病或泌尿系肿瘤。</x:v>
      </x:c>
      <x:c r="O39" s="4" t="str">
        <x:v>无已知药物或食物过敏；既往手术、输血及泌尿操作信息已在详细既往史中说明。</x:v>
      </x:c>
      <x:c r="P39" s="4" t="str">
        <x:v>不适用。</x:v>
      </x:c>
      <x:c r="Q39" s="4" t="str">
        <x:v>运动性血尿</x:v>
      </x:c>
      <x:c r="R39" s="4" t="str">
        <x:v>功能性血尿/运动性血尿</x:v>
      </x:c>
      <x:c r="S39" s="4" t="str">
        <x:v>IgA肾病；泌尿系结石；横纹肌溶解所致色素尿；泌尿系外伤</x:v>
      </x:c>
      <x:c r="T39" s="4" t="str">
        <x:v>尿常规（基础必开）；尿沉渣镜检（基础必开）；肾功能/eGFR（基础必开）</x:v>
      </x:c>
      <x:c r="U39" s="4" t="str">
        <x:v>评估生命体征、出血、尿潴留、感染、AKI
停止剧烈运动、补液并评估横纹肌溶解、外伤和肾功能风险；确认尿沉渣中是否存在红细胞。</x:v>
      </x:c>
      <x:c r="V39" s="4" t="str">
        <x:v>待专家确认
休息后复查规范尿标本；仅在血尿消失且无危险线索时考虑运动相关，持续或复发者按真性血尿路径评估。</x:v>
      </x:c>
      <x:c r="W39" s="4" t="str">
        <x:v>history.fever_chills｜fever_chills｜4分｜关键错误：待专家确认是否维度0分/总分封顶
risk.smoking｜smoking｜14分｜关键错误：待专家确认是否维度0分/总分封顶
risk.anticoagulant｜anticoagulant｜13分｜关键错误：待专家确认是否维度0分/总分封顶
risk.family_history｜family_history｜13分｜关键错误：待专家确认是否维度0分/总分封顶
exam.temperature｜体温｜12分｜关键错误：待专家确认是否维度0分/总分封顶
exam.blood_pressure｜血压｜12分｜关键错误：待专家确认是否维度0分/总分封顶
exam.targeted｜病例针对性查体｜11分｜关键错误：待专家确认是否维度0分/总分封顶
mdt.department｜department｜12分｜关键错误：待专家确认是否维度0分/总分封顶
mdt.trigger｜trigger｜11分｜关键错误：待专家确认是否维度0分/总分封顶
mdt.question｜question｜11分｜关键错误：待专家确认是否维度0分/总分封顶
mdt.evidence｜evidence｜11分｜关键错误：待专家确认是否维度0分/总分封顶
treatment.immediate｜immediate｜13分｜关键错误：待专家确认是否维度0分/总分封顶
treatment.etiologic｜etiologic｜13分｜关键错误：待专家确认是否维度0分/总分封顶
treatment.definitive｜definitive｜12分｜关键错误：待专家确认是否维度0分/总分封顶
treatment.perioperative｜perioperative｜12分｜关键错误：待专家确认是否维度0分/总分封顶</x:v>
      </x:c>
      <x:c r="X39" s="4" t="str">
        <x:v>加入发作与运动的时间关系、休息后缓解及肌红蛋白尿/外伤鉴别。</x:v>
      </x:c>
      <x:c r="Y39" s="4" t="str">
        <x:v>病例尚未完成医学专家审核；14条模拟补充事实待确认；未复查即把血尿归因于运动；忽略色素尿或肾损伤</x:v>
      </x:c>
      <x:c r="Z39" s="4" t="str">
        <x:v>泌尿外科/肾内科联合审核</x:v>
      </x:c>
      <x:c r="AA39" s="4" t="str">
        <x:v>待专家确认</x:v>
      </x:c>
      <x:c r="AB39" s="4" t="str">
        <x:v>症状方向、诊断、危险因素和已知病史来自原始工作簿；病程进展、就诊经过及部分阴性史为训练模拟扩写，必须经医学专家确认后用于标准答案。</x:v>
      </x:c>
    </x:row>
    <x:row r="40" ht="132" customHeight="1">
      <x:c r="A40" s="4" t="str">
        <x:v>P037</x:v>
      </x:c>
      <x:c r="B40" s="4" t="str">
        <x:v>HX-ADD-025</x:v>
      </x:c>
      <x:c r="C40" s="4" t="str">
        <x:v>31</x:v>
      </x:c>
      <x:c r="D40" s="4" t="str">
        <x:v>女</x:v>
      </x:c>
      <x:c r="E40" s="4" t="str">
        <x:v>原始病例事实 + 训练模拟扩写</x:v>
      </x:c>
      <x:c r="F40" s="4" t="str">
        <x:v>我体检那天正好来月经，尿检说潜血阳性，但我自己没有尿痛或看到尿血。</x:v>
      </x:c>
      <x:c r="G40" s="4" t="str">
        <x:v>体检尿潜血阳性1天</x:v>
      </x:c>
      <x:c r="H40" s="4" t="str">
        <x:v>患者体检留取尿标本时处于月经期，未采用规范清洁中段尿，尿潜血阳性。本人无肉眼血尿、尿频尿急尿痛、腰痛、血块、泡沫尿或水肿。月经结束后尚未完成规范复查。需同时确认是否有异常阴道流血、宫颈或其他妇科出血。</x:v>
      </x:c>
      <x:c r="I40" s="4" t="str">
        <x:v>镜下血尿；镜下血尿；外观受经血影响；无；无痛；否；否；尿频否；尿急否；尿痛否；排尿困难否；泡沫尿否；水肿否</x:v>
      </x:c>
      <x:c r="J40" s="4" t="str">
        <x:v>原始资料未单列关键阴性病史；需根据现病史继续追问。</x:v>
      </x:c>
      <x:c r="K40" s="4" t="str">
        <x:v>既往体健，无高血压、糖尿病、肝病、结核、结石、反复尿路感染、泌尿操作或肿瘤史。无手术、输血史，无已知药物或食物过敏。 妇科方面无已知子宫肌瘤、宫颈病变或异常阴道出血史，既往妇科体检大致正常。</x:v>
      </x:c>
      <x:c r="L40" s="4" t="str">
        <x:v>无长期用药，否认抗凝及抗血小板药。</x:v>
      </x:c>
      <x:c r="M40" s="4" t="str">
        <x:v>不吸烟、不饮酒，无职业暴露。</x:v>
      </x:c>
      <x:c r="N40" s="4" t="str">
        <x:v>否认家族性血尿、遗传性肾病或泌尿系肿瘤。</x:v>
      </x:c>
      <x:c r="O40" s="4" t="str">
        <x:v>无已知药物或食物过敏；既往手术、输血及泌尿操作信息已在详细既往史中说明。</x:v>
      </x:c>
      <x:c r="P40" s="4" t="str">
        <x:v>月经周期基本规律，本次标本明确在经期留取；无异常阴道流血，目前无妊娠可能。</x:v>
      </x:c>
      <x:c r="Q40" s="4" t="str">
        <x:v>月经污染/妇科来源假性血尿</x:v>
      </x:c>
      <x:c r="R40" s="4" t="str">
        <x:v>假性血尿/月经污染/妇科来源</x:v>
      </x:c>
      <x:c r="S40" s="4" t="str">
        <x:v>真性镜下血尿；阴道或宫颈出血；色素尿；尿路感染</x:v>
      </x:c>
      <x:c r="T40" s="4" t="str">
        <x:v>尿常规（基础必开）；尿沉渣镜检（基础必开）</x:v>
      </x:c>
      <x:c r="U40" s="4" t="str">
        <x:v>评估生命体征、出血、尿潴留、感染、AKI
确认尿液中是否存在红细胞，询问月经和阴道出血并规范清洁中段尿留样；有妇科活动性出血时按妇科路径评估。</x:v>
      </x:c>
      <x:c r="V40" s="4" t="str">
        <x:v>待专家确认
经期结束或污染排除后复查尿常规和尿沉渣；仅在证实持续真性血尿后进入泌尿或肾内科血尿评估。</x:v>
      </x:c>
      <x:c r="W40" s="4" t="str">
        <x:v>history.fever_chills｜fever_chills｜4分｜关键错误：待专家确认是否维度0分/总分封顶
risk.gynecologic_contamination｜gynecologic_contamination｜14分｜关键错误：待专家确认是否维度0分/总分封顶
risk.medications｜medications｜13分｜关键错误：待专家确认是否维度0分/总分封顶
risk.bleeding_tendency｜bleeding_tendency｜13分｜关键错误：待专家确认是否维度0分/总分封顶
exam.temperature｜体温｜12分｜关键错误：待专家确认是否维度0分/总分封顶
exam.blood_pressure｜血压｜12分｜关键错误：待专家确认是否维度0分/总分封顶
exam.targeted｜病例针对性查体｜11分｜关键错误：待专家确认是否维度0分/总分封顶
mdt.department｜department｜12分｜关键错误：待专家确认是否维度0分/总分封顶
mdt.trigger｜trigger｜11分｜关键错误：待专家确认是否维度0分/总分封顶
mdt.question｜question｜11分｜关键错误：待专家确认是否维度0分/总分封顶
mdt.evidence｜evidence｜11分｜关键错误：待专家确认是否维度0分/总分封顶
treatment.immediate｜immediate｜13分｜关键错误：待专家确认是否维度0分/总分封顶
treatment.etiologic｜etiologic｜13分｜关键错误：待专家确认是否维度0分/总分封顶
treatment.definitive｜definitive｜12分｜关键错误：待专家确认是否维度0分/总分封顶
treatment.perioperative｜perioperative｜12分｜关键错误：待专家确认是否维度0分/总分封顶</x:v>
      </x:c>
      <x:c r="X40" s="4" t="str">
        <x:v>原始模拟事实中“本次不在月经期”与诊断冲突；本版为保持病例逻辑将其修订为经期采样，需专家最终确认。</x:v>
      </x:c>
      <x:c r="Y40" s="4" t="str">
        <x:v>病例尚未完成医学专家审核；16条模拟补充事实待确认；未确认真性血尿即进行侵入性检查；女性未排除月经或阴道污染</x:v>
      </x:c>
      <x:c r="Z40" s="4" t="str">
        <x:v>泌尿外科</x:v>
      </x:c>
      <x:c r="AA40" s="4" t="str">
        <x:v>待专家确认</x:v>
      </x:c>
      <x:c r="AB40" s="4" t="str">
        <x:v>症状方向、诊断、危险因素和已知病史来自原始工作簿；病程进展、就诊经过及部分阴性史为训练模拟扩写，必须经医学专家确认后用于标准答案。</x:v>
      </x:c>
    </x:row>
    <x:row r="41" ht="132" customHeight="1">
      <x:c r="A41" s="4" t="str">
        <x:v>P038</x:v>
      </x:c>
      <x:c r="B41" s="4" t="str">
        <x:v>HX-ADD-026</x:v>
      </x:c>
      <x:c r="C41" s="4" t="str">
        <x:v>29</x:v>
      </x:c>
      <x:c r="D41" s="4" t="str">
        <x:v>男</x:v>
      </x:c>
      <x:c r="E41" s="4" t="str">
        <x:v>原始病例事实 + 训练模拟扩写</x:v>
      </x:c>
      <x:c r="F41" s="4" t="str">
        <x:v>我四小时前出了车祸，左边腰被撞得很痛，后来尿出来都是红的。</x:v>
      </x:c>
      <x:c r="G41" s="4" t="str">
        <x:v>车祸后腰痛伴肉眼血尿4小时</x:v>
      </x:c>
      <x:c r="H41" s="4" t="str">
        <x:v>患者4小时前发生交通事故，腰腹部受到直接撞击，随后出现持续性腰痛和全程鲜红至暗红色肉眼血尿，可见少量血块。无既往血尿。需立即询问事故机制、是否短暂意识丧失、腹痛、头晕心悸、尿量和最后一次排尿情况，并评估生命体征。发病前未服抗凝或抗血小板药。</x:v>
      </x:c>
      <x:c r="I41" s="4" t="str">
        <x:v>肉眼血尿；全程血尿；鲜红/暗红；可有；腰部疼痛；否；是；尿频否；尿急否；尿痛否；排尿困难否；泡沫尿否；水肿否</x:v>
      </x:c>
      <x:c r="J41" s="4" t="str">
        <x:v>原始资料未单列关键阴性病史；需根据现病史继续追问。</x:v>
      </x:c>
      <x:c r="K41" s="4" t="str">
        <x:v>既往体健，无高血压、糖尿病、肝病、结核、结石、尿路感染、泌尿操作或肿瘤史。无既往手术、输血史，无已知过敏。 既往无出血性疾病、凝血功能异常或脆性骨折史，近期无其他外伤或住院治疗。平时肾功能检查未提示明确异常。</x:v>
      </x:c>
      <x:c r="L41" s="4" t="str">
        <x:v>无长期用药，否认抗凝和抗血小板药。</x:v>
      </x:c>
      <x:c r="M41" s="4" t="str">
        <x:v>不吸烟、不饮酒，无职业暴露。</x:v>
      </x:c>
      <x:c r="N41" s="4" t="str">
        <x:v>否认遗传性肾病或出血性疾病家族史。</x:v>
      </x:c>
      <x:c r="O41" s="4" t="str">
        <x:v>无已知药物或食物过敏；既往手术、输血及泌尿操作信息已在详细既往史中说明。</x:v>
      </x:c>
      <x:c r="P41" s="4" t="str">
        <x:v>不适用。</x:v>
      </x:c>
      <x:c r="Q41" s="4" t="str">
        <x:v>肾挫伤/泌尿系外伤</x:v>
      </x:c>
      <x:c r="R41" s="4" t="str">
        <x:v>外伤/肾挫伤/泌尿系外伤</x:v>
      </x:c>
      <x:c r="S41" s="4" t="str">
        <x:v>肾裂伤；肾血管损伤；膀胱破裂；尿道损伤</x:v>
      </x:c>
      <x:c r="T41" s="4" t="str">
        <x:v>血常规（基础必开）；肾功能/eGFR（基础必开）；凝血功能（基础/场景）；增强CT腹盆/CT尿路外渗评估（场景必开）</x:v>
      </x:c>
      <x:c r="U41" s="4" t="str">
        <x:v>评估生命体征、出血、尿潴留、感染、AKI
按创伤初评稳定气道、呼吸和循环，监测生命体征、血红蛋白和尿量；血流动力学稳定者行增强CT分级，及时请泌尿外科/创伤外科。</x:v>
      </x:c>
      <x:c r="V41" s="4" t="str">
        <x:v>待专家确认
依据损伤分级和血流动力学选择观察、介入栓塞、内镜引流或手术探查，并同步处理合并伤。</x:v>
      </x:c>
      <x:c r="W41" s="4" t="str">
        <x:v>history.fever_chills｜fever_chills｜4分｜关键错误：待专家确认是否维度0分/总分封顶
risk.triggers｜triggers｜10分｜关键错误：待专家确认是否维度0分/总分封顶
risk.bleeding_tendency｜bleeding_tendency｜10分｜关键错误：待专家确认是否维度0分/总分封顶
risk.anticoagulant｜anticoagulant｜10分｜关键错误：待专家确认是否维度0分/总分封顶
risk.surgery_history｜surgery_history｜10分｜关键错误：待专家确认是否维度0分/总分封顶
exam.temperature｜体温｜12分｜关键错误：待专家确认是否维度0分/总分封顶
exam.blood_pressure｜血压｜12分｜关键错误：待专家确认是否维度0分/总分封顶
exam.targeted｜病例针对性查体｜11分｜关键错误：待专家确认是否维度0分/总分封顶
mdt.department｜department｜12分｜关键错误：待专家确认是否维度0分/总分封顶
mdt.trigger｜trigger｜11分｜关键错误：待专家确认是否维度0分/总分封顶
mdt.question｜question｜11分｜关键错误：待专家确认是否维度0分/总分封顶
mdt.evidence｜evidence｜11分｜关键错误：待专家确认是否维度0分/总分封顶
treatment.immediate｜immediate｜13分｜关键错误：待专家确认是否维度0分/总分封顶
treatment.etiologic｜etiologic｜13分｜关键错误：待专家确认是否维度0分/总分封顶
treatment.definitive｜definitive｜12分｜关键错误：待专家确认是否维度0分/总分封顶
treatment.perioperative｜perioperative｜12分｜关键错误：待专家确认是否维度0分/总分封顶</x:v>
      </x:c>
      <x:c r="X41" s="4" t="str">
        <x:v>增加事故机制、血流动力学、尿量和多发伤问诊要求，突出急诊优先级。</x:v>
      </x:c>
      <x:c r="Y41" s="4" t="str">
        <x:v>病例尚未完成医学专家审核；14条模拟补充事实待确认；血流动力学不稳定时延误复苏；未评估合并伤或贸然进行不合适检查</x:v>
      </x:c>
      <x:c r="Z41" s="4" t="str">
        <x:v>泌尿外科</x:v>
      </x:c>
      <x:c r="AA41" s="4" t="str">
        <x:v>待专家确认</x:v>
      </x:c>
      <x:c r="AB41" s="4" t="str">
        <x:v>症状方向、诊断、危险因素和已知病史来自原始工作簿；病程进展、就诊经过及部分阴性史为训练模拟扩写，必须经医学专家确认后用于标准答案。</x:v>
      </x:c>
    </x:row>
    <x:row r="42" ht="132" customHeight="1">
      <x:c r="A42" s="4" t="str">
        <x:v>P039</x:v>
      </x:c>
      <x:c r="B42" s="4" t="str">
        <x:v>HX-ADD-027</x:v>
      </x:c>
      <x:c r="C42" s="4" t="str">
        <x:v>56</x:v>
      </x:c>
      <x:c r="D42" s="4" t="str">
        <x:v>女</x:v>
      </x:c>
      <x:c r="E42" s="4" t="str">
        <x:v>原始病例事实 + 训练模拟扩写</x:v>
      </x:c>
      <x:c r="F42" s="4" t="str">
        <x:v>我这半年腰痛、尿血反复发作，有时尿里好像还有一点组织碎片。我平时经常吃止痛药。</x:v>
      </x:c>
      <x:c r="G42" s="4" t="str">
        <x:v>腰痛伴血尿反复半年</x:v>
      </x:c>
      <x:c r="H42" s="4" t="str">
        <x:v>患者近半年反复出现腰部持续性或阵发性疼痛，伴全程茶色或淡红色肉眼血尿，偶见类似灰白或褐色组织碎片样物，部分发作伴低热。无明显尿频尿急尿痛或排尿困难。长期因慢性疼痛自行服用布洛芬或复方止痛药，具体剂量和频率不清。近期发作次数增加。</x:v>
      </x:c>
      <x:c r="I42" s="4" t="str">
        <x:v>肉眼血尿；全程血尿；茶色或淡红；可有坏死组织样碎片描述；腰痛；偶低热；是；尿频否；尿急否；尿痛否；排尿困难否；泡沫尿否；水肿否</x:v>
      </x:c>
      <x:c r="J42" s="4" t="str">
        <x:v>原始资料未单列关键阴性病史；需根据现病史继续追问。</x:v>
      </x:c>
      <x:c r="K42" s="4" t="str">
        <x:v>否认糖尿病、镰状细胞病、泌尿系结石、反复感染、泌尿操作、肿瘤及放化疗史；无高血压、冠心病、脑卒中、肝病、结核。训练设定为有慢性头痛或肌肉骨骼痛导致镇痛药长期使用，需核实。无手术、输血史，无已知过敏。</x:v>
      </x:c>
      <x:c r="L42" s="4" t="str">
        <x:v>长期自行服用布洛芬/复方止痛药，剂量和累计时间需详细核实；否认抗凝和抗血小板药。</x:v>
      </x:c>
      <x:c r="M42" s="4" t="str">
        <x:v>不吸烟、不饮酒，无职业性化学暴露。</x:v>
      </x:c>
      <x:c r="N42" s="4" t="str">
        <x:v>否认遗传性肾病、血红蛋白病或类似血尿家族史。</x:v>
      </x:c>
      <x:c r="O42" s="4" t="str">
        <x:v>无已知药物或食物过敏；既往手术、输血及泌尿操作信息已在详细既往史中说明。</x:v>
      </x:c>
      <x:c r="P42" s="4" t="str">
        <x:v>月经规律，本次尿色异常不在月经期；目前无妊娠。</x:v>
      </x:c>
      <x:c r="Q42" s="4" t="str">
        <x:v>肾乳头坏死</x:v>
      </x:c>
      <x:c r="R42" s="4" t="str">
        <x:v>肾实质/结构性疾病/肾乳头坏死</x:v>
      </x:c>
      <x:c r="S42" s="4" t="str">
        <x:v>泌尿系结石；急性肾盂肾炎；上尿路尿路上皮癌；肾结核</x:v>
      </x:c>
      <x:c r="T42" s="4" t="str">
        <x:v>尿常规（基础必开）；尿沉渣镜检（基础必开）；肾功能/eGFR（基础必开）</x:v>
      </x:c>
      <x:c r="U42" s="4" t="str">
        <x:v>评估生命体征、出血、尿潴留、感染、AKI
评估感染、梗阻、AKI、糖尿病、镇痛药暴露和血红蛋白；必要时抗感染、引流和停用相关肾毒性药。</x:v>
      </x:c>
      <x:c r="V42" s="4" t="str">
        <x:v>待专家确认
处理基础病因，使用影像或输尿管镜明确坏死乳头和梗阻；脱落组织致梗阻时由泌尿外科解除。</x:v>
      </x:c>
      <x:c r="W42" s="4" t="str">
        <x:v>history.fever_chills｜fever_chills｜4分｜关键错误：待专家确认是否维度0分/总分封顶
risk.smoking｜smoking｜10分｜关键错误：待专家确认是否维度0分/总分封顶
risk.anticoagulant｜anticoagulant｜10分｜关键错误：待专家确认是否维度0分/总分封顶
risk.family_history｜family_history｜10分｜关键错误：待专家确认是否维度0分/总分封顶
risk.gynecologic_contamination｜gynecologic_contamination｜10分｜关键错误：待专家确认是否维度0分/总分封顶
exam.temperature｜体温｜12分｜关键错误：待专家确认是否维度0分/总分封顶
exam.blood_pressure｜血压｜12分｜关键错误：待专家确认是否维度0分/总分封顶
exam.targeted｜病例针对性查体｜11分｜关键错误：待专家确认是否维度0分/总分封顶
mdt.department｜department｜12分｜关键错误：待专家确认是否维度0分/总分封顶
mdt.trigger｜trigger｜11分｜关键错误：待专家确认是否维度0分/总分封顶
mdt.question｜question｜11分｜关键错误：待专家确认是否维度0分/总分封顶
mdt.evidence｜evidence｜11分｜关键错误：待专家确认是否维度0分/总分封顶
treatment.immediate｜immediate｜13分｜关键错误：待专家确认是否维度0分/总分封顶
treatment.etiologic｜etiologic｜13分｜关键错误：待专家确认是否维度0分/总分封顶
treatment.definitive｜definitive｜12分｜关键错误：待专家确认是否维度0分/总分封顶
treatment.perioperative｜perioperative｜12分｜关键错误：待专家确认是否维度0分/总分封顶</x:v>
      </x:c>
      <x:c r="X42" s="4" t="str">
        <x:v>补足镇痛药暴露强度、组织碎片描述及糖尿病/镰状细胞病等病因排查。</x:v>
      </x:c>
      <x:c r="Y42" s="4" t="str">
        <x:v>病例尚未完成医学专家审核；16条模拟补充事实待确认；忽略药物和基础病因；梗阻感染未引流</x:v>
      </x:c>
      <x:c r="Z42" s="4" t="str">
        <x:v>泌尿外科/肾内科联合审核</x:v>
      </x:c>
      <x:c r="AA42" s="4" t="str">
        <x:v>待专家确认</x:v>
      </x:c>
      <x:c r="AB42" s="4" t="str">
        <x:v>症状方向、诊断、危险因素和已知病史来自原始工作簿；病程进展、就诊经过及部分阴性史为训练模拟扩写，必须经医学专家确认后用于标准答案。</x:v>
      </x:c>
    </x:row>
    <x:row r="43" ht="132" customHeight="1">
      <x:c r="A43" s="4" t="str">
        <x:v>P040</x:v>
      </x:c>
      <x:c r="B43" s="4" t="str">
        <x:v>HX-ADD-028</x:v>
      </x:c>
      <x:c r="C43" s="4" t="str">
        <x:v>48</x:v>
      </x:c>
      <x:c r="D43" s="4" t="str">
        <x:v>男</x:v>
      </x:c>
      <x:c r="E43" s="4" t="str">
        <x:v>原始病例事实 + 训练模拟扩写</x:v>
      </x:c>
      <x:c r="F43" s="4" t="str">
        <x:v>我突然左边腰痛，尿也变成暗红色。我以前查出两边肾上有很多囊肿。</x:v>
      </x:c>
      <x:c r="G43" s="4" t="str">
        <x:v>突发左腰痛伴肉眼血尿1天</x:v>
      </x:c>
      <x:c r="H43" s="4" t="str">
        <x:v>患者1天前无明显诱因突发左侧腰部持续疼痛，伴全程暗红色肉眼血尿，无或仅少量血块。无发热寒战、尿频尿急尿痛和排尿困难。训练设定为既往影像发现双肾多发囊肿，近期无明显外伤。需评估疼痛和血尿是否自行缓解、血红蛋白及感染征象。</x:v>
      </x:c>
      <x:c r="I43" s="4" t="str">
        <x:v>肉眼血尿；全程血尿；暗红；无或少量；腰痛；否；是；尿频否；尿急否；尿痛否；排尿困难否；泡沫尿否；水肿否</x:v>
      </x:c>
      <x:c r="J43" s="4" t="str">
        <x:v>原始资料未单列关键阴性病史；需根据现病史继续追问。</x:v>
      </x:c>
      <x:c r="K43" s="4" t="str">
        <x:v>有高血压病史，口服ARB类降压药；既往检查提示双肾多发囊肿，但随访不规律，肾功能基线需核实。否认糖尿病、冠心病、脑卒中、肝病、结核、结石、反复尿路感染、泌尿操作和肿瘤史。无手术、输血史，无已知过敏。 既往无肉眼血尿或囊肿感染住院史，未接受肾囊肿穿刺、硬化或手术治疗。</x:v>
      </x:c>
      <x:c r="L43" s="4" t="str">
        <x:v>ARB类降压药；否认抗凝及抗血小板药。</x:v>
      </x:c>
      <x:c r="M43" s="4" t="str">
        <x:v>不吸烟、不饮酒，无职业暴露。</x:v>
      </x:c>
      <x:c r="N43" s="4" t="str">
        <x:v>原始资料未记录多囊肾家族史；需追问一级亲属有无肾囊肿、早发高血压、肾衰竭或脑动脉瘤。</x:v>
      </x:c>
      <x:c r="O43" s="4" t="str">
        <x:v>无已知药物或食物过敏；既往手术、输血及泌尿操作信息已在详细既往史中说明。</x:v>
      </x:c>
      <x:c r="P43" s="4" t="str">
        <x:v>不适用。</x:v>
      </x:c>
      <x:c r="Q43" s="4" t="str">
        <x:v>多囊肾囊肿出血</x:v>
      </x:c>
      <x:c r="R43" s="4" t="str">
        <x:v>肾实质/结构性疾病/多囊肾囊肿出血</x:v>
      </x:c>
      <x:c r="S43" s="4" t="str">
        <x:v>囊肿感染；泌尿系结石；肾细胞癌；肾梗死</x:v>
      </x:c>
      <x:c r="T43" s="4" t="str">
        <x:v>尿常规（基础必开）；尿沉渣镜检（基础必开）；肾功能/eGFR（基础必开）</x:v>
      </x:c>
      <x:c r="U43" s="4" t="str">
        <x:v>评估生命体征、出血、尿潴留、感染、AKI
评估血流动力学、血红蛋白、感染、结石和肾功能；稳定者镇痛休息，持续出血或不稳定者请泌尿外科/介入评估。</x:v>
      </x:c>
      <x:c r="V43" s="4" t="str">
        <x:v>待专家确认
排除肿瘤和感染后处理囊肿出血；反复或严重出血可考虑介入栓塞等治疗，并由肾内科管理ADPKD。</x:v>
      </x:c>
      <x:c r="W43" s="4" t="str">
        <x:v>history.fever_chills｜fever_chills｜4分｜关键错误：待专家确认是否维度0分/总分封顶
risk.smoking｜smoking｜14分｜关键错误：待专家确认是否维度0分/总分封顶
risk.anticoagulant｜anticoagulant｜13分｜关键错误：待专家确认是否维度0分/总分封顶
risk.family_history｜family_history｜13分｜关键错误：待专家确认是否维度0分/总分封顶
exam.temperature｜体温｜12分｜关键错误：待专家确认是否维度0分/总分封顶
exam.blood_pressure｜血压｜12分｜关键错误：待专家确认是否维度0分/总分封顶
exam.targeted｜病例针对性查体｜11分｜关键错误：待专家确认是否维度0分/总分封顶
mdt.department｜department｜12分｜关键错误：待专家确认是否维度0分/总分封顶
mdt.trigger｜trigger｜11分｜关键错误：待专家确认是否维度0分/总分封顶
mdt.question｜question｜11分｜关键错误：待专家确认是否维度0分/总分封顶
mdt.evidence｜evidence｜11分｜关键错误：待专家确认是否维度0分/总分封顶
treatment.immediate｜immediate｜13分｜关键错误：待专家确认是否维度0分/总分封顶
treatment.etiologic｜etiologic｜13分｜关键错误：待专家确认是否维度0分/总分封顶
treatment.definitive｜definitive｜12分｜关键错误：待专家确认是否维度0分/总分封顶
treatment.perioperative｜perioperative｜12分｜关键错误：待专家确认是否维度0分/总分封顶</x:v>
      </x:c>
      <x:c r="X43" s="4" t="str">
        <x:v>补充已知多发囊肿和家族史询问；既往影像史为训练模拟设定，需专家确认。</x:v>
      </x:c>
      <x:c r="Y43" s="4" t="str">
        <x:v>病例尚未完成医学专家审核；13条模拟补充事实待确认；未排除感染或肿瘤；严重出血未评估血流动力学</x:v>
      </x:c>
      <x:c r="Z43" s="4" t="str">
        <x:v>泌尿外科/肾内科联合审核</x:v>
      </x:c>
      <x:c r="AA43" s="4" t="str">
        <x:v>待专家确认</x:v>
      </x:c>
      <x:c r="AB43" s="4" t="str">
        <x:v>症状方向、诊断、危险因素和已知病史来自原始工作簿；病程进展、就诊经过及部分阴性史为训练模拟扩写，必须经医学专家确认后用于标准答案。</x:v>
      </x:c>
    </x:row>
    <x:row r="44" ht="132" customHeight="1">
      <x:c r="A44" s="4" t="str">
        <x:v>P041</x:v>
      </x:c>
      <x:c r="B44" s="4" t="str">
        <x:v>HX-ADD-029</x:v>
      </x:c>
      <x:c r="C44" s="4" t="str">
        <x:v>23</x:v>
      </x:c>
      <x:c r="D44" s="4" t="str">
        <x:v>女</x:v>
      </x:c>
      <x:c r="E44" s="4" t="str">
        <x:v>原始病例事实 + 训练模拟扩写</x:v>
      </x:c>
      <x:c r="F44" s="4" t="str">
        <x:v>我这一年左腰总是酸，体检反复说有镜下血尿，站久或运动后更明显。</x:v>
      </x:c>
      <x:c r="G44" s="4" t="str">
        <x:v>反复左腰酸痛伴镜下血尿1年</x:v>
      </x:c>
      <x:c r="H44" s="4" t="str">
        <x:v>患者近1年反复左侧腰部酸胀不适，久站、步行或运动后较明显，休息后减轻；多次尿检发现镜下血尿，尿液外观通常正常。无尿频尿急尿痛、发热、血块、排尿困难、泡沫尿或水肿。体型偏瘦，需询问是否伴盆腔坠胀、月经期症状加重及直立性蛋白尿。</x:v>
      </x:c>
      <x:c r="I44" s="4" t="str">
        <x:v>肉眼血尿；未明确；外观多正常；无；左腰酸痛；否；是；尿频否；尿急否；尿痛否；排尿困难否；泡沫尿否；水肿否</x:v>
      </x:c>
      <x:c r="J44" s="4" t="str">
        <x:v>原始资料未单列关键阴性病史；需根据现病史继续追问。</x:v>
      </x:c>
      <x:c r="K44" s="4" t="str">
        <x:v>既往体健，无高血压、糖尿病、肝病、结核、结石、尿路感染、泌尿操作或肿瘤史。无手术、输血史，无已知药物或食物过敏。 既往肾功能和血压大致正常，未做肾静脉彩超、CTA或静脉压测定，也无盆腔手术史。</x:v>
      </x:c>
      <x:c r="L44" s="4" t="str">
        <x:v>无长期用药，否认抗凝和抗血小板药。</x:v>
      </x:c>
      <x:c r="M44" s="4" t="str">
        <x:v>不吸烟、不饮酒，无职业暴露；训练设定为体型偏瘦，近期无明显体重骤降。</x:v>
      </x:c>
      <x:c r="N44" s="4" t="str">
        <x:v>否认家族性血尿、遗传性肾病或血管畸形。</x:v>
      </x:c>
      <x:c r="O44" s="4" t="str">
        <x:v>无已知药物或食物过敏；既往手术、输血及泌尿操作信息已在详细既往史中说明。</x:v>
      </x:c>
      <x:c r="P44" s="4" t="str">
        <x:v>月经规律，本次采尿避开月经期，目前无妊娠；需询问盆腔淤血相关症状。</x:v>
      </x:c>
      <x:c r="Q44" s="4" t="str">
        <x:v>胡桃夹综合征</x:v>
      </x:c>
      <x:c r="R44" s="4" t="str">
        <x:v>血管性疾病/胡桃夹综合征</x:v>
      </x:c>
      <x:c r="S44" s="4" t="str">
        <x:v>IgA肾病；泌尿系结石；子宫内膜异位症；左肾静脉血栓</x:v>
      </x:c>
      <x:c r="T44" s="4" t="str">
        <x:v>尿常规（基础必开）；尿沉渣镜检（基础必开）；肾功能/eGFR（基础必开）</x:v>
      </x:c>
      <x:c r="U44" s="4" t="str">
        <x:v>评估生命体征、出血、尿潴留、感染、AKI
评估生命体征、出血程度、尿量、肾功能和急症红旗，按病因路径请相关专科。</x:v>
      </x:c>
      <x:c r="V44" s="4" t="str">
        <x:v>待专家确认
完成针对性检验和影像确认病因后制定个体化治疗。</x:v>
      </x:c>
      <x:c r="W44" s="4" t="str">
        <x:v>history.fever_chills｜fever_chills｜4分｜关键错误：待专家确认是否维度0分/总分封顶
risk.smoking｜smoking｜10分｜关键错误：待专家确认是否维度0分/总分封顶
risk.anticoagulant｜anticoagulant｜10分｜关键错误：待专家确认是否维度0分/总分封顶
risk.family_history｜family_history｜10分｜关键错误：待专家确认是否维度0分/总分封顶
risk.gynecologic_contamination｜gynecologic_contamination｜10分｜关键错误：待专家确认是否维度0分/总分封顶
exam.temperature｜体温｜12分｜关键错误：待专家确认是否维度0分/总分封顶
exam.blood_pressure｜血压｜12分｜关键错误：待专家确认是否维度0分/总分封顶
exam.targeted｜病例针对性查体｜11分｜关键错误：待专家确认是否维度0分/总分封顶
mdt.department｜department｜12分｜关键错误：待专家确认是否维度0分/总分封顶
mdt.trigger｜trigger｜11分｜关键错误：待专家确认是否维度0分/总分封顶
mdt.question｜question｜11分｜关键错误：待专家确认是否维度0分/总分封顶
mdt.evidence｜evidence｜11分｜关键错误：待专家确认是否维度0分/总分封顶
treatment.immediate｜immediate｜13分｜关键错误：待专家确认是否维度0分/总分封顶
treatment.etiologic｜etiologic｜13分｜关键错误：待专家确认是否维度0分/总分封顶
treatment.definitive｜definitive｜12分｜关键错误：待专家确认是否维度0分/总分封顶
treatment.perioperative｜perioperative｜12分｜关键错误：待专家确认是否维度0分/总分封顶</x:v>
      </x:c>
      <x:c r="X44" s="4" t="str">
        <x:v>修正原表“肉眼血尿”与主诉“镜下血尿”不一致，补充站立/运动相关和体型线索。</x:v>
      </x:c>
      <x:c r="Y44" s="4" t="str">
        <x:v>病例尚未完成医学专家审核；16条模拟补充事实待确认；未确认真性血尿；忽略急症红旗</x:v>
      </x:c>
      <x:c r="Z44" s="4" t="str">
        <x:v>泌尿外科/肾内科联合审核</x:v>
      </x:c>
      <x:c r="AA44" s="4" t="str">
        <x:v>待专家确认</x:v>
      </x:c>
      <x:c r="AB44" s="4" t="str">
        <x:v>症状方向、诊断、危险因素和已知病史来自原始工作簿；病程进展、就诊经过及部分阴性史为训练模拟扩写，必须经医学专家确认后用于标准答案。</x:v>
      </x:c>
    </x:row>
    <x:row r="45" ht="132" customHeight="1">
      <x:c r="A45" s="4" t="str">
        <x:v>P042</x:v>
      </x:c>
      <x:c r="B45" s="4" t="str">
        <x:v>HX-ADD-030</x:v>
      </x:c>
      <x:c r="C45" s="4" t="str">
        <x:v>62</x:v>
      </x:c>
      <x:c r="D45" s="4" t="str">
        <x:v>男</x:v>
      </x:c>
      <x:c r="E45" s="4" t="str">
        <x:v>原始病例事实 + 训练模拟扩写</x:v>
      </x:c>
      <x:c r="F45" s="4" t="str">
        <x:v>我体检两次都说尿里有红细胞，但自己完全看不出来，也没有不舒服。</x:v>
      </x:c>
      <x:c r="G45" s="4" t="str">
        <x:v>体检发现镜下血尿1个月</x:v>
      </x:c>
      <x:c r="H45" s="4" t="str">
        <x:v>患者1个月前体检发现镜下血尿，复查仍有红细胞，尿液外观正常。无肉眼血尿、血块、尿频尿急尿痛、排尿困难、腰痛、发热、泡沫尿或水肿。既往无类似检查异常，近期无剧烈运动、外伤或泌尿操作。因年龄、重度吸烟和化工暴露属于高危人群，需要完成风险分层评估。</x:v>
      </x:c>
      <x:c r="I45" s="4" t="str">
        <x:v>镜下血尿；镜下血尿；外观正常；无；无痛；否；否；尿频否；尿急否；尿痛否；排尿困难否；泡沫尿否；水肿否</x:v>
      </x:c>
      <x:c r="J45" s="4" t="str">
        <x:v>原始资料未单列关键阴性病史；需根据现病史继续追问。</x:v>
      </x:c>
      <x:c r="K45" s="4" t="str">
        <x:v>有高血压病史，长期服用降压药，具体名称和肾功能基线需核实。否认糖尿病、冠心病、脑卒中、肝病、结核、泌尿系结石、反复尿路感染、泌尿操作或肿瘤史。无手术、输血史，无已知过敏。</x:v>
      </x:c>
      <x:c r="L45" s="4" t="str">
        <x:v>长期降压药，具体药名需核实；否认抗凝和抗血小板药。</x:v>
      </x:c>
      <x:c r="M45" s="4" t="str">
        <x:v>吸烟约45包年；长期从事苯/芳香胺相关化工工作，职业暴露明确。平时不饮酒。</x:v>
      </x:c>
      <x:c r="N45" s="4" t="str">
        <x:v>否认泌尿系统肿瘤、家族性血尿或遗传性肾病。</x:v>
      </x:c>
      <x:c r="O45" s="4" t="str">
        <x:v>无已知药物或食物过敏；既往手术、输血及泌尿操作信息已在详细既往史中说明。</x:v>
      </x:c>
      <x:c r="P45" s="4" t="str">
        <x:v>不适用。</x:v>
      </x:c>
      <x:c r="Q45" s="4" t="str">
        <x:v>高危无症状镜下血尿需肿瘤筛查</x:v>
      </x:c>
      <x:c r="R45" s="4" t="str">
        <x:v>泌尿系肿瘤/高危无症状镜下血尿</x:v>
      </x:c>
      <x:c r="S45" s="4" t="str">
        <x:v>膀胱肿瘤；上尿路尿路上皮癌；肾小球性血尿；泌尿系结石</x:v>
      </x:c>
      <x:c r="T45" s="4" t="str">
        <x:v>尿常规（基础必开）；尿沉渣镜检（基础必开）；尿脱落细胞学（场景必开）；肾功能/eGFR（基础必开）；CTU评估上尿路（场景必开）；膀胱镜（场景必开）</x:v>
      </x:c>
      <x:c r="U45" s="4" t="str">
        <x:v>评估生命体征、出血、尿潴留、感染、AKI
评估出血程度、贫血、血块尿潴留和肾功能；尿潴留时导尿冲洗，持续活动性出血时泌尿外科急诊处理。</x:v>
      </x:c>
      <x:c r="V45" s="4" t="str">
        <x:v>待专家确认
完成膀胱镜/输尿管镜或影像定位并取得病理，结合分期和患者状况制定内镜切除、根治性手术或系统治疗。</x:v>
      </x:c>
      <x:c r="W45" s="4" t="str">
        <x:v>history.fever_chills｜fever_chills｜4分｜关键错误：待专家确认是否维度0分/总分封顶
risk.smoking｜smoking｜8分｜关键错误：待专家确认是否维度0分/总分封顶
risk.occupation_exposure｜occupation_exposure｜8分｜关键错误：待专家确认是否维度0分/总分封顶
risk.tumor_history｜tumor_history｜8分｜关键错误：待专家确认是否维度0分/总分封顶
risk.anticoagulant｜anticoagulant｜8分｜关键错误：待专家确认是否维度0分/总分封顶
risk.antiplatelet｜antiplatelet｜8分｜关键错误：待专家确认是否维度0分/总分封顶
exam.temperature｜体温｜12分｜关键错误：待专家确认是否维度0分/总分封顶
exam.blood_pressure｜血压｜12分｜关键错误：待专家确认是否维度0分/总分封顶
exam.targeted｜病例针对性查体｜11分｜关键错误：待专家确认是否维度0分/总分封顶
mdt.department｜department｜12分｜关键错误：待专家确认是否维度0分/总分封顶
mdt.trigger｜trigger｜11分｜关键错误：待专家确认是否维度0分/总分封顶
mdt.question｜question｜11分｜关键错误：待专家确认是否维度0分/总分封顶
mdt.evidence｜evidence｜11分｜关键错误：待专家确认是否维度0分/总分封顶
treatment.immediate｜immediate｜13分｜关键错误：待专家确认是否维度0分/总分封顶
treatment.etiologic｜etiologic｜13分｜关键错误：待专家确认是否维度0分/总分封顶
treatment.definitive｜definitive｜12分｜关键错误：待专家确认是否维度0分/总分封顶
treatment.perioperative｜perioperative｜12分｜关键错误：待专家确认是否维度0分/总分封顶</x:v>
      </x:c>
      <x:c r="X45" s="4" t="str">
        <x:v>补充镜下血尿复查确认、运动/外伤排除及高风险暴露细节。</x:v>
      </x:c>
      <x:c r="Y45" s="4" t="str">
        <x:v>病例尚未完成医学专家审核；13条模拟补充事实待确认；未取得病理和分期即实施确定性肿瘤治疗；血块尿潴留或严重出血未处理</x:v>
      </x:c>
      <x:c r="Z45" s="4" t="str">
        <x:v>泌尿外科</x:v>
      </x:c>
      <x:c r="AA45" s="4" t="str">
        <x:v>待专家确认</x:v>
      </x:c>
      <x:c r="AB45" s="4" t="str">
        <x:v>症状方向、诊断、危险因素和已知病史来自原始工作簿；病程进展、就诊经过及部分阴性史为训练模拟扩写，必须经医学专家确认后用于标准答案。</x:v>
      </x:c>
    </x:row>
  </x:sheetData>
  <x:mergeCells>
    <x:mergeCell ref="A1:AB1"/>
    <x:mergeCell ref="A2:AB2"/>
  </x:mergeCells>
  <x:conditionalFormatting sqref="E4:E45">
    <x:cfRule type="expression" dxfId="0" priority="1">
      <x:formula>E4="原始病例事实 + 训练模拟扩写"</x:formula>
    </x:cfRule>
  </x:conditionalFormatting>
  <x:conditionalFormatting sqref="AA4:AA45">
    <x:cfRule type="expression" dxfId="1" priority="2">
      <x:formula>AA4="待专家确认"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6e242fbc87a48b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38" hidden="0" customWidth="1"/>
    <x:col min="4" max="4" width="70" hidden="0" customWidth="1"/>
    <x:col min="5" max="5" width="62" hidden="0" customWidth="1"/>
    <x:col min="6" max="6" width="45" hidden="0" customWidth="1"/>
    <x:col min="7" max="7" width="46" hidden="0" customWidth="1"/>
    <x:col min="8" max="8" width="42" hidden="0" customWidth="1"/>
    <x:col min="9" max="9" width="40" hidden="0" customWidth="1"/>
    <x:col min="10" max="10" width="30" hidden="0" customWidth="1"/>
    <x:col min="11" max="11" width="58" hidden="0" customWidth="1"/>
    <x:col min="12" max="12" width="25" hidden="0" customWidth="1"/>
  </x:cols>
  <x:sheetData>
    <x:row r="1" ht="48" customHeight="1">
      <x:c r="A1" s="19" t="str">
        <x:v>病例ID</x:v>
      </x:c>
      <x:c r="B1" s="19" t="str">
        <x:v>年龄/性别</x:v>
      </x:c>
      <x:c r="C1" s="19" t="str">
        <x:v>患者第一句话</x:v>
      </x:c>
      <x:c r="D1" s="19" t="str">
        <x:v>完整现病史</x:v>
      </x:c>
      <x:c r="E1" s="19" t="str">
        <x:v>详细既往史</x:v>
      </x:c>
      <x:c r="F1" s="19" t="str">
        <x:v>详细用药史</x:v>
      </x:c>
      <x:c r="G1" s="19" t="str">
        <x:v>个人史/危险因素</x:v>
      </x:c>
      <x:c r="H1" s="19" t="str">
        <x:v>家族史</x:v>
      </x:c>
      <x:c r="I1" s="19" t="str">
        <x:v>婚育/月经史</x:v>
      </x:c>
      <x:c r="J1" s="19" t="str">
        <x:v>训练目标诊断</x:v>
      </x:c>
      <x:c r="K1" s="19" t="str">
        <x:v>扩写与修订说明</x:v>
      </x:c>
      <x:c r="L1" s="19" t="str">
        <x:v>来源标记</x:v>
      </x:c>
    </x:row>
    <x:row r="2" ht="140" customHeight="1">
      <x:c r="A2" s="4" t="str">
        <x:v>P013</x:v>
      </x:c>
      <x:c r="B2" s="4" t="str">
        <x:v>68岁，男</x:v>
      </x:c>
      <x:c r="C2" s="4" t="str">
        <x:v>医生，我这两个月断断续续尿血，但一点也不疼，会不会是哪里长东西了？</x:v>
      </x:c>
      <x:c r="D2" s="4" t="str">
        <x:v>患者2个月前无明显诱因首次发现尿液呈洗肉水样，整次排尿均发红，偶见少量米粒至黄豆大小血块，无尿痛。此后约每1～2周发作1次，每次持续半天至1天后自行转清，近2周发作频率增加。无尿频、尿急、排尿困难，无腰腹绞痛、发热寒战，无泡沫尿及眼睑或下肢水肿。未因血尿自行停药或使用抗生素。</x:v>
      </x:c>
      <x:c r="E2" s="4" t="str">
        <x:v>有高血压病史，平时口服氨氯地平，血压总体平稳。否认糖尿病、冠心病、脑卒中、慢性肝病、结核病史；既往无明确泌尿系结石、反复尿路感染、泌尿系外伤或导尿/膀胱镜操作史，无肿瘤及放化疗史。既往无手术、输血史，否认已知药物和食物过敏。</x:v>
      </x:c>
      <x:c r="F2" s="4" t="str">
        <x:v>氨氯地平规律服用；否认华法林、利伐沙班等抗凝药及阿司匹林、氯吡格雷等抗血小板药。</x:v>
      </x:c>
      <x:c r="G2" s="4" t="str">
        <x:v>既往吸烟约40包年，5年前戒烟；曾从事染料/芳香胺相关工作30余年，职业暴露明确。平时不饮酒。</x:v>
      </x:c>
      <x:c r="H2" s="4" t="str">
        <x:v>否认家族中有泌尿系统肿瘤、反复血尿或遗传性肾病。</x:v>
      </x:c>
      <x:c r="I2" s="4" t="str">
        <x:v>不适用。</x:v>
      </x:c>
      <x:c r="J2" s="4" t="str">
        <x:v>膀胱尿路上皮癌</x:v>
      </x:c>
      <x:c r="K2" s="4" t="str">
        <x:v>在原始症状和危险因素基础上，补充发作频率、病程变化、就诊/用药经过及系统性阴性病史。</x:v>
      </x:c>
      <x:c r="L2" s="38" t="str">
        <x:v>原始病例事实 + 训练模拟扩写</x:v>
      </x:c>
    </x:row>
    <x:row r="3" ht="140" customHeight="1">
      <x:c r="A3" s="4" t="str">
        <x:v>P014</x:v>
      </x:c>
      <x:c r="B3" s="4" t="str">
        <x:v>72岁，女</x:v>
      </x:c>
      <x:c r="C3" s="4" t="str">
        <x:v>医生，我这半年老是尿频、尿急，有时候尿里还有血，吃消炎药好一点又会犯。</x:v>
      </x:c>
      <x:c r="D3" s="4" t="str">
        <x:v>患者半年前开始反复出现尿频、尿急和轻度尿痛，间歇伴尿液由淡红转暗红，多为全程血尿，无明显血块。每次被当作“尿路感染”口服抗菌药后刺激症状可暂时减轻，但停药后数周再次出现，血尿并未完全消失。近1个月发作更频繁，夜间排尿次数增加。无明显腰痛、肾绞痛、发热寒战及排尿中断，无泡沫尿、水肿。</x:v>
      </x:c>
      <x:c r="E3" s="4" t="str">
        <x:v>有2型糖尿病病史，口服二甲双胍，平时血糖监测不规律。既往多次按尿路感染治疗，但缺少完整尿培养资料；否认泌尿系结石、外伤、导尿或膀胱镜操作史，否认肿瘤、放疗或化疗史。无高血压、冠心病、脑卒中、肝病及结核病史。既往无手术、输血史，无已知药物或食物过敏。</x:v>
      </x:c>
      <x:c r="F3" s="4" t="str">
        <x:v>二甲双胍；既往发作时曾短程使用抗菌药，具体药名及疗程需核实。否认抗凝、抗血小板药。</x:v>
      </x:c>
      <x:c r="G3" s="4" t="str">
        <x:v>不吸烟，不饮酒，无明确染料、芳香胺或橡胶工业暴露。</x:v>
      </x:c>
      <x:c r="H3" s="4" t="str">
        <x:v>家族中无明确泌尿系肿瘤、遗传性肾病或类似反复血尿者。</x:v>
      </x:c>
      <x:c r="I3" s="4" t="str">
        <x:v>已绝经多年，近期无阴道流血；本次尿色异常并非月经或妇科出血污染。目前无妊娠可能。</x:v>
      </x:c>
      <x:c r="J3" s="4" t="str">
        <x:v>膀胱癌误诊为反复尿路感染</x:v>
      </x:c>
      <x:c r="K3" s="4" t="str">
        <x:v>增加既往反复按UTI治疗但血尿持续的时间线，并补足绝经及妇科来源排除信息。</x:v>
      </x:c>
      <x:c r="L3" s="38" t="str">
        <x:v>原始病例事实 + 训练模拟扩写</x:v>
      </x:c>
    </x:row>
    <x:row r="4" ht="140" customHeight="1">
      <x:c r="A4" s="4" t="str">
        <x:v>P015</x:v>
      </x:c>
      <x:c r="B4" s="4" t="str">
        <x:v>64岁，男</x:v>
      </x:c>
      <x:c r="C4" s="4" t="str">
        <x:v>医生，我左边腰一直有点胀，最近尿是暗红色的，有时还能看到细长的血块。</x:v>
      </x:c>
      <x:c r="D4" s="4" t="str">
        <x:v>患者1个月前开始出现左腰部持续性隐胀不适，疼痛程度轻至中等，不呈阵发性绞痛，也不向腹股沟放射。同期发现全程暗红色肉眼血尿，间断出现，偶见细条索样血块；血尿与活动、体位关系不明显。无尿频、尿急、尿痛及排尿困难，无发热寒战、恶心呕吐。无泡沫尿、水肿或近期上呼吸道感染后茶色尿。</x:v>
      </x:c>
      <x:c r="E4" s="4" t="str">
        <x:v>有高血压病史，长期口服缬沙坦。否认糖尿病、冠心病、脑卒中、慢性肝病、结核；否认既往泌尿系结石、反复尿路感染、泌尿系统外伤及导尿/膀胱镜等操作史。无既往肿瘤及放化疗史，无手术、输血史，无已知药物和食物过敏。</x:v>
      </x:c>
      <x:c r="F4" s="4" t="str">
        <x:v>缬沙坦；否认抗凝及抗血小板药物。</x:v>
      </x:c>
      <x:c r="G4" s="4" t="str">
        <x:v>吸烟约30包年；曾从事皮革或染料相关工作约20年，有潜在芳香胺接触。平时不饮酒。</x:v>
      </x:c>
      <x:c r="H4" s="4" t="str">
        <x:v>否认家族性血尿、遗传性肾病及泌尿系统肿瘤家族史。</x:v>
      </x:c>
      <x:c r="I4" s="4" t="str">
        <x:v>不适用。</x:v>
      </x:c>
      <x:c r="J4" s="4" t="str">
        <x:v>肾盂癌/上尿路尿路上皮癌</x:v>
      </x:c>
      <x:c r="K4" s="4" t="str">
        <x:v>将上尿路来源线索改写为连续病程，补足疼痛性质、放射特点和感染/肾小球阴性线索。</x:v>
      </x:c>
      <x:c r="L4" s="38" t="str">
        <x:v>原始病例事实 + 训练模拟扩写</x:v>
      </x:c>
    </x:row>
    <x:row r="5" ht="140" customHeight="1">
      <x:c r="A5" s="4" t="str">
        <x:v>P016</x:v>
      </x:c>
      <x:c r="B5" s="4" t="str">
        <x:v>58岁，男</x:v>
      </x:c>
      <x:c r="C5" s="4" t="str">
        <x:v>我这三周尿一直断断续续发红，但不痛，右腰偶尔有点胀。</x:v>
      </x:c>
      <x:c r="D5" s="4" t="str">
        <x:v>患者3周前首次发现全程暗红色肉眼血尿，无明显诱因，无明显血块，间歇出现，休息和饮水后可变淡但未完全消失。伴右侧腰部轻度胀感、乏力和食欲下降，不呈绞痛。无排尿烧灼感、尿频尿急、排尿困难，无发热寒战。未诉明显泡沫尿、水肿；近期无外伤、剧烈运动或泌尿操作。</x:v>
      </x:c>
      <x:c r="E5" s="4" t="str">
        <x:v>有高血压病史，口服降压药，具体名称及剂量需核实。否认糖尿病、冠心病、脑卒中、慢性肝病、结核病；既往无泌尿系结石、反复感染、外伤或泌尿操作史，无肿瘤及放化疗史。无手术、输血史，无已知药物或食物过敏。</x:v>
      </x:c>
      <x:c r="F5" s="4" t="str">
        <x:v>长期降压药；否认抗凝和抗血小板药。</x:v>
      </x:c>
      <x:c r="G5" s="4" t="str">
        <x:v>吸烟约20包年，无明确化工、染料或重金属职业暴露；平时不饮酒。</x:v>
      </x:c>
      <x:c r="H5" s="4" t="str">
        <x:v>否认肾癌、遗传性肾病或类似血尿家族史。</x:v>
      </x:c>
      <x:c r="I5" s="4" t="str">
        <x:v>不适用。</x:v>
      </x:c>
      <x:c r="J5" s="4" t="str">
        <x:v>肾细胞癌</x:v>
      </x:c>
      <x:c r="K5" s="4" t="str">
        <x:v>补充血尿持续性、腰部胀感、外伤/运动/操作史及系统性阴性信息。；按原始HX-ADD-004修正为右腰胀感，恢复乏力和食欲下降</x:v>
      </x:c>
      <x:c r="L5" s="38" t="str">
        <x:v>原始病例事实 + 训练模拟扩写</x:v>
      </x:c>
    </x:row>
    <x:row r="6" ht="140" customHeight="1">
      <x:c r="A6" s="4" t="str">
        <x:v>P017</x:v>
      </x:c>
      <x:c r="B6" s="4" t="str">
        <x:v>76岁，男</x:v>
      </x:c>
      <x:c r="C6" s="4" t="str">
        <x:v>医生，我吃着利伐沙班，这几天尿里突然有血和小血块，我是不是药吃多了？</x:v>
      </x:c>
      <x:c r="D6" s="4" t="str">
        <x:v>患者5天前无明显诱因出现全程鲜红至暗红色肉眼血尿，间歇可见少量小血块，无明显尿痛、腰痛、发热或排尿困难。血尿发生前未跌倒、撞伤或进行泌尿操作，未自行加量服药。无鼻出血、牙龈出血、黑便等其他明显出血表现。患者担心与抗凝药有关，但尚未自行停用利伐沙班。</x:v>
      </x:c>
      <x:c r="E6" s="4" t="str">
        <x:v>训练设定为因非瓣膜性房颤长期接受抗凝，并服用阿托伐他汀；其余心血管病史需核实。否认糖尿病、脑卒中、肝病、结核；既往无泌尿系结石、反复尿路感染、泌尿操作或肿瘤史。无手术、输血史，无已知药物或食物过敏。</x:v>
      </x:c>
      <x:c r="F6" s="4" t="str">
        <x:v>利伐沙班、阿托伐他汀。否认同时服用阿司匹林或氯吡格雷；具体剂量、末次服药时间、肾功能及是否合并中药/NSAIDs需主动询问。</x:v>
      </x:c>
      <x:c r="G6" s="4" t="str">
        <x:v>既往吸烟约25包年，无明确职业性芳香胺暴露；平时不饮酒。</x:v>
      </x:c>
      <x:c r="H6" s="4" t="str">
        <x:v>否认泌尿系统肿瘤、遗传性出血病或家族性血尿。</x:v>
      </x:c>
      <x:c r="I6" s="4" t="str">
        <x:v>不适用。</x:v>
      </x:c>
      <x:c r="J6" s="4" t="str">
        <x:v>抗凝相关血尿并需排除膀胱肿瘤</x:v>
      </x:c>
      <x:c r="K6" s="4" t="str">
        <x:v>补足其他部位出血、抗凝适应证和自行停药风险；抗凝适应证为训练模拟设定，需专家确认。</x:v>
      </x:c>
      <x:c r="L6" s="38" t="str">
        <x:v>原始病例事实 + 训练模拟扩写</x:v>
      </x:c>
    </x:row>
    <x:row r="7" ht="140" customHeight="1">
      <x:c r="A7" s="4" t="str">
        <x:v>P018</x:v>
      </x:c>
      <x:c r="B7" s="4" t="str">
        <x:v>24岁，女</x:v>
      </x:c>
      <x:c r="C7" s="4" t="str">
        <x:v>医生，我这两天一小会儿就想尿，尿的时候特别刺痛，最后还有点血。</x:v>
      </x:c>
      <x:c r="D7" s="4" t="str">
        <x:v>患者2天前开始出现明显尿频、尿急和排尿烧灼痛，排尿末段可见淡红色血尿，尿量每次不多。下腹有轻度坠胀感，无肉眼血块。否认发热寒战、腰背部疼痛、恶心呕吐及排尿困难。饮水后症状稍缓解，尚未自行使用抗菌药。</x:v>
      </x:c>
      <x:c r="E7" s="4" t="str">
        <x:v>既往偶有类似下尿路感染发作，均为短程治疗后缓解，具体次数和尿培养结果需核实。否认高血压、糖尿病、肝病、结核病；无泌尿系结石、泌尿操作、肿瘤、手术及输血史。无已知药物或食物过敏。 平时月经规律，无妇科肿瘤或盆腔放疗史；既往无妊娠相关泌尿系统并发症。</x:v>
      </x:c>
      <x:c r="F7" s="4" t="str">
        <x:v>无长期用药；否认抗凝、抗血小板药，发病后未自行使用抗菌药。</x:v>
      </x:c>
      <x:c r="G7" s="4" t="str">
        <x:v>不吸烟、不饮酒，无职业性化学物暴露。</x:v>
      </x:c>
      <x:c r="H7" s="4" t="str">
        <x:v>否认家族性肾病、反复血尿或泌尿系统肿瘤。</x:v>
      </x:c>
      <x:c r="I7" s="4" t="str">
        <x:v>月经规律，本次发病不在月经期；无异常阴道流血或分泌物，目前无妊娠可能。</x:v>
      </x:c>
      <x:c r="J7" s="4" t="str">
        <x:v>急性膀胱炎</x:v>
      </x:c>
      <x:c r="K7" s="4" t="str">
        <x:v>补足症状起始顺序、尿量、下腹不适、抗菌药使用和妇科污染排除。</x:v>
      </x:c>
      <x:c r="L7" s="38" t="str">
        <x:v>原始病例事实 + 训练模拟扩写</x:v>
      </x:c>
    </x:row>
    <x:row r="8" ht="140" customHeight="1">
      <x:c r="A8" s="4" t="str">
        <x:v>P019</x:v>
      </x:c>
      <x:c r="B8" s="4" t="str">
        <x:v>35岁，女</x:v>
      </x:c>
      <x:c r="C8" s="4" t="str">
        <x:v>我这三天发高烧、打冷战，腰也很痛，还一直尿频尿痛。</x:v>
      </x:c>
      <x:c r="D8" s="4" t="str">
        <x:v>患者3天前先出现尿频、尿急、尿痛，随后出现高热和寒战，体温最高约39℃，伴明显一侧腰背部持续痛和全身乏力，尿液外观可正常或略呈淡红。服用退热药后体温可短暂下降，但数小时后再次升高。无明显血块或排尿中断，暂未出现意识改变，但食欲差、饮水减少。</x:v>
      </x:c>
      <x:c r="E8" s="4" t="str">
        <x:v>既往曾有膀胱炎发作，具体培养和耐药史需追问。否认高血压、糖尿病、冠心病、脑卒中、肝病、结核；无泌尿系结石、导尿/膀胱镜操作、肿瘤、手术或输血史。无已知药物或食物过敏。</x:v>
      </x:c>
      <x:c r="F8" s="4" t="str">
        <x:v>发病后自行服用退热药，未规律使用抗菌药；否认长期用药、抗凝及抗血小板药。</x:v>
      </x:c>
      <x:c r="G8" s="4" t="str">
        <x:v>不吸烟、不饮酒，无职业性化学暴露。</x:v>
      </x:c>
      <x:c r="H8" s="4" t="str">
        <x:v>否认遗传性肾病、泌尿系肿瘤和反复感染家族史。</x:v>
      </x:c>
      <x:c r="I8" s="4" t="str">
        <x:v>月经规律，本次不在月经期；目前无妊娠可能。</x:v>
      </x:c>
      <x:c r="J8" s="4" t="str">
        <x:v>急性肾盂肾炎/系统性UTI</x:v>
      </x:c>
      <x:c r="K8" s="4" t="str">
        <x:v>增加发热与尿路症状的时间顺序、退热反应、摄入减少和脓毒症筛查线索。</x:v>
      </x:c>
      <x:c r="L8" s="38" t="str">
        <x:v>原始病例事实 + 训练模拟扩写</x:v>
      </x:c>
    </x:row>
    <x:row r="9" ht="140" customHeight="1">
      <x:c r="A9" s="4" t="str">
        <x:v>P020</x:v>
      </x:c>
      <x:c r="B9" s="4" t="str">
        <x:v>47岁，男</x:v>
      </x:c>
      <x:c r="C9" s="4" t="str">
        <x:v>医生，我发烧、尿痛，会阴里面胀得难受，现在小便也越来越费劲。</x:v>
      </x:c>
      <x:c r="D9" s="4" t="str">
        <x:v>患者2天前出现发热、寒战，随后出现尿频、尿急、排尿灼痛及会阴部持续胀痛，坐位时更明显。近半天尿线变细、排尿费力，但仍能排出少量尿液；尿色淡红，无明显血块。无腰部绞痛、恶心呕吐。发病前无导尿、膀胱镜、前列腺按摩或不洁泌尿操作。</x:v>
      </x:c>
      <x:c r="E9" s="4" t="str">
        <x:v>既往体健，否认高血压、糖尿病、冠心病、脑卒中、肝病、结核；无泌尿系结石、反复尿路感染、外伤、泌尿操作或肿瘤史。无手术、输血史，无已知药物或食物过敏。 既往无前列腺炎、前列腺增生或性传播感染诊断，近期无不洁性接触史，相关信息需在保护隐私的前提下询问。</x:v>
      </x:c>
      <x:c r="F9" s="4" t="str">
        <x:v>无长期用药，发病后未规律使用抗菌药；否认抗凝和抗血小板药。</x:v>
      </x:c>
      <x:c r="G9" s="4" t="str">
        <x:v>吸烟约10包年，不饮酒，无明确职业暴露。</x:v>
      </x:c>
      <x:c r="H9" s="4" t="str">
        <x:v>否认泌尿系肿瘤、遗传性肾病或类似感染家族史。</x:v>
      </x:c>
      <x:c r="I9" s="4" t="str">
        <x:v>不适用。</x:v>
      </x:c>
      <x:c r="J9" s="4" t="str">
        <x:v>急性细菌性前列腺炎</x:v>
      </x:c>
      <x:c r="K9" s="4" t="str">
        <x:v>补足会阴痛体位特点、排尿梗阻进展和无泌尿操作史，突出尿潴留/脓毒症风险。</x:v>
      </x:c>
      <x:c r="L9" s="38" t="str">
        <x:v>原始病例事实 + 训练模拟扩写</x:v>
      </x:c>
    </x:row>
    <x:row r="10" ht="140" customHeight="1">
      <x:c r="A10" s="4" t="str">
        <x:v>P021</x:v>
      </x:c>
      <x:c r="B10" s="4" t="str">
        <x:v>63岁，女</x:v>
      </x:c>
      <x:c r="C10" s="4" t="str">
        <x:v>医生，我这一个星期尿得特别频，尿的时候疼，最后还有点血，血糖最近也没好好管。</x:v>
      </x:c>
      <x:c r="D10" s="4" t="str">
        <x:v>患者1周前开始出现尿频、尿急、尿痛，终末尿呈淡红色，伴轻度下腹坠胀和低热，无明显血块。症状逐渐加重，夜间多次起床排尿。无明显腰痛、寒战、恶心呕吐或排尿困难。既往类似发作多次，本次尚未留取尿培养即自行服过少量旧抗菌药，效果不明显。</x:v>
      </x:c>
      <x:c r="E10" s="4" t="str">
        <x:v>有2型糖尿病病史，平时胰岛素使用不规律，近期血糖监测少；既往反复尿路感染。否认高血压、冠心病、脑卒中、肝病、结核；无泌尿系结石、泌尿操作、肿瘤、手术或输血史。无已知药物和食物过敏。</x:v>
      </x:c>
      <x:c r="F10" s="4" t="str">
        <x:v>胰岛素间断使用；发作后可能自行服用既往剩余抗菌药，具体名称与剂量需核实。否认抗凝和抗血小板药。</x:v>
      </x:c>
      <x:c r="G10" s="4" t="str">
        <x:v>不吸烟、不饮酒，无职业性化学暴露。</x:v>
      </x:c>
      <x:c r="H10" s="4" t="str">
        <x:v>否认遗传性肾病、泌尿系肿瘤或反复感染家族史。</x:v>
      </x:c>
      <x:c r="I10" s="4" t="str">
        <x:v>已绝经，近期无阴道流血；本次尿色异常与妇科出血无关。</x:v>
      </x:c>
      <x:c r="J10" s="4" t="str">
        <x:v>复杂性膀胱炎/糖尿病相关UTI</x:v>
      </x:c>
      <x:c r="K10" s="4" t="str">
        <x:v>加入糖尿病控制不规律、反复感染和自行使用残余抗菌药等复杂性UTI训练线索。</x:v>
      </x:c>
      <x:c r="L10" s="38" t="str">
        <x:v>原始病例事实 + 训练模拟扩写</x:v>
      </x:c>
    </x:row>
    <x:row r="11" ht="140" customHeight="1">
      <x:c r="A11" s="4" t="str">
        <x:v>P022</x:v>
      </x:c>
      <x:c r="B11" s="4" t="str">
        <x:v>55岁，女</x:v>
      </x:c>
      <x:c r="C11" s="4" t="str">
        <x:v>我这一年总是尿痛、尿急，吃药时好一点，但每次复查尿里还是有红细胞。</x:v>
      </x:c>
      <x:c r="D11" s="4" t="str">
        <x:v>患者近1年反复出现尿频、尿急、尿痛，每次持续数天，偶伴低热，口服抗菌药后症状可缓解。多次尿检提示镜下血尿，即使刺激症状消失后仍有红细胞阳性；肉眼观察尿色多正常。无明显腰痛、肾绞痛、血块、排尿困难或水肿。既往治疗多未保留尿培养和药敏结果。</x:v>
      </x:c>
      <x:c r="E11" s="4" t="str">
        <x:v>既往被诊断为反复尿路感染，无已知泌尿系结石、糖尿病、泌尿操作、肿瘤或放化疗史。否认高血压、冠心病、脑卒中、肝病、结核；无手术、输血史，无已知药物或食物过敏。 既往肾功能大致正常，无妇科肿瘤或盆腔放疗史，未接受膀胱镜或上尿路影像系统评估。</x:v>
      </x:c>
      <x:c r="F11" s="4" t="str">
        <x:v>无长期用药；发作期曾多次短程使用抗菌药，药名和疗程不详。否认抗凝与抗血小板药。</x:v>
      </x:c>
      <x:c r="G11" s="4" t="str">
        <x:v>不吸烟、不饮酒，无明确芳香胺或橡胶工业暴露。</x:v>
      </x:c>
      <x:c r="H11" s="4" t="str">
        <x:v>否认泌尿系肿瘤、家族性血尿及遗传性肾病。</x:v>
      </x:c>
      <x:c r="I11" s="4" t="str">
        <x:v>训练设定为已绝经2年，无近期阴道流血；需与妇科来源污染鉴别。</x:v>
      </x:c>
      <x:c r="J11" s="4" t="str">
        <x:v>复发性UTI后持续血尿需排除肿瘤/结石</x:v>
      </x:c>
      <x:c r="K11" s="4" t="str">
        <x:v>强化“感染症状缓解后镜下血尿仍持续”的关键时间线，补足培养缺失和绝经后出血鉴别。</x:v>
      </x:c>
      <x:c r="L11" s="38" t="str">
        <x:v>原始病例事实 + 训练模拟扩写</x:v>
      </x:c>
    </x:row>
    <x:row r="12" ht="140" customHeight="1">
      <x:c r="A12" s="4" t="str">
        <x:v>P023</x:v>
      </x:c>
      <x:c r="B12" s="4" t="str">
        <x:v>39岁，男</x:v>
      </x:c>
      <x:c r="C12" s="4" t="str">
        <x:v>医生，我右边腰突然像绞一样疼，坐也坐不住，尿也变红了。</x:v>
      </x:c>
      <x:c r="D12" s="4" t="str">
        <x:v>患者6小时前无明显诱因突发右侧腰腹部剧烈阵发性绞痛，疼痛向右下腹及腹股沟放射，发作时辗转不安，伴恶心和肉眼淡红色血尿。可有轻度尿频、尿急，但无明显排尿困难。否认发热寒战、持续呕吐或尿量明显减少。发病后未自行服用抗菌药。</x:v>
      </x:c>
      <x:c r="E12" s="4" t="str">
        <x:v>数年前曾排出过一次小结石，未接受手术治疗；否认反复尿路感染、泌尿操作、肿瘤、慢性肾病。无高血压、糖尿病、冠心病、脑卒中、肝病、结核；无手术、输血史，无已知过敏。 既往肾功能检查未发现明确异常，无痛风或甲状旁腺疾病史，未做24小时尿代谢评估。 既往未因结石出现感染性休克或急性肾损伤。</x:v>
      </x:c>
      <x:c r="F12" s="4" t="str">
        <x:v>无长期用药；否认抗凝和抗血小板药。</x:v>
      </x:c>
      <x:c r="G12" s="4" t="str">
        <x:v>吸烟约5包年，不饮酒；平时饮水偏少，具体饮食及高盐、高动物蛋白摄入需追问。</x:v>
      </x:c>
      <x:c r="H12" s="4" t="str">
        <x:v>否认明确尿路结石或遗传性肾病家族史。</x:v>
      </x:c>
      <x:c r="I12" s="4" t="str">
        <x:v>不适用。</x:v>
      </x:c>
      <x:c r="J12" s="4" t="str">
        <x:v>输尿管结石</x:v>
      </x:c>
      <x:c r="K12" s="4" t="str">
        <x:v>补足典型肾绞痛放射、辗转不安、恶心和感染/少尿阴性信息。</x:v>
      </x:c>
      <x:c r="L12" s="38" t="str">
        <x:v>原始病例事实 + 训练模拟扩写</x:v>
      </x:c>
    </x:row>
    <x:row r="13" ht="140" customHeight="1">
      <x:c r="A13" s="4" t="str">
        <x:v>P024</x:v>
      </x:c>
      <x:c r="B13" s="4" t="str">
        <x:v>45岁，男</x:v>
      </x:c>
      <x:c r="C13" s="4" t="str">
        <x:v>我左边腰这一天一直钝钝地疼，尿也有点红，不像以前那种很剧烈的绞痛。</x:v>
      </x:c>
      <x:c r="D13" s="4" t="str">
        <x:v>患者1天前出现左腰部持续性钝痛，活动后略加重，无明显向腹股沟放射，同时发现全程淡红色肉眼血尿。无发热寒战、尿频尿急尿痛、恶心呕吐或排尿困难。既往有肾结石史，本次疼痛较既往绞痛轻，尚未使用止痛药。</x:v>
      </x:c>
      <x:c r="E13" s="4" t="str">
        <x:v>既往有肾结石，曾经保守治疗或自行排石，具体结石成分和代谢评估未做。否认反复尿路感染、泌尿操作、肿瘤及慢性肾病。无高血压、糖尿病、冠心病、脑卒中、肝病、结核；无手术、输血史，无已知过敏。 既往肾功能大致正常，无痛风、肠道手术或长期补钙史；未系统进行结石成分和代谢评估。</x:v>
      </x:c>
      <x:c r="F13" s="4" t="str">
        <x:v>无长期用药，否认抗凝及抗血小板药。</x:v>
      </x:c>
      <x:c r="G13" s="4" t="str">
        <x:v>吸烟约10包年，平时饮水量偏少；无明确职业暴露。</x:v>
      </x:c>
      <x:c r="H13" s="4" t="str">
        <x:v>否认明确结石及遗传性肾病家族史。</x:v>
      </x:c>
      <x:c r="I13" s="4" t="str">
        <x:v>不适用。</x:v>
      </x:c>
      <x:c r="J13" s="4" t="str">
        <x:v>肾盂/肾盏结石</x:v>
      </x:c>
      <x:c r="K13" s="4" t="str">
        <x:v>增加与既往结石发作的比较、疼痛性质和代谢评估缺失。</x:v>
      </x:c>
      <x:c r="L13" s="38" t="str">
        <x:v>原始病例事实 + 训练模拟扩写</x:v>
      </x:c>
    </x:row>
    <x:row r="14" ht="140" customHeight="1">
      <x:c r="A14" s="4" t="str">
        <x:v>P025</x:v>
      </x:c>
      <x:c r="B14" s="4" t="str">
        <x:v>67岁，男</x:v>
      </x:c>
      <x:c r="C14" s="4" t="str">
        <x:v>医生，我这三个月小便越来越不顺，尿到一半会突然停，最后还会滴几滴血。</x:v>
      </x:c>
      <x:c r="D14" s="4" t="str">
        <x:v>患者3个月来逐渐出现尿线变细、排尿费力和尿流中断，部分时候变换体位后可继续排尿，伴尿频、尿急和下腹不适。排尿末段常见淡红至鲜红色血尿，偶有少量血块，偶伴轻度尿痛。无发热寒战或腰部绞痛。近期夜尿增多，间断服用坦索罗辛后改善不明显。</x:v>
      </x:c>
      <x:c r="E14" s="4" t="str">
        <x:v>既往有反复尿路感染样症状，但无明确泌尿系结石诊断。否认糖尿病、慢性肾病、泌尿操作、肿瘤或放化疗史。无高血压、冠心病、脑卒中、肝病、结核；无手术、输血史，无已知过敏。</x:v>
      </x:c>
      <x:c r="F14" s="4" t="str">
        <x:v>坦索罗辛间断服用；否认抗凝及抗血小板药。</x:v>
      </x:c>
      <x:c r="G14" s="4" t="str">
        <x:v>吸烟约20包年，不饮酒，无职业性化学暴露。</x:v>
      </x:c>
      <x:c r="H14" s="4" t="str">
        <x:v>否认泌尿系结石、前列腺癌或遗传性肾病家族史。</x:v>
      </x:c>
      <x:c r="I14" s="4" t="str">
        <x:v>不适用。</x:v>
      </x:c>
      <x:c r="J14" s="4" t="str">
        <x:v>膀胱结石</x:v>
      </x:c>
      <x:c r="K14" s="4" t="str">
        <x:v>加入体位相关尿流中断这一膀胱结石训练线索，并补足LUTS进展和用药反应。</x:v>
      </x:c>
      <x:c r="L14" s="38" t="str">
        <x:v>原始病例事实 + 训练模拟扩写</x:v>
      </x:c>
    </x:row>
    <x:row r="15" ht="140" customHeight="1">
      <x:c r="A15" s="4" t="str">
        <x:v>P026</x:v>
      </x:c>
      <x:c r="B15" s="4" t="str">
        <x:v>61岁，女</x:v>
      </x:c>
      <x:c r="C15" s="4" t="str">
        <x:v>我这半年反复发烧、腰痛，尿又浑又红，吃消炎药好一阵又复发。</x:v>
      </x:c>
      <x:c r="D15" s="4" t="str">
        <x:v>患者近半年反复出现一侧腰部胀痛、发热和寒战，每次持续数天，伴尿频、尿急、尿痛，尿液浑浊并呈淡红色。曾多次自行或门诊使用抗菌药，症状可短暂缓解但很快复发。近1周发热和腰痛加重，乏力、食欲下降。无明显排尿中断或血块，但需警惕感染性梗阻和脓毒症。</x:v>
      </x:c>
      <x:c r="E15" s="4" t="str">
        <x:v>有糖尿病病史，口服降糖药，血糖控制情况需核实；既往反复尿路感染，之前未明确诊断结石，后续影像提示鹿角形结石。否认泌尿操作、肿瘤、放化疗及慢性肝病、结核。无手术、输血史，无已知药物过敏。</x:v>
      </x:c>
      <x:c r="F15" s="4" t="str">
        <x:v>口服降糖药，具体品种和依从性需核实；反复使用过抗菌药，药名与疗程不详。否认抗凝和抗血小板药。</x:v>
      </x:c>
      <x:c r="G15" s="4" t="str">
        <x:v>不吸烟、不饮酒，无职业暴露。</x:v>
      </x:c>
      <x:c r="H15" s="4" t="str">
        <x:v>否认结石、遗传性肾病及泌尿系肿瘤家族史。</x:v>
      </x:c>
      <x:c r="I15" s="4" t="str">
        <x:v>已绝经，近期无阴道流血。</x:v>
      </x:c>
      <x:c r="J15" s="4" t="str">
        <x:v>鹿角形结石合并感染</x:v>
      </x:c>
      <x:c r="K15" s="4" t="str">
        <x:v>强化反复感染、短期抗菌药后复发、糖尿病和感染性梗阻风险。</x:v>
      </x:c>
      <x:c r="L15" s="38" t="str">
        <x:v>原始病例事实 + 训练模拟扩写</x:v>
      </x:c>
    </x:row>
    <x:row r="16" ht="140" customHeight="1">
      <x:c r="A16" s="4" t="str">
        <x:v>P027</x:v>
      </x:c>
      <x:c r="B16" s="4" t="str">
        <x:v>52岁，男</x:v>
      </x:c>
      <x:c r="C16" s="4" t="str">
        <x:v>我左边腰突然一阵阵绞痛，尿里有血。我有痛风，降尿酸药也没怎么按时吃。</x:v>
      </x:c>
      <x:c r="D16" s="4" t="str">
        <x:v>患者1天前突发左侧腰腹部阵发性绞痛，疼痛向下腹放射，伴轻度尿急和全程淡红色肉眼血尿。无发热寒战、明显尿痛、持续呕吐或尿量减少。既往有痛风和小结石发作，本次症状相似。发病前一段时间饮水少，降尿酸治疗不规律。</x:v>
      </x:c>
      <x:c r="E16" s="4" t="str">
        <x:v>有痛风病史，既往曾发现或排出小结石，未做结石成分分析。否认反复尿路感染、泌尿操作、肿瘤及慢性肾病。无高血压、糖尿病、冠心病、脑卒中、肝病、结核；无手术、输血史，无已知过敏。 既往肾功能资料不全，无肠道手术、甲状旁腺疾病或长期补钙史；未接受规范结石代谢评估。 既往无感染性梗阻或急性肾损伤。</x:v>
      </x:c>
      <x:c r="F16" s="4" t="str">
        <x:v>别嘌醇服用不规律；否认抗凝和抗血小板药。</x:v>
      </x:c>
      <x:c r="G16" s="4" t="str">
        <x:v>吸烟约15包年；训练设定为平时高嘌呤饮食较多、饮水不足，需在问诊中主动核实。</x:v>
      </x:c>
      <x:c r="H16" s="4" t="str">
        <x:v>否认明确痛风性结石或遗传性肾病家族史。</x:v>
      </x:c>
      <x:c r="I16" s="4" t="str">
        <x:v>不适用。</x:v>
      </x:c>
      <x:c r="J16" s="4" t="str">
        <x:v>尿酸结石</x:v>
      </x:c>
      <x:c r="K16" s="4" t="str">
        <x:v>补足痛风、饮食饮水、结石成分未分析及药物依从性。</x:v>
      </x:c>
      <x:c r="L16" s="38" t="str">
        <x:v>原始病例事实 + 训练模拟扩写</x:v>
      </x:c>
    </x:row>
    <x:row r="17" ht="140" customHeight="1">
      <x:c r="A17" s="4" t="str">
        <x:v>P028</x:v>
      </x:c>
      <x:c r="B17" s="4" t="str">
        <x:v>73岁，男</x:v>
      </x:c>
      <x:c r="C17" s="4" t="str">
        <x:v>医生，我本来就小便费劲，这三天尿突然变红了，有时还有小血块。</x:v>
      </x:c>
      <x:c r="D17" s="4" t="str">
        <x:v>患者有多年尿频、夜尿、尿线细、排尿等待和尿不尽感，近3天无明显诱因出现全程淡红至鲜红色肉眼血尿，可见少量小血块，排尿困难较前加重。无尿痛、发热寒战或腰部绞痛。间断服用坦索罗辛和非那雄胺，依从性差。若血块增多或不能排尿，需按急症处理。</x:v>
      </x:c>
      <x:c r="E17" s="4" t="str">
        <x:v>既往考虑良性前列腺增生，未规律复诊；否认糖尿病、冠心病、脑卒中、肝病、结核、泌尿系结石及反复感染。无导尿或膀胱镜操作史，无肿瘤及放化疗史。无手术、输血史，无已知过敏。</x:v>
      </x:c>
      <x:c r="F17" s="4" t="str">
        <x:v>坦索罗辛、非那雄胺服用不规律；同时使用阿司匹林，具体适应证和剂量需核实。否认抗凝药。</x:v>
      </x:c>
      <x:c r="G17" s="4" t="str">
        <x:v>吸烟约20包年，不饮酒，无职业性化学暴露。</x:v>
      </x:c>
      <x:c r="H17" s="4" t="str">
        <x:v>否认前列腺癌、泌尿系肿瘤或遗传性肾病家族史。</x:v>
      </x:c>
      <x:c r="I17" s="4" t="str">
        <x:v>不适用。</x:v>
      </x:c>
      <x:c r="J17" s="4" t="str">
        <x:v>前列腺增生相关血尿</x:v>
      </x:c>
      <x:c r="K17" s="4" t="str">
        <x:v>增加多年LUTS、药物依从性和阿司匹林适应证需核实，突出血块尿潴留风险。</x:v>
      </x:c>
      <x:c r="L17" s="38" t="str">
        <x:v>原始病例事实 + 训练模拟扩写</x:v>
      </x:c>
    </x:row>
    <x:row r="18" ht="140" customHeight="1">
      <x:c r="A18" s="4" t="str">
        <x:v>P029</x:v>
      </x:c>
      <x:c r="B18" s="4" t="str">
        <x:v>80岁，男</x:v>
      </x:c>
      <x:c r="C18" s="4" t="str">
        <x:v>我昨晚完全尿不出来，医院插了尿管以后尿变成鲜红色，还带点小血块。</x:v>
      </x:c>
      <x:c r="D18" s="4" t="str">
        <x:v>患者既往长期有尿频、夜尿、尿线细和排尿费力，1天前突发下腹明显胀痛并完全不能排尿，急诊导尿后尿潴留缓解。导尿后出现鲜红色肉眼血尿，尿袋内可见少量小血块。无发热寒战、腰痛或明显尿痛。需鉴别导尿损伤、前列腺增生相关出血及其他泌尿系病变。</x:v>
      </x:c>
      <x:c r="E18" s="4" t="str">
        <x:v>既往诊断或高度怀疑良性前列腺增生，长期服用坦索罗辛。否认高血压、糖尿病、脑卒中、肝病、结核、结石和反复尿路感染。此次为已知导尿操作；此前无泌尿手术或肿瘤史。无手术、输血史，无已知过敏。</x:v>
      </x:c>
      <x:c r="F18" s="4" t="str">
        <x:v>坦索罗辛、阿司匹林；阿司匹林适应证和末次服药时间需核实。否认华法林、利伐沙班等抗凝药。</x:v>
      </x:c>
      <x:c r="G18" s="4" t="str">
        <x:v>不吸烟、不饮酒，无职业暴露。</x:v>
      </x:c>
      <x:c r="H18" s="4" t="str">
        <x:v>否认前列腺癌或泌尿系肿瘤家族史。</x:v>
      </x:c>
      <x:c r="I18" s="4" t="str">
        <x:v>不适用。</x:v>
      </x:c>
      <x:c r="J18" s="4" t="str">
        <x:v>BPH急性尿潴留/导尿相关血尿</x:v>
      </x:c>
      <x:c r="K18" s="4" t="str">
        <x:v>补足急性尿潴留发生、导尿时间与出血先后关系，并保留器质性病因排查。</x:v>
      </x:c>
      <x:c r="L18" s="38" t="str">
        <x:v>原始病例事实 + 训练模拟扩写</x:v>
      </x:c>
    </x:row>
    <x:row r="19" ht="140" customHeight="1">
      <x:c r="A19" s="4" t="str">
        <x:v>P030</x:v>
      </x:c>
      <x:c r="B19" s="4" t="str">
        <x:v>69岁，男</x:v>
      </x:c>
      <x:c r="C19" s="4" t="str">
        <x:v>我这半年小便越来越困难，体检又发现尿里有红细胞，担心是不是前列腺癌。</x:v>
      </x:c>
      <x:c r="D19" s="4" t="str">
        <x:v>患者近半年逐渐出现尿线变细、排尿等待、排尿费力和尿不尽感，伴尿频，尿液外观一直正常。体检及复查尿检发现持续镜下血尿，无肉眼血尿、血块、尿痛、发热或腰痛。否认骨痛、下肢水肿和近期明显消瘦。尚未完成PSA复核、直肠指检及影像/病理评估。</x:v>
      </x:c>
      <x:c r="E19" s="4" t="str">
        <x:v>有高血压病史，口服降压药。否认糖尿病、冠心病、脑卒中、肝病、结核、泌尿系结石、反复尿路感染、导尿或膀胱镜操作史。无既往肿瘤及放化疗史，无手术、输血史，无已知过敏。</x:v>
      </x:c>
      <x:c r="F19" s="4" t="str">
        <x:v>长期降压药，具体品种需核实；否认抗凝和抗血小板药。</x:v>
      </x:c>
      <x:c r="G19" s="4" t="str">
        <x:v>吸烟约30包年，不饮酒，无明确职业性化学暴露。</x:v>
      </x:c>
      <x:c r="H19" s="4" t="str">
        <x:v>一名兄弟患前列腺癌；否认已知家族性肾病或类似血尿。</x:v>
      </x:c>
      <x:c r="I19" s="4" t="str">
        <x:v>不适用。</x:v>
      </x:c>
      <x:c r="J19" s="4" t="str">
        <x:v>前列腺癌合并血尿/需鉴别</x:v>
      </x:c>
      <x:c r="K19" s="4" t="str">
        <x:v>增加LUTS进展、镜下血尿确认、骨痛/消瘦阴性和PSA不能单独确诊的前置条件。；按原始HX-ADD-018恢复兄弟前列腺癌家族史</x:v>
      </x:c>
      <x:c r="L19" s="38" t="str">
        <x:v>原始病例事实 + 训练模拟扩写</x:v>
      </x:c>
    </x:row>
    <x:row r="20" ht="140" customHeight="1">
      <x:c r="A20" s="4" t="str">
        <x:v>P031</x:v>
      </x:c>
      <x:c r="B20" s="4" t="str">
        <x:v>21岁，男</x:v>
      </x:c>
      <x:c r="C20" s="4" t="str">
        <x:v>我前两天咽痛，几乎同时尿就变成可乐色了，早上眼皮还有点肿。</x:v>
      </x:c>
      <x:c r="D20" s="4" t="str">
        <x:v>患者2天前在咽痛、低热期间发现全程浓茶色或可乐色肉眼血尿，时间上与上呼吸道症状几乎同步，伴轻度腰酸、尿液泡沫增多和晨起眼睑轻度浮肿。无血块、尿频尿急尿痛、排尿困难或典型肾绞痛。尿量未明显减少。既往感冒时是否出现类似尿色变化需进一步追问。</x:v>
      </x:c>
      <x:c r="E20" s="4" t="str">
        <x:v>既往体健，否认高血压、糖尿病、肝病、结核、泌尿系结石、尿路感染、泌尿操作或肿瘤史。无手术、输血史，无已知过敏。 既往体检血压和肾功能大致正常，未做过肾活检或遗传学检查，也无听力下降及眼部异常史。</x:v>
      </x:c>
      <x:c r="F20" s="4" t="str">
        <x:v>无长期用药，发病前未使用抗凝或抗血小板药。</x:v>
      </x:c>
      <x:c r="G20" s="4" t="str">
        <x:v>不吸烟、不饮酒，无职业暴露。</x:v>
      </x:c>
      <x:c r="H20" s="4" t="str">
        <x:v>否认已知家族性血尿、遗传性肾病或听力异常家族史。</x:v>
      </x:c>
      <x:c r="I20" s="4" t="str">
        <x:v>不适用。</x:v>
      </x:c>
      <x:c r="J20" s="4" t="str">
        <x:v>IgA肾病</x:v>
      </x:c>
      <x:c r="K20" s="4" t="str">
        <x:v>突出“咽炎同期血尿”与感染后肾炎潜伏期不同，补充泡沫尿、水肿和尿量。</x:v>
      </x:c>
      <x:c r="L20" s="38" t="str">
        <x:v>原始病例事实 + 训练模拟扩写</x:v>
      </x:c>
    </x:row>
    <x:row r="21" ht="140" customHeight="1">
      <x:c r="A21" s="4" t="str">
        <x:v>P032</x:v>
      </x:c>
      <x:c r="B21" s="4" t="str">
        <x:v>16岁，男</x:v>
      </x:c>
      <x:c r="C21" s="4" t="str">
        <x:v>两三周前腿上长过脓疱，现在尿像浓茶，眼皮和脚都有点肿。</x:v>
      </x:c>
      <x:c r="D21" s="4" t="str">
        <x:v>患者约3周前曾有皮肤脓疱感染，局部红肿后自行好转。1周前开始出现全程茶色或烟熏色尿，伴晨起眼睑及下肢水肿、泡沫尿，尿量较平时减少，可有轻度腰酸。无尿频、尿急、尿痛和血块，无明显高热寒战。近期是否有头痛、血压升高、气促需重点询问。</x:v>
      </x:c>
      <x:c r="E21" s="4" t="str">
        <x:v>既往体健，无高血压、糖尿病、肝病、结核、结石、反复尿路感染、泌尿操作或肿瘤史。无手术、输血史，无已知药物或食物过敏。 既往体检血压和肾功能无明确异常，无先天性心脏病、听力异常或家族性肾炎线索，未做过肾活检。</x:v>
      </x:c>
      <x:c r="F21" s="4" t="str">
        <x:v>无长期用药；皮肤感染期间是否使用抗菌药需核实。否认抗凝和抗血小板药。</x:v>
      </x:c>
      <x:c r="G21" s="4" t="str">
        <x:v>不吸烟、不饮酒，无职业暴露。</x:v>
      </x:c>
      <x:c r="H21" s="4" t="str">
        <x:v>否认家族性肾炎、血尿、听力异常或早发肾衰竭。</x:v>
      </x:c>
      <x:c r="I21" s="4" t="str">
        <x:v>不适用。</x:v>
      </x:c>
      <x:c r="J21" s="4" t="str">
        <x:v>感染后急性肾小球肾炎</x:v>
      </x:c>
      <x:c r="K21" s="4" t="str">
        <x:v>增加皮肤感染与肾炎之间潜伏期、少尿/水肿及高血压和肺水肿安全网。</x:v>
      </x:c>
      <x:c r="L21" s="38" t="str">
        <x:v>原始病例事实 + 训练模拟扩写</x:v>
      </x:c>
    </x:row>
    <x:row r="22" ht="140" customHeight="1">
      <x:c r="A22" s="4" t="str">
        <x:v>P033</x:v>
      </x:c>
      <x:c r="B22" s="4" t="str">
        <x:v>28岁，女</x:v>
      </x:c>
      <x:c r="C22" s="4" t="str">
        <x:v>我连续三年体检都说尿里有红细胞，但自己看尿一直正常，也没有不舒服。</x:v>
      </x:c>
      <x:c r="D22" s="4" t="str">
        <x:v>患者3年前体检首次发现镜下血尿，之后多次复查仍有红细胞，尿液外观始终正常。期间无肉眼血尿、血块、腰痛、尿频尿急尿痛、排尿困难、泡沫尿或水肿。既往肾功能和血压大致正常，蛋白尿情况需以定量检查确认。血尿与运动、感染和月经无明确关系。</x:v>
      </x:c>
      <x:c r="E22" s="4" t="str">
        <x:v>既往体健，否认高血压、糖尿病、肝病、结核、泌尿系结石、反复尿路感染、泌尿操作或肿瘤史。无手术、输血史，无已知过敏。 既往体检血压和肾功能大致正常，无妊娠期高血压或肾脏并发症史；未做肾活检或遗传学检查。</x:v>
      </x:c>
      <x:c r="F22" s="4" t="str">
        <x:v>无长期用药，否认抗凝和抗血小板药。</x:v>
      </x:c>
      <x:c r="G22" s="4" t="str">
        <x:v>不吸烟、不饮酒，无职业性化学暴露。</x:v>
      </x:c>
      <x:c r="H22" s="4" t="str">
        <x:v>原始资料否认明确家族性血尿或遗传性肾病，但薄基底膜相关疾病仍需再次追问一级亲属尿检、听力及肾功能情况。</x:v>
      </x:c>
      <x:c r="I22" s="4" t="str">
        <x:v>月经规律，采尿时避开月经期；目前无妊娠。</x:v>
      </x:c>
      <x:c r="J22" s="4" t="str">
        <x:v>薄基底膜肾病/家族性良性血尿</x:v>
      </x:c>
      <x:c r="K22" s="4" t="str">
        <x:v>补足长期稳定、无蛋白尿症状和家族尿检追问，同时避免直接称“良性”。</x:v>
      </x:c>
      <x:c r="L22" s="38" t="str">
        <x:v>原始病例事实 + 训练模拟扩写</x:v>
      </x:c>
    </x:row>
    <x:row r="23" ht="140" customHeight="1">
      <x:c r="A23" s="4" t="str">
        <x:v>P034</x:v>
      </x:c>
      <x:c r="B23" s="4" t="str">
        <x:v>19岁，男</x:v>
      </x:c>
      <x:c r="C23" s="4" t="str">
        <x:v>我体检反复发现尿里有红细胞，最近也觉得听别人说话没以前清楚。</x:v>
      </x:c>
      <x:c r="D23" s="4" t="str">
        <x:v>患者数年来反复镜下血尿，尿液外观多正常，近期听力逐渐下降，尤其在嘈杂环境中更明显。无尿频尿急尿痛、腰痛、血块或排尿困难，可有轻度泡沫尿但无明显水肿。既往是否在儿童期感染后出现肉眼血尿、是否伴视力或眼部异常需进一步询问。</x:v>
      </x:c>
      <x:c r="E23" s="4" t="str">
        <x:v>既往无高血压、糖尿病、肝病、结核、结石、尿路感染、泌尿操作和肿瘤史。无手术、输血史，无已知药物或食物过敏。 儿童期无明确肾炎诊断，既往未接受听力学、眼科或遗传学系统评估，肾功能基线资料不完整。</x:v>
      </x:c>
      <x:c r="F23" s="4" t="str">
        <x:v>无长期用药，否认抗凝及抗血小板药。</x:v>
      </x:c>
      <x:c r="G23" s="4" t="str">
        <x:v>不吸烟、不饮酒，无职业性噪声及化学物暴露史；详细噪声暴露需核实。</x:v>
      </x:c>
      <x:c r="H23" s="4" t="str">
        <x:v>原始资料未记录类似家族史；需重点追问母系/父系亲属中是否有血尿、听力下降、眼部异常或早发肾衰竭。</x:v>
      </x:c>
      <x:c r="I23" s="4" t="str">
        <x:v>不适用。</x:v>
      </x:c>
      <x:c r="J23" s="4" t="str">
        <x:v>Alport综合征</x:v>
      </x:c>
      <x:c r="K23" s="4" t="str">
        <x:v>修正原表“肉眼血尿”与主诉“镜下血尿”不一致，采用镜下血尿主线，并增加听力和眼部/家族史追问。</x:v>
      </x:c>
      <x:c r="L23" s="38" t="str">
        <x:v>原始病例事实 + 训练模拟扩写</x:v>
      </x:c>
    </x:row>
    <x:row r="24" ht="140" customHeight="1">
      <x:c r="A24" s="4" t="str">
        <x:v>P035</x:v>
      </x:c>
      <x:c r="B24" s="4" t="str">
        <x:v>25岁，女</x:v>
      </x:c>
      <x:c r="C24" s="4" t="str">
        <x:v>我这两周尿泡沫很多，检查有血尿，脸上还出了红疹，腿也有点肿。</x:v>
      </x:c>
      <x:c r="D24" s="4" t="str">
        <x:v>患者2周前开始出现尿液泡沫明显增多，尿检提示镜下血尿，尿色偶呈茶色，随后出现双下肢轻度水肿和低热。同期面颊及鼻梁部出现红色皮疹，日晒后可能加重，并可伴乏力、关节酸痛。无尿频、尿急、尿痛、血块或肾绞痛。尿量、血压和近期体重变化需进一步评估。</x:v>
      </x:c>
      <x:c r="E24" s="4" t="str">
        <x:v>既往无明确肾病、自身免疫病、高血压、糖尿病、肝病、结核、结石、尿路感染或泌尿操作史。无肿瘤及放化疗史，无手术、输血史，无已知药物或食物过敏。 既往月经和生育史无特殊，未诊断血栓性疾病或反复流产，未使用免疫抑制剂和长期激素。</x:v>
      </x:c>
      <x:c r="F24" s="4" t="str">
        <x:v>无长期用药，否认近期使用可能诱发药物性狼疮的药物，否认抗凝和抗血小板药。</x:v>
      </x:c>
      <x:c r="G24" s="4" t="str">
        <x:v>不吸烟、不饮酒，无职业性化学暴露。</x:v>
      </x:c>
      <x:c r="H24" s="4" t="str">
        <x:v>否认明确系统性红斑狼疮、遗传性肾病或反复血尿家族史。</x:v>
      </x:c>
      <x:c r="I24" s="4" t="str">
        <x:v>月经规律，本次采尿不在月经期；目前无妊娠。需询问近期流产、口服避孕药及妊娠计划。</x:v>
      </x:c>
      <x:c r="J24" s="4" t="str">
        <x:v>狼疮性肾炎</x:v>
      </x:c>
      <x:c r="K24" s="4" t="str">
        <x:v>补充光敏皮疹、关节症状、尿量/血压和生育相关安全信息，新增部分为训练模拟。</x:v>
      </x:c>
      <x:c r="L24" s="38" t="str">
        <x:v>原始病例事实 + 训练模拟扩写</x:v>
      </x:c>
    </x:row>
    <x:row r="25" ht="140" customHeight="1">
      <x:c r="A25" s="4" t="str">
        <x:v>P036</x:v>
      </x:c>
      <x:c r="B25" s="4" t="str">
        <x:v>20岁，男</x:v>
      </x:c>
      <x:c r="C25" s="4" t="str">
        <x:v>我昨天跑完长跑后尿变红了一次，休息喝水后今天已经淡下来了。</x:v>
      </x:c>
      <x:c r="D25" s="4" t="str">
        <x:v>患者完成长距离跑步后数小时发现一次全程淡红色肉眼血尿，无疼痛、血块、尿频尿急尿痛、腰痛或发热。停止运动、休息及补液后尿色逐渐恢复，既往无类似发作。运动中无明显碰撞、脱水晕厥或横纹肌溶解相关肌痛、无力；仍需复查尿沉渣确认是否真正血尿。</x:v>
      </x:c>
      <x:c r="E25" s="4" t="str">
        <x:v>既往体健，无高血压、糖尿病、肝病、结核、结石、尿路感染、泌尿外伤、泌尿操作或肿瘤史。无手术、输血史，无已知过敏。 既往运动体检无异常，无横纹肌溶解、热射病或严重脱水史，近期未患上呼吸道感染。</x:v>
      </x:c>
      <x:c r="F25" s="4" t="str">
        <x:v>无长期用药，否认NSAIDs、抗凝及抗血小板药。</x:v>
      </x:c>
      <x:c r="G25" s="4" t="str">
        <x:v>不吸烟、不饮酒，经常进行耐力运动。训练量、补液情况及是否服用运动补剂需询问。</x:v>
      </x:c>
      <x:c r="H25" s="4" t="str">
        <x:v>否认家族性血尿、遗传性肾病或泌尿系肿瘤。</x:v>
      </x:c>
      <x:c r="I25" s="4" t="str">
        <x:v>不适用。</x:v>
      </x:c>
      <x:c r="J25" s="4" t="str">
        <x:v>运动性血尿</x:v>
      </x:c>
      <x:c r="K25" s="4" t="str">
        <x:v>加入发作与运动的时间关系、休息后缓解及肌红蛋白尿/外伤鉴别。</x:v>
      </x:c>
      <x:c r="L25" s="38" t="str">
        <x:v>原始病例事实 + 训练模拟扩写</x:v>
      </x:c>
    </x:row>
    <x:row r="26" ht="140" customHeight="1">
      <x:c r="A26" s="4" t="str">
        <x:v>P037</x:v>
      </x:c>
      <x:c r="B26" s="4" t="str">
        <x:v>31岁，女</x:v>
      </x:c>
      <x:c r="C26" s="4" t="str">
        <x:v>我体检那天正好来月经，尿检说潜血阳性，但我自己没有尿痛或看到尿血。</x:v>
      </x:c>
      <x:c r="D26" s="4" t="str">
        <x:v>患者体检留取尿标本时处于月经期，未采用规范清洁中段尿，尿潜血阳性。本人无肉眼血尿、尿频尿急尿痛、腰痛、血块、泡沫尿或水肿。月经结束后尚未完成规范复查。需同时确认是否有异常阴道流血、宫颈或其他妇科出血。</x:v>
      </x:c>
      <x:c r="E26" s="4" t="str">
        <x:v>既往体健，无高血压、糖尿病、肝病、结核、结石、反复尿路感染、泌尿操作或肿瘤史。无手术、输血史，无已知药物或食物过敏。 妇科方面无已知子宫肌瘤、宫颈病变或异常阴道出血史，既往妇科体检大致正常。</x:v>
      </x:c>
      <x:c r="F26" s="4" t="str">
        <x:v>无长期用药，否认抗凝及抗血小板药。</x:v>
      </x:c>
      <x:c r="G26" s="4" t="str">
        <x:v>不吸烟、不饮酒，无职业暴露。</x:v>
      </x:c>
      <x:c r="H26" s="4" t="str">
        <x:v>否认家族性血尿、遗传性肾病或泌尿系肿瘤。</x:v>
      </x:c>
      <x:c r="I26" s="4" t="str">
        <x:v>月经周期基本规律，本次标本明确在经期留取；无异常阴道流血，目前无妊娠可能。</x:v>
      </x:c>
      <x:c r="J26" s="4" t="str">
        <x:v>月经污染/妇科来源假性血尿</x:v>
      </x:c>
      <x:c r="K26" s="4" t="str">
        <x:v>原始模拟事实中“本次不在月经期”与诊断冲突；本版为保持病例逻辑将其修订为经期采样，需专家最终确认。</x:v>
      </x:c>
      <x:c r="L26" s="38" t="str">
        <x:v>原始病例事实 + 训练模拟扩写</x:v>
      </x:c>
    </x:row>
    <x:row r="27" ht="140" customHeight="1">
      <x:c r="A27" s="4" t="str">
        <x:v>P038</x:v>
      </x:c>
      <x:c r="B27" s="4" t="str">
        <x:v>29岁，男</x:v>
      </x:c>
      <x:c r="C27" s="4" t="str">
        <x:v>我四小时前出了车祸，左边腰被撞得很痛，后来尿出来都是红的。</x:v>
      </x:c>
      <x:c r="D27" s="4" t="str">
        <x:v>患者4小时前发生交通事故，腰腹部受到直接撞击，随后出现持续性腰痛和全程鲜红至暗红色肉眼血尿，可见少量血块。无既往血尿。需立即询问事故机制、是否短暂意识丧失、腹痛、头晕心悸、尿量和最后一次排尿情况，并评估生命体征。发病前未服抗凝或抗血小板药。</x:v>
      </x:c>
      <x:c r="E27" s="4" t="str">
        <x:v>既往体健，无高血压、糖尿病、肝病、结核、结石、尿路感染、泌尿操作或肿瘤史。无既往手术、输血史，无已知过敏。 既往无出血性疾病、凝血功能异常或脆性骨折史，近期无其他外伤或住院治疗。平时肾功能检查未提示明确异常。</x:v>
      </x:c>
      <x:c r="F27" s="4" t="str">
        <x:v>无长期用药，否认抗凝和抗血小板药。</x:v>
      </x:c>
      <x:c r="G27" s="4" t="str">
        <x:v>不吸烟、不饮酒，无职业暴露。</x:v>
      </x:c>
      <x:c r="H27" s="4" t="str">
        <x:v>否认遗传性肾病或出血性疾病家族史。</x:v>
      </x:c>
      <x:c r="I27" s="4" t="str">
        <x:v>不适用。</x:v>
      </x:c>
      <x:c r="J27" s="4" t="str">
        <x:v>肾挫伤/泌尿系外伤</x:v>
      </x:c>
      <x:c r="K27" s="4" t="str">
        <x:v>增加事故机制、血流动力学、尿量和多发伤问诊要求，突出急诊优先级。</x:v>
      </x:c>
      <x:c r="L27" s="38" t="str">
        <x:v>原始病例事实 + 训练模拟扩写</x:v>
      </x:c>
    </x:row>
    <x:row r="28" ht="140" customHeight="1">
      <x:c r="A28" s="4" t="str">
        <x:v>P039</x:v>
      </x:c>
      <x:c r="B28" s="4" t="str">
        <x:v>56岁，女</x:v>
      </x:c>
      <x:c r="C28" s="4" t="str">
        <x:v>我这半年腰痛、尿血反复发作，有时尿里好像还有一点组织碎片。我平时经常吃止痛药。</x:v>
      </x:c>
      <x:c r="D28" s="4" t="str">
        <x:v>患者近半年反复出现腰部持续性或阵发性疼痛，伴全程茶色或淡红色肉眼血尿，偶见类似灰白或褐色组织碎片样物，部分发作伴低热。无明显尿频尿急尿痛或排尿困难。长期因慢性疼痛自行服用布洛芬或复方止痛药，具体剂量和频率不清。近期发作次数增加。</x:v>
      </x:c>
      <x:c r="E28" s="4" t="str">
        <x:v>否认糖尿病、镰状细胞病、泌尿系结石、反复感染、泌尿操作、肿瘤及放化疗史；无高血压、冠心病、脑卒中、肝病、结核。训练设定为有慢性头痛或肌肉骨骼痛导致镇痛药长期使用，需核实。无手术、输血史，无已知过敏。</x:v>
      </x:c>
      <x:c r="F28" s="4" t="str">
        <x:v>长期自行服用布洛芬/复方止痛药，剂量和累计时间需详细核实；否认抗凝和抗血小板药。</x:v>
      </x:c>
      <x:c r="G28" s="4" t="str">
        <x:v>不吸烟、不饮酒，无职业性化学暴露。</x:v>
      </x:c>
      <x:c r="H28" s="4" t="str">
        <x:v>否认遗传性肾病、血红蛋白病或类似血尿家族史。</x:v>
      </x:c>
      <x:c r="I28" s="4" t="str">
        <x:v>月经规律，本次尿色异常不在月经期；目前无妊娠。</x:v>
      </x:c>
      <x:c r="J28" s="4" t="str">
        <x:v>肾乳头坏死</x:v>
      </x:c>
      <x:c r="K28" s="4" t="str">
        <x:v>补足镇痛药暴露强度、组织碎片描述及糖尿病/镰状细胞病等病因排查。</x:v>
      </x:c>
      <x:c r="L28" s="38" t="str">
        <x:v>原始病例事实 + 训练模拟扩写</x:v>
      </x:c>
    </x:row>
    <x:row r="29" ht="140" customHeight="1">
      <x:c r="A29" s="4" t="str">
        <x:v>P040</x:v>
      </x:c>
      <x:c r="B29" s="4" t="str">
        <x:v>48岁，男</x:v>
      </x:c>
      <x:c r="C29" s="4" t="str">
        <x:v>我突然左边腰痛，尿也变成暗红色。我以前查出两边肾上有很多囊肿。</x:v>
      </x:c>
      <x:c r="D29" s="4" t="str">
        <x:v>患者1天前无明显诱因突发左侧腰部持续疼痛，伴全程暗红色肉眼血尿，无或仅少量血块。无发热寒战、尿频尿急尿痛和排尿困难。训练设定为既往影像发现双肾多发囊肿，近期无明显外伤。需评估疼痛和血尿是否自行缓解、血红蛋白及感染征象。</x:v>
      </x:c>
      <x:c r="E29" s="4" t="str">
        <x:v>有高血压病史，口服ARB类降压药；既往检查提示双肾多发囊肿，但随访不规律，肾功能基线需核实。否认糖尿病、冠心病、脑卒中、肝病、结核、结石、反复尿路感染、泌尿操作和肿瘤史。无手术、输血史，无已知过敏。 既往无肉眼血尿或囊肿感染住院史，未接受肾囊肿穿刺、硬化或手术治疗。</x:v>
      </x:c>
      <x:c r="F29" s="4" t="str">
        <x:v>ARB类降压药；否认抗凝及抗血小板药。</x:v>
      </x:c>
      <x:c r="G29" s="4" t="str">
        <x:v>不吸烟、不饮酒，无职业暴露。</x:v>
      </x:c>
      <x:c r="H29" s="4" t="str">
        <x:v>原始资料未记录多囊肾家族史；需追问一级亲属有无肾囊肿、早发高血压、肾衰竭或脑动脉瘤。</x:v>
      </x:c>
      <x:c r="I29" s="4" t="str">
        <x:v>不适用。</x:v>
      </x:c>
      <x:c r="J29" s="4" t="str">
        <x:v>多囊肾囊肿出血</x:v>
      </x:c>
      <x:c r="K29" s="4" t="str">
        <x:v>补充已知多发囊肿和家族史询问；既往影像史为训练模拟设定，需专家确认。</x:v>
      </x:c>
      <x:c r="L29" s="38" t="str">
        <x:v>原始病例事实 + 训练模拟扩写</x:v>
      </x:c>
    </x:row>
    <x:row r="30" ht="140" customHeight="1">
      <x:c r="A30" s="4" t="str">
        <x:v>P041</x:v>
      </x:c>
      <x:c r="B30" s="4" t="str">
        <x:v>23岁，女</x:v>
      </x:c>
      <x:c r="C30" s="4" t="str">
        <x:v>我这一年左腰总是酸，体检反复说有镜下血尿，站久或运动后更明显。</x:v>
      </x:c>
      <x:c r="D30" s="4" t="str">
        <x:v>患者近1年反复左侧腰部酸胀不适，久站、步行或运动后较明显，休息后减轻；多次尿检发现镜下血尿，尿液外观通常正常。无尿频尿急尿痛、发热、血块、排尿困难、泡沫尿或水肿。体型偏瘦，需询问是否伴盆腔坠胀、月经期症状加重及直立性蛋白尿。</x:v>
      </x:c>
      <x:c r="E30" s="4" t="str">
        <x:v>既往体健，无高血压、糖尿病、肝病、结核、结石、尿路感染、泌尿操作或肿瘤史。无手术、输血史，无已知药物或食物过敏。 既往肾功能和血压大致正常，未做肾静脉彩超、CTA或静脉压测定，也无盆腔手术史。</x:v>
      </x:c>
      <x:c r="F30" s="4" t="str">
        <x:v>无长期用药，否认抗凝和抗血小板药。</x:v>
      </x:c>
      <x:c r="G30" s="4" t="str">
        <x:v>不吸烟、不饮酒，无职业暴露；训练设定为体型偏瘦，近期无明显体重骤降。</x:v>
      </x:c>
      <x:c r="H30" s="4" t="str">
        <x:v>否认家族性血尿、遗传性肾病或血管畸形。</x:v>
      </x:c>
      <x:c r="I30" s="4" t="str">
        <x:v>月经规律，本次采尿避开月经期，目前无妊娠；需询问盆腔淤血相关症状。</x:v>
      </x:c>
      <x:c r="J30" s="4" t="str">
        <x:v>胡桃夹综合征</x:v>
      </x:c>
      <x:c r="K30" s="4" t="str">
        <x:v>修正原表“肉眼血尿”与主诉“镜下血尿”不一致，补充站立/运动相关和体型线索。</x:v>
      </x:c>
      <x:c r="L30" s="38" t="str">
        <x:v>原始病例事实 + 训练模拟扩写</x:v>
      </x:c>
    </x:row>
    <x:row r="31" ht="140" customHeight="1">
      <x:c r="A31" s="4" t="str">
        <x:v>P042</x:v>
      </x:c>
      <x:c r="B31" s="4" t="str">
        <x:v>62岁，男</x:v>
      </x:c>
      <x:c r="C31" s="4" t="str">
        <x:v>我体检两次都说尿里有红细胞，但自己完全看不出来，也没有不舒服。</x:v>
      </x:c>
      <x:c r="D31" s="4" t="str">
        <x:v>患者1个月前体检发现镜下血尿，复查仍有红细胞，尿液外观正常。无肉眼血尿、血块、尿频尿急尿痛、排尿困难、腰痛、发热、泡沫尿或水肿。既往无类似检查异常，近期无剧烈运动、外伤或泌尿操作。因年龄、重度吸烟和化工暴露属于高危人群，需要完成风险分层评估。</x:v>
      </x:c>
      <x:c r="E31" s="4" t="str">
        <x:v>有高血压病史，长期服用降压药，具体名称和肾功能基线需核实。否认糖尿病、冠心病、脑卒中、肝病、结核、泌尿系结石、反复尿路感染、泌尿操作或肿瘤史。无手术、输血史，无已知过敏。</x:v>
      </x:c>
      <x:c r="F31" s="4" t="str">
        <x:v>长期降压药，具体药名需核实；否认抗凝和抗血小板药。</x:v>
      </x:c>
      <x:c r="G31" s="4" t="str">
        <x:v>吸烟约45包年；长期从事苯/芳香胺相关化工工作，职业暴露明确。平时不饮酒。</x:v>
      </x:c>
      <x:c r="H31" s="4" t="str">
        <x:v>否认泌尿系统肿瘤、家族性血尿或遗传性肾病。</x:v>
      </x:c>
      <x:c r="I31" s="4" t="str">
        <x:v>不适用。</x:v>
      </x:c>
      <x:c r="J31" s="4" t="str">
        <x:v>高危无症状镜下血尿需肿瘤筛查</x:v>
      </x:c>
      <x:c r="K31" s="4" t="str">
        <x:v>补充镜下血尿复查确认、运动/外伤排除及高风险暴露细节。</x:v>
      </x:c>
      <x:c r="L31" s="38" t="str">
        <x:v>原始病例事实 + 训练模拟扩写</x:v>
      </x:c>
    </x:row>
  </x:sheetData>
  <x:pageMargins left="0.7" right="0.7" top="0.75" bottom="0.75" header="0.3" footer="0.3"/>
  <x:tableParts count="1">
    <x:tablePart xmlns:r="http://schemas.openxmlformats.org/officeDocument/2006/relationships" r:id="Re4d92a57822e425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2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6" hidden="0" customWidth="1"/>
    <x:col min="10" max="10" width="14" hidden="0" customWidth="1"/>
    <x:col min="11" max="11" width="14" hidden="0" customWidth="1"/>
  </x:cols>
  <x:sheetData>
    <x:row r="1" ht="48" customHeight="1">
      <x:c r="A1" s="19" t="str">
        <x:v>病例ID</x:v>
      </x:c>
      <x:c r="B1" s="19" t="str">
        <x:v>原始病例ID</x:v>
      </x:c>
      <x:c r="C1" s="19" t="str">
        <x:v>内容来源</x:v>
      </x:c>
      <x:c r="D1" s="19" t="str">
        <x:v>现病史字数</x:v>
      </x:c>
      <x:c r="E1" s="19" t="str">
        <x:v>既往史字数</x:v>
      </x:c>
      <x:c r="F1" s="19" t="str">
        <x:v>用药史字数</x:v>
      </x:c>
      <x:c r="G1" s="19" t="str">
        <x:v>个人史字数</x:v>
      </x:c>
      <x:c r="H1" s="19" t="str">
        <x:v>家族史字数</x:v>
      </x:c>
      <x:c r="I1" s="19" t="str">
        <x:v>核心字段完整</x:v>
      </x:c>
      <x:c r="J1" s="19" t="str">
        <x:v>占位文字</x:v>
      </x:c>
      <x:c r="K1" s="19" t="str">
        <x:v>综合结果</x:v>
      </x:c>
    </x:row>
    <x:row r="2">
      <x:c r="A2" s="4" t="str">
        <x:v>P001</x:v>
      </x:c>
      <x:c r="B2" s="4" t="str">
        <x:v>P001</x:v>
      </x:c>
      <x:c r="C2" s="4" t="str">
        <x:v>原始病例主表及原始模拟事实</x:v>
      </x:c>
      <x:c r="D2" s="4" t="n">
        <x:v>132</x:v>
      </x:c>
      <x:c r="E2" s="4" t="n">
        <x:v>134</x:v>
      </x:c>
      <x:c r="F2" s="4" t="n">
        <x:v>8</x:v>
      </x:c>
      <x:c r="G2" s="4" t="n">
        <x:v>26</x:v>
      </x:c>
      <x:c r="H2" s="4" t="n">
        <x:v>34</x:v>
      </x:c>
      <x:c r="I2" s="4" t="str">
        <x:v>是</x:v>
      </x:c>
      <x:c r="J2" s="4" t="str">
        <x:v>无</x:v>
      </x:c>
      <x:c r="K2" s="4" t="str">
        <x:v>通过</x:v>
      </x:c>
    </x:row>
    <x:row r="3">
      <x:c r="A3" s="4" t="str">
        <x:v>P002</x:v>
      </x:c>
      <x:c r="B3" s="4" t="str">
        <x:v>P002</x:v>
      </x:c>
      <x:c r="C3" s="4" t="str">
        <x:v>原始病例主表及原始模拟事实</x:v>
      </x:c>
      <x:c r="D3" s="4" t="n">
        <x:v>136</x:v>
      </x:c>
      <x:c r="E3" s="4" t="n">
        <x:v>127</x:v>
      </x:c>
      <x:c r="F3" s="4" t="n">
        <x:v>3</x:v>
      </x:c>
      <x:c r="G3" s="4" t="n">
        <x:v>123</x:v>
      </x:c>
      <x:c r="H3" s="4" t="n">
        <x:v>34</x:v>
      </x:c>
      <x:c r="I3" s="4" t="str">
        <x:v>是</x:v>
      </x:c>
      <x:c r="J3" s="4" t="str">
        <x:v>无</x:v>
      </x:c>
      <x:c r="K3" s="4" t="str">
        <x:v>通过</x:v>
      </x:c>
    </x:row>
    <x:row r="4">
      <x:c r="A4" s="4" t="str">
        <x:v>P003</x:v>
      </x:c>
      <x:c r="B4" s="4" t="str">
        <x:v>P003</x:v>
      </x:c>
      <x:c r="C4" s="4" t="str">
        <x:v>原始病例主表及原始模拟事实</x:v>
      </x:c>
      <x:c r="D4" s="4" t="n">
        <x:v>111</x:v>
      </x:c>
      <x:c r="E4" s="4" t="n">
        <x:v>135</x:v>
      </x:c>
      <x:c r="F4" s="4" t="n">
        <x:v>9</x:v>
      </x:c>
      <x:c r="G4" s="4" t="n">
        <x:v>139</x:v>
      </x:c>
      <x:c r="H4" s="4" t="n">
        <x:v>34</x:v>
      </x:c>
      <x:c r="I4" s="4" t="str">
        <x:v>是</x:v>
      </x:c>
      <x:c r="J4" s="4" t="str">
        <x:v>无</x:v>
      </x:c>
      <x:c r="K4" s="4" t="str">
        <x:v>通过</x:v>
      </x:c>
    </x:row>
    <x:row r="5">
      <x:c r="A5" s="4" t="str">
        <x:v>P004</x:v>
      </x:c>
      <x:c r="B5" s="4" t="str">
        <x:v>P004</x:v>
      </x:c>
      <x:c r="C5" s="4" t="str">
        <x:v>原始病例主表及原始模拟事实</x:v>
      </x:c>
      <x:c r="D5" s="4" t="n">
        <x:v>113</x:v>
      </x:c>
      <x:c r="E5" s="4" t="n">
        <x:v>161</x:v>
      </x:c>
      <x:c r="F5" s="4" t="n">
        <x:v>23</x:v>
      </x:c>
      <x:c r="G5" s="4" t="n">
        <x:v>49</x:v>
      </x:c>
      <x:c r="H5" s="4" t="n">
        <x:v>34</x:v>
      </x:c>
      <x:c r="I5" s="4" t="str">
        <x:v>是</x:v>
      </x:c>
      <x:c r="J5" s="4" t="str">
        <x:v>无</x:v>
      </x:c>
      <x:c r="K5" s="4" t="str">
        <x:v>通过</x:v>
      </x:c>
    </x:row>
    <x:row r="6">
      <x:c r="A6" s="4" t="str">
        <x:v>P005</x:v>
      </x:c>
      <x:c r="B6" s="4" t="str">
        <x:v>P005</x:v>
      </x:c>
      <x:c r="C6" s="4" t="str">
        <x:v>原始病例主表及原始模拟事实</x:v>
      </x:c>
      <x:c r="D6" s="4" t="n">
        <x:v>222</x:v>
      </x:c>
      <x:c r="E6" s="4" t="n">
        <x:v>129</x:v>
      </x:c>
      <x:c r="F6" s="4" t="n">
        <x:v>29</x:v>
      </x:c>
      <x:c r="G6" s="4" t="n">
        <x:v>41</x:v>
      </x:c>
      <x:c r="H6" s="4" t="n">
        <x:v>34</x:v>
      </x:c>
      <x:c r="I6" s="4" t="str">
        <x:v>是</x:v>
      </x:c>
      <x:c r="J6" s="4" t="str">
        <x:v>无</x:v>
      </x:c>
      <x:c r="K6" s="4" t="str">
        <x:v>通过</x:v>
      </x:c>
    </x:row>
    <x:row r="7">
      <x:c r="A7" s="4" t="str">
        <x:v>P006</x:v>
      </x:c>
      <x:c r="B7" s="4" t="str">
        <x:v>P006</x:v>
      </x:c>
      <x:c r="C7" s="4" t="str">
        <x:v>原始病例主表及原始模拟事实</x:v>
      </x:c>
      <x:c r="D7" s="4" t="n">
        <x:v>210</x:v>
      </x:c>
      <x:c r="E7" s="4" t="n">
        <x:v>152</x:v>
      </x:c>
      <x:c r="F7" s="4" t="n">
        <x:v>7</x:v>
      </x:c>
      <x:c r="G7" s="4" t="n">
        <x:v>19</x:v>
      </x:c>
      <x:c r="H7" s="4" t="n">
        <x:v>34</x:v>
      </x:c>
      <x:c r="I7" s="4" t="str">
        <x:v>是</x:v>
      </x:c>
      <x:c r="J7" s="4" t="str">
        <x:v>无</x:v>
      </x:c>
      <x:c r="K7" s="4" t="str">
        <x:v>通过</x:v>
      </x:c>
    </x:row>
    <x:row r="8">
      <x:c r="A8" s="4" t="str">
        <x:v>P007</x:v>
      </x:c>
      <x:c r="B8" s="4" t="str">
        <x:v>P007</x:v>
      </x:c>
      <x:c r="C8" s="4" t="str">
        <x:v>原始病例主表及原始模拟事实</x:v>
      </x:c>
      <x:c r="D8" s="4" t="n">
        <x:v>206</x:v>
      </x:c>
      <x:c r="E8" s="4" t="n">
        <x:v>79</x:v>
      </x:c>
      <x:c r="F8" s="4" t="n">
        <x:v>7</x:v>
      </x:c>
      <x:c r="G8" s="4" t="n">
        <x:v>105</x:v>
      </x:c>
      <x:c r="H8" s="4" t="n">
        <x:v>34</x:v>
      </x:c>
      <x:c r="I8" s="4" t="str">
        <x:v>是</x:v>
      </x:c>
      <x:c r="J8" s="4" t="str">
        <x:v>无</x:v>
      </x:c>
      <x:c r="K8" s="4" t="str">
        <x:v>通过</x:v>
      </x:c>
    </x:row>
    <x:row r="9">
      <x:c r="A9" s="4" t="str">
        <x:v>P008</x:v>
      </x:c>
      <x:c r="B9" s="4" t="str">
        <x:v>P008</x:v>
      </x:c>
      <x:c r="C9" s="4" t="str">
        <x:v>原始病例主表及原始模拟事实</x:v>
      </x:c>
      <x:c r="D9" s="4" t="n">
        <x:v>155</x:v>
      </x:c>
      <x:c r="E9" s="4" t="n">
        <x:v>103</x:v>
      </x:c>
      <x:c r="F9" s="4" t="n">
        <x:v>4</x:v>
      </x:c>
      <x:c r="G9" s="4" t="n">
        <x:v>86</x:v>
      </x:c>
      <x:c r="H9" s="4" t="n">
        <x:v>34</x:v>
      </x:c>
      <x:c r="I9" s="4" t="str">
        <x:v>是</x:v>
      </x:c>
      <x:c r="J9" s="4" t="str">
        <x:v>无</x:v>
      </x:c>
      <x:c r="K9" s="4" t="str">
        <x:v>通过</x:v>
      </x:c>
    </x:row>
    <x:row r="10">
      <x:c r="A10" s="4" t="str">
        <x:v>P009</x:v>
      </x:c>
      <x:c r="B10" s="4" t="str">
        <x:v>P009</x:v>
      </x:c>
      <x:c r="C10" s="4" t="str">
        <x:v>原始病例主表及原始模拟事实</x:v>
      </x:c>
      <x:c r="D10" s="4" t="n">
        <x:v>185</x:v>
      </x:c>
      <x:c r="E10" s="4" t="n">
        <x:v>175</x:v>
      </x:c>
      <x:c r="F10" s="4" t="n">
        <x:v>7</x:v>
      </x:c>
      <x:c r="G10" s="4" t="n">
        <x:v>105</x:v>
      </x:c>
      <x:c r="H10" s="4" t="n">
        <x:v>34</x:v>
      </x:c>
      <x:c r="I10" s="4" t="str">
        <x:v>是</x:v>
      </x:c>
      <x:c r="J10" s="4" t="str">
        <x:v>无</x:v>
      </x:c>
      <x:c r="K10" s="4" t="str">
        <x:v>通过</x:v>
      </x:c>
    </x:row>
    <x:row r="11">
      <x:c r="A11" s="4" t="str">
        <x:v>P010</x:v>
      </x:c>
      <x:c r="B11" s="4" t="str">
        <x:v>P010</x:v>
      </x:c>
      <x:c r="C11" s="4" t="str">
        <x:v>原始病例主表及原始模拟事实</x:v>
      </x:c>
      <x:c r="D11" s="4" t="n">
        <x:v>197</x:v>
      </x:c>
      <x:c r="E11" s="4" t="n">
        <x:v>140</x:v>
      </x:c>
      <x:c r="F11" s="4" t="n">
        <x:v>7</x:v>
      </x:c>
      <x:c r="G11" s="4" t="n">
        <x:v>70</x:v>
      </x:c>
      <x:c r="H11" s="4" t="n">
        <x:v>34</x:v>
      </x:c>
      <x:c r="I11" s="4" t="str">
        <x:v>是</x:v>
      </x:c>
      <x:c r="J11" s="4" t="str">
        <x:v>无</x:v>
      </x:c>
      <x:c r="K11" s="4" t="str">
        <x:v>通过</x:v>
      </x:c>
    </x:row>
    <x:row r="12">
      <x:c r="A12" s="4" t="str">
        <x:v>P011</x:v>
      </x:c>
      <x:c r="B12" s="4" t="str">
        <x:v>P011</x:v>
      </x:c>
      <x:c r="C12" s="4" t="str">
        <x:v>原始病例主表及原始模拟事实</x:v>
      </x:c>
      <x:c r="D12" s="4" t="n">
        <x:v>241</x:v>
      </x:c>
      <x:c r="E12" s="4" t="n">
        <x:v>108</x:v>
      </x:c>
      <x:c r="F12" s="4" t="n">
        <x:v>7</x:v>
      </x:c>
      <x:c r="G12" s="4" t="n">
        <x:v>51</x:v>
      </x:c>
      <x:c r="H12" s="4" t="n">
        <x:v>34</x:v>
      </x:c>
      <x:c r="I12" s="4" t="str">
        <x:v>是</x:v>
      </x:c>
      <x:c r="J12" s="4" t="str">
        <x:v>无</x:v>
      </x:c>
      <x:c r="K12" s="4" t="str">
        <x:v>通过</x:v>
      </x:c>
    </x:row>
    <x:row r="13">
      <x:c r="A13" s="4" t="str">
        <x:v>P012</x:v>
      </x:c>
      <x:c r="B13" s="4" t="str">
        <x:v>P012</x:v>
      </x:c>
      <x:c r="C13" s="4" t="str">
        <x:v>原始病例主表及原始模拟事实</x:v>
      </x:c>
      <x:c r="D13" s="4" t="n">
        <x:v>250</x:v>
      </x:c>
      <x:c r="E13" s="4" t="n">
        <x:v>75</x:v>
      </x:c>
      <x:c r="F13" s="4" t="n">
        <x:v>7</x:v>
      </x:c>
      <x:c r="G13" s="4" t="n">
        <x:v>19</x:v>
      </x:c>
      <x:c r="H13" s="4" t="n">
        <x:v>34</x:v>
      </x:c>
      <x:c r="I13" s="4" t="str">
        <x:v>是</x:v>
      </x:c>
      <x:c r="J13" s="4" t="str">
        <x:v>无</x:v>
      </x:c>
      <x:c r="K13" s="4" t="str">
        <x:v>通过</x:v>
      </x:c>
    </x:row>
    <x:row r="14">
      <x:c r="A14" s="4" t="str">
        <x:v>P013</x:v>
      </x:c>
      <x:c r="B14" s="4" t="str">
        <x:v>HX-ADD-001</x:v>
      </x:c>
      <x:c r="C14" s="4" t="str">
        <x:v>原始病例事实 + 训练模拟扩写</x:v>
      </x:c>
      <x:c r="D14" s="4" t="n">
        <x:v>138</x:v>
      </x:c>
      <x:c r="E14" s="4" t="n">
        <x:v>112</x:v>
      </x:c>
      <x:c r="F14" s="4" t="n">
        <x:v>40</x:v>
      </x:c>
      <x:c r="G14" s="4" t="n">
        <x:v>47</x:v>
      </x:c>
      <x:c r="H14" s="4" t="n">
        <x:v>24</x:v>
      </x:c>
      <x:c r="I14" s="4" t="str">
        <x:v>是</x:v>
      </x:c>
      <x:c r="J14" s="4" t="str">
        <x:v>无</x:v>
      </x:c>
      <x:c r="K14" s="4" t="str">
        <x:v>通过</x:v>
      </x:c>
    </x:row>
    <x:row r="15">
      <x:c r="A15" s="4" t="str">
        <x:v>P014</x:v>
      </x:c>
      <x:c r="B15" s="4" t="str">
        <x:v>HX-ADD-002</x:v>
      </x:c>
      <x:c r="C15" s="4" t="str">
        <x:v>原始病例事实 + 训练模拟扩写</x:v>
      </x:c>
      <x:c r="D15" s="4" t="n">
        <x:v>141</x:v>
      </x:c>
      <x:c r="E15" s="4" t="n">
        <x:v>124</x:v>
      </x:c>
      <x:c r="F15" s="4" t="n">
        <x:v>41</x:v>
      </x:c>
      <x:c r="G15" s="4" t="n">
        <x:v>25</x:v>
      </x:c>
      <x:c r="H15" s="4" t="n">
        <x:v>26</x:v>
      </x:c>
      <x:c r="I15" s="4" t="str">
        <x:v>是</x:v>
      </x:c>
      <x:c r="J15" s="4" t="str">
        <x:v>无</x:v>
      </x:c>
      <x:c r="K15" s="4" t="str">
        <x:v>通过</x:v>
      </x:c>
    </x:row>
    <x:row r="16">
      <x:c r="A16" s="4" t="str">
        <x:v>P015</x:v>
      </x:c>
      <x:c r="B16" s="4" t="str">
        <x:v>HX-ADD-003</x:v>
      </x:c>
      <x:c r="C16" s="4" t="str">
        <x:v>原始病例事实 + 训练模拟扩写</x:v>
      </x:c>
      <x:c r="D16" s="4" t="n">
        <x:v>136</x:v>
      </x:c>
      <x:c r="E16" s="4" t="n">
        <x:v>102</x:v>
      </x:c>
      <x:c r="F16" s="4" t="n">
        <x:v>16</x:v>
      </x:c>
      <x:c r="G16" s="4" t="n">
        <x:v>40</x:v>
      </x:c>
      <x:c r="H16" s="4" t="n">
        <x:v>24</x:v>
      </x:c>
      <x:c r="I16" s="4" t="str">
        <x:v>是</x:v>
      </x:c>
      <x:c r="J16" s="4" t="str">
        <x:v>无</x:v>
      </x:c>
      <x:c r="K16" s="4" t="str">
        <x:v>通过</x:v>
      </x:c>
    </x:row>
    <x:row r="17">
      <x:c r="A17" s="4" t="str">
        <x:v>P016</x:v>
      </x:c>
      <x:c r="B17" s="4" t="str">
        <x:v>HX-ADD-004</x:v>
      </x:c>
      <x:c r="C17" s="4" t="str">
        <x:v>原始病例事实 + 训练模拟扩写</x:v>
      </x:c>
      <x:c r="D17" s="4" t="n">
        <x:v>116</x:v>
      </x:c>
      <x:c r="E17" s="4" t="n">
        <x:v>98</x:v>
      </x:c>
      <x:c r="F17" s="4" t="n">
        <x:v>17</x:v>
      </x:c>
      <x:c r="G17" s="4" t="n">
        <x:v>31</x:v>
      </x:c>
      <x:c r="H17" s="4" t="n">
        <x:v>19</x:v>
      </x:c>
      <x:c r="I17" s="4" t="str">
        <x:v>是</x:v>
      </x:c>
      <x:c r="J17" s="4" t="str">
        <x:v>无</x:v>
      </x:c>
      <x:c r="K17" s="4" t="str">
        <x:v>通过</x:v>
      </x:c>
    </x:row>
    <x:row r="18">
      <x:c r="A18" s="4" t="str">
        <x:v>P017</x:v>
      </x:c>
      <x:c r="B18" s="4" t="str">
        <x:v>HX-ADD-005</x:v>
      </x:c>
      <x:c r="C18" s="4" t="str">
        <x:v>原始病例事实 + 训练模拟扩写</x:v>
      </x:c>
      <x:c r="D18" s="4" t="n">
        <x:v>124</x:v>
      </x:c>
      <x:c r="E18" s="4" t="n">
        <x:v>99</x:v>
      </x:c>
      <x:c r="F18" s="4" t="n">
        <x:v>62</x:v>
      </x:c>
      <x:c r="G18" s="4" t="n">
        <x:v>28</x:v>
      </x:c>
      <x:c r="H18" s="4" t="n">
        <x:v>22</x:v>
      </x:c>
      <x:c r="I18" s="4" t="str">
        <x:v>是</x:v>
      </x:c>
      <x:c r="J18" s="4" t="str">
        <x:v>无</x:v>
      </x:c>
      <x:c r="K18" s="4" t="str">
        <x:v>通过</x:v>
      </x:c>
    </x:row>
    <x:row r="19">
      <x:c r="A19" s="4" t="str">
        <x:v>P018</x:v>
      </x:c>
      <x:c r="B19" s="4" t="str">
        <x:v>HX-ADD-006</x:v>
      </x:c>
      <x:c r="C19" s="4" t="str">
        <x:v>原始病例事实 + 训练模拟扩写</x:v>
      </x:c>
      <x:c r="D19" s="4" t="n">
        <x:v>99</x:v>
      </x:c>
      <x:c r="E19" s="4" t="n">
        <x:v>123</x:v>
      </x:c>
      <x:c r="F19" s="4" t="n">
        <x:v>29</x:v>
      </x:c>
      <x:c r="G19" s="4" t="n">
        <x:v>18</x:v>
      </x:c>
      <x:c r="H19" s="4" t="n">
        <x:v>20</x:v>
      </x:c>
      <x:c r="I19" s="4" t="str">
        <x:v>是</x:v>
      </x:c>
      <x:c r="J19" s="4" t="str">
        <x:v>无</x:v>
      </x:c>
      <x:c r="K19" s="4" t="str">
        <x:v>通过</x:v>
      </x:c>
    </x:row>
    <x:row r="20">
      <x:c r="A20" s="4" t="str">
        <x:v>P019</x:v>
      </x:c>
      <x:c r="B20" s="4" t="str">
        <x:v>HX-ADD-007</x:v>
      </x:c>
      <x:c r="C20" s="4" t="str">
        <x:v>原始病例事实 + 训练模拟扩写</x:v>
      </x:c>
      <x:c r="D20" s="4" t="n">
        <x:v>120</x:v>
      </x:c>
      <x:c r="E20" s="4" t="n">
        <x:v>83</x:v>
      </x:c>
      <x:c r="F20" s="4" t="n">
        <x:v>36</x:v>
      </x:c>
      <x:c r="G20" s="4" t="n">
        <x:v>17</x:v>
      </x:c>
      <x:c r="H20" s="4" t="n">
        <x:v>22</x:v>
      </x:c>
      <x:c r="I20" s="4" t="str">
        <x:v>是</x:v>
      </x:c>
      <x:c r="J20" s="4" t="str">
        <x:v>无</x:v>
      </x:c>
      <x:c r="K20" s="4" t="str">
        <x:v>通过</x:v>
      </x:c>
    </x:row>
    <x:row r="21">
      <x:c r="A21" s="4" t="str">
        <x:v>P020</x:v>
      </x:c>
      <x:c r="B21" s="4" t="str">
        <x:v>HX-ADD-008</x:v>
      </x:c>
      <x:c r="C21" s="4" t="str">
        <x:v>原始病例事实 + 训练模拟扩写</x:v>
      </x:c>
      <x:c r="D21" s="4" t="n">
        <x:v>112</x:v>
      </x:c>
      <x:c r="E21" s="4" t="n">
        <x:v>124</x:v>
      </x:c>
      <x:c r="F21" s="4" t="n">
        <x:v>29</x:v>
      </x:c>
      <x:c r="G21" s="4" t="n">
        <x:v>20</x:v>
      </x:c>
      <x:c r="H21" s="4" t="n">
        <x:v>22</x:v>
      </x:c>
      <x:c r="I21" s="4" t="str">
        <x:v>是</x:v>
      </x:c>
      <x:c r="J21" s="4" t="str">
        <x:v>无</x:v>
      </x:c>
      <x:c r="K21" s="4" t="str">
        <x:v>通过</x:v>
      </x:c>
    </x:row>
    <x:row r="22">
      <x:c r="A22" s="4" t="str">
        <x:v>P021</x:v>
      </x:c>
      <x:c r="B22" s="4" t="str">
        <x:v>HX-ADD-009</x:v>
      </x:c>
      <x:c r="C22" s="4" t="str">
        <x:v>原始病例事实 + 训练模拟扩写</x:v>
      </x:c>
      <x:c r="D22" s="4" t="n">
        <x:v>114</x:v>
      </x:c>
      <x:c r="E22" s="4" t="n">
        <x:v>90</x:v>
      </x:c>
      <x:c r="F22" s="4" t="n">
        <x:v>47</x:v>
      </x:c>
      <x:c r="G22" s="4" t="n">
        <x:v>17</x:v>
      </x:c>
      <x:c r="H22" s="4" t="n">
        <x:v>22</x:v>
      </x:c>
      <x:c r="I22" s="4" t="str">
        <x:v>是</x:v>
      </x:c>
      <x:c r="J22" s="4" t="str">
        <x:v>无</x:v>
      </x:c>
      <x:c r="K22" s="4" t="str">
        <x:v>通过</x:v>
      </x:c>
    </x:row>
    <x:row r="23">
      <x:c r="A23" s="4" t="str">
        <x:v>P022</x:v>
      </x:c>
      <x:c r="B23" s="4" t="str">
        <x:v>HX-ADD-010</x:v>
      </x:c>
      <x:c r="C23" s="4" t="str">
        <x:v>原始病例事实 + 训练模拟扩写</x:v>
      </x:c>
      <x:c r="D23" s="4" t="n">
        <x:v>118</x:v>
      </x:c>
      <x:c r="E23" s="4" t="n">
        <x:v>118</x:v>
      </x:c>
      <x:c r="F23" s="4" t="n">
        <x:v>39</x:v>
      </x:c>
      <x:c r="G23" s="4" t="n">
        <x:v>22</x:v>
      </x:c>
      <x:c r="H23" s="4" t="n">
        <x:v>20</x:v>
      </x:c>
      <x:c r="I23" s="4" t="str">
        <x:v>是</x:v>
      </x:c>
      <x:c r="J23" s="4" t="str">
        <x:v>无</x:v>
      </x:c>
      <x:c r="K23" s="4" t="str">
        <x:v>通过</x:v>
      </x:c>
    </x:row>
    <x:row r="24">
      <x:c r="A24" s="4" t="str">
        <x:v>P023</x:v>
      </x:c>
      <x:c r="B24" s="4" t="str">
        <x:v>HX-ADD-011</x:v>
      </x:c>
      <x:c r="C24" s="4" t="str">
        <x:v>原始病例事实 + 训练模拟扩写</x:v>
      </x:c>
      <x:c r="D24" s="4" t="n">
        <x:v>109</x:v>
      </x:c>
      <x:c r="E24" s="4" t="n">
        <x:v>141</x:v>
      </x:c>
      <x:c r="F24" s="4" t="n">
        <x:v>17</x:v>
      </x:c>
      <x:c r="G24" s="4" t="n">
        <x:v>37</x:v>
      </x:c>
      <x:c r="H24" s="4" t="n">
        <x:v>18</x:v>
      </x:c>
      <x:c r="I24" s="4" t="str">
        <x:v>是</x:v>
      </x:c>
      <x:c r="J24" s="4" t="str">
        <x:v>无</x:v>
      </x:c>
      <x:c r="K24" s="4" t="str">
        <x:v>通过</x:v>
      </x:c>
    </x:row>
    <x:row r="25">
      <x:c r="A25" s="4" t="str">
        <x:v>P024</x:v>
      </x:c>
      <x:c r="B25" s="4" t="str">
        <x:v>HX-ADD-012</x:v>
      </x:c>
      <x:c r="C25" s="4" t="str">
        <x:v>原始病例事实 + 训练模拟扩写</x:v>
      </x:c>
      <x:c r="D25" s="4" t="n">
        <x:v>97</x:v>
      </x:c>
      <x:c r="E25" s="4" t="n">
        <x:v>133</x:v>
      </x:c>
      <x:c r="F25" s="4" t="n">
        <x:v>17</x:v>
      </x:c>
      <x:c r="G25" s="4" t="n">
        <x:v>24</x:v>
      </x:c>
      <x:c r="H25" s="4" t="n">
        <x:v>16</x:v>
      </x:c>
      <x:c r="I25" s="4" t="str">
        <x:v>是</x:v>
      </x:c>
      <x:c r="J25" s="4" t="str">
        <x:v>无</x:v>
      </x:c>
      <x:c r="K25" s="4" t="str">
        <x:v>通过</x:v>
      </x:c>
    </x:row>
    <x:row r="26">
      <x:c r="A26" s="4" t="str">
        <x:v>P025</x:v>
      </x:c>
      <x:c r="B26" s="4" t="str">
        <x:v>HX-ADD-013</x:v>
      </x:c>
      <x:c r="C26" s="4" t="str">
        <x:v>原始病例事实 + 训练模拟扩写</x:v>
      </x:c>
      <x:c r="D26" s="4" t="n">
        <x:v>114</x:v>
      </x:c>
      <x:c r="E26" s="4" t="n">
        <x:v>82</x:v>
      </x:c>
      <x:c r="F26" s="4" t="n">
        <x:v>20</x:v>
      </x:c>
      <x:c r="G26" s="4" t="n">
        <x:v>21</x:v>
      </x:c>
      <x:c r="H26" s="4" t="n">
        <x:v>22</x:v>
      </x:c>
      <x:c r="I26" s="4" t="str">
        <x:v>是</x:v>
      </x:c>
      <x:c r="J26" s="4" t="str">
        <x:v>无</x:v>
      </x:c>
      <x:c r="K26" s="4" t="str">
        <x:v>通过</x:v>
      </x:c>
    </x:row>
    <x:row r="27">
      <x:c r="A27" s="4" t="str">
        <x:v>P026</x:v>
      </x:c>
      <x:c r="B27" s="4" t="str">
        <x:v>HX-ADD-014</x:v>
      </x:c>
      <x:c r="C27" s="4" t="str">
        <x:v>原始病例事实 + 训练模拟扩写</x:v>
      </x:c>
      <x:c r="D27" s="4" t="n">
        <x:v>120</x:v>
      </x:c>
      <x:c r="E27" s="4" t="n">
        <x:v>92</x:v>
      </x:c>
      <x:c r="F27" s="4" t="n">
        <x:v>46</x:v>
      </x:c>
      <x:c r="G27" s="4" t="n">
        <x:v>14</x:v>
      </x:c>
      <x:c r="H27" s="4" t="n">
        <x:v>20</x:v>
      </x:c>
      <x:c r="I27" s="4" t="str">
        <x:v>是</x:v>
      </x:c>
      <x:c r="J27" s="4" t="str">
        <x:v>无</x:v>
      </x:c>
      <x:c r="K27" s="4" t="str">
        <x:v>通过</x:v>
      </x:c>
    </x:row>
    <x:row r="28">
      <x:c r="A28" s="4" t="str">
        <x:v>P027</x:v>
      </x:c>
      <x:c r="B28" s="4" t="str">
        <x:v>HX-ADD-015</x:v>
      </x:c>
      <x:c r="C28" s="4" t="str">
        <x:v>原始病例事实 + 训练模拟扩写</x:v>
      </x:c>
      <x:c r="D28" s="4" t="n">
        <x:v>102</x:v>
      </x:c>
      <x:c r="E28" s="4" t="n">
        <x:v>144</x:v>
      </x:c>
      <x:c r="F28" s="4" t="n">
        <x:v>20</x:v>
      </x:c>
      <x:c r="G28" s="4" t="n">
        <x:v>38</x:v>
      </x:c>
      <x:c r="H28" s="4" t="n">
        <x:v>19</x:v>
      </x:c>
      <x:c r="I28" s="4" t="str">
        <x:v>是</x:v>
      </x:c>
      <x:c r="J28" s="4" t="str">
        <x:v>无</x:v>
      </x:c>
      <x:c r="K28" s="4" t="str">
        <x:v>通过</x:v>
      </x:c>
    </x:row>
    <x:row r="29">
      <x:c r="A29" s="4" t="str">
        <x:v>P028</x:v>
      </x:c>
      <x:c r="B29" s="4" t="str">
        <x:v>HX-ADD-016</x:v>
      </x:c>
      <x:c r="C29" s="4" t="str">
        <x:v>原始病例事实 + 训练模拟扩写</x:v>
      </x:c>
      <x:c r="D29" s="4" t="n">
        <x:v>116</x:v>
      </x:c>
      <x:c r="E29" s="4" t="n">
        <x:v>83</x:v>
      </x:c>
      <x:c r="F29" s="4" t="n">
        <x:v>42</x:v>
      </x:c>
      <x:c r="G29" s="4" t="n">
        <x:v>21</x:v>
      </x:c>
      <x:c r="H29" s="4" t="n">
        <x:v>22</x:v>
      </x:c>
      <x:c r="I29" s="4" t="str">
        <x:v>是</x:v>
      </x:c>
      <x:c r="J29" s="4" t="str">
        <x:v>无</x:v>
      </x:c>
      <x:c r="K29" s="4" t="str">
        <x:v>通过</x:v>
      </x:c>
    </x:row>
    <x:row r="30">
      <x:c r="A30" s="4" t="str">
        <x:v>P029</x:v>
      </x:c>
      <x:c r="B30" s="4" t="str">
        <x:v>HX-ADD-017</x:v>
      </x:c>
      <x:c r="C30" s="4" t="str">
        <x:v>原始病例事实 + 训练模拟扩写</x:v>
      </x:c>
      <x:c r="D30" s="4" t="n">
        <x:v>116</x:v>
      </x:c>
      <x:c r="E30" s="4" t="n">
        <x:v>92</x:v>
      </x:c>
      <x:c r="F30" s="4" t="n">
        <x:v>43</x:v>
      </x:c>
      <x:c r="G30" s="4" t="n">
        <x:v>14</x:v>
      </x:c>
      <x:c r="H30" s="4" t="n">
        <x:v>16</x:v>
      </x:c>
      <x:c r="I30" s="4" t="str">
        <x:v>是</x:v>
      </x:c>
      <x:c r="J30" s="4" t="str">
        <x:v>无</x:v>
      </x:c>
      <x:c r="K30" s="4" t="str">
        <x:v>通过</x:v>
      </x:c>
    </x:row>
    <x:row r="31">
      <x:c r="A31" s="4" t="str">
        <x:v>P030</x:v>
      </x:c>
      <x:c r="B31" s="4" t="str">
        <x:v>HX-ADD-018</x:v>
      </x:c>
      <x:c r="C31" s="4" t="str">
        <x:v>原始病例事实 + 训练模拟扩写</x:v>
      </x:c>
      <x:c r="D31" s="4" t="n">
        <x:v>116</x:v>
      </x:c>
      <x:c r="E31" s="4" t="n">
        <x:v>81</x:v>
      </x:c>
      <x:c r="F31" s="4" t="n">
        <x:v>25</x:v>
      </x:c>
      <x:c r="G31" s="4" t="n">
        <x:v>23</x:v>
      </x:c>
      <x:c r="H31" s="4" t="n">
        <x:v>31</x:v>
      </x:c>
      <x:c r="I31" s="4" t="str">
        <x:v>是</x:v>
      </x:c>
      <x:c r="J31" s="4" t="str">
        <x:v>无</x:v>
      </x:c>
      <x:c r="K31" s="4" t="str">
        <x:v>通过</x:v>
      </x:c>
    </x:row>
    <x:row r="32">
      <x:c r="A32" s="4" t="str">
        <x:v>P031</x:v>
      </x:c>
      <x:c r="B32" s="4" t="str">
        <x:v>HX-ADD-019</x:v>
      </x:c>
      <x:c r="C32" s="4" t="str">
        <x:v>原始病例事实 + 训练模拟扩写</x:v>
      </x:c>
      <x:c r="D32" s="4" t="n">
        <x:v>118</x:v>
      </x:c>
      <x:c r="E32" s="4" t="n">
        <x:v>97</x:v>
      </x:c>
      <x:c r="F32" s="4" t="n">
        <x:v>21</x:v>
      </x:c>
      <x:c r="G32" s="4" t="n">
        <x:v>14</x:v>
      </x:c>
      <x:c r="H32" s="4" t="n">
        <x:v>24</x:v>
      </x:c>
      <x:c r="I32" s="4" t="str">
        <x:v>是</x:v>
      </x:c>
      <x:c r="J32" s="4" t="str">
        <x:v>无</x:v>
      </x:c>
      <x:c r="K32" s="4" t="str">
        <x:v>通过</x:v>
      </x:c>
    </x:row>
    <x:row r="33">
      <x:c r="A33" s="4" t="str">
        <x:v>P032</x:v>
      </x:c>
      <x:c r="B33" s="4" t="str">
        <x:v>HX-ADD-020</x:v>
      </x:c>
      <x:c r="C33" s="4" t="str">
        <x:v>原始病例事实 + 训练模拟扩写</x:v>
      </x:c>
      <x:c r="D33" s="4" t="n">
        <x:v>114</x:v>
      </x:c>
      <x:c r="E33" s="4" t="n">
        <x:v>103</x:v>
      </x:c>
      <x:c r="F33" s="4" t="n">
        <x:v>34</x:v>
      </x:c>
      <x:c r="G33" s="4" t="n">
        <x:v>14</x:v>
      </x:c>
      <x:c r="H33" s="4" t="n">
        <x:v>22</x:v>
      </x:c>
      <x:c r="I33" s="4" t="str">
        <x:v>是</x:v>
      </x:c>
      <x:c r="J33" s="4" t="str">
        <x:v>无</x:v>
      </x:c>
      <x:c r="K33" s="4" t="str">
        <x:v>通过</x:v>
      </x:c>
    </x:row>
    <x:row r="34">
      <x:c r="A34" s="4" t="str">
        <x:v>P033</x:v>
      </x:c>
      <x:c r="B34" s="4" t="str">
        <x:v>HX-ADD-021</x:v>
      </x:c>
      <x:c r="C34" s="4" t="str">
        <x:v>原始病例事实 + 训练模拟扩写</x:v>
      </x:c>
      <x:c r="D34" s="4" t="n">
        <x:v>114</x:v>
      </x:c>
      <x:c r="E34" s="4" t="n">
        <x:v>100</x:v>
      </x:c>
      <x:c r="F34" s="4" t="n">
        <x:v>17</x:v>
      </x:c>
      <x:c r="G34" s="4" t="n">
        <x:v>17</x:v>
      </x:c>
      <x:c r="H34" s="4" t="n">
        <x:v>51</x:v>
      </x:c>
      <x:c r="I34" s="4" t="str">
        <x:v>是</x:v>
      </x:c>
      <x:c r="J34" s="4" t="str">
        <x:v>无</x:v>
      </x:c>
      <x:c r="K34" s="4" t="str">
        <x:v>通过</x:v>
      </x:c>
    </x:row>
    <x:row r="35">
      <x:c r="A35" s="4" t="str">
        <x:v>P034</x:v>
      </x:c>
      <x:c r="B35" s="4" t="str">
        <x:v>HX-ADD-022</x:v>
      </x:c>
      <x:c r="C35" s="4" t="str">
        <x:v>原始病例事实 + 训练模拟扩写</x:v>
      </x:c>
      <x:c r="D35" s="4" t="n">
        <x:v>109</x:v>
      </x:c>
      <x:c r="E35" s="4" t="n">
        <x:v>96</x:v>
      </x:c>
      <x:c r="F35" s="4" t="n">
        <x:v>17</x:v>
      </x:c>
      <x:c r="G35" s="4" t="n">
        <x:v>32</x:v>
      </x:c>
      <x:c r="H35" s="4" t="n">
        <x:v>48</x:v>
      </x:c>
      <x:c r="I35" s="4" t="str">
        <x:v>是</x:v>
      </x:c>
      <x:c r="J35" s="4" t="str">
        <x:v>无</x:v>
      </x:c>
      <x:c r="K35" s="4" t="str">
        <x:v>通过</x:v>
      </x:c>
    </x:row>
    <x:row r="36">
      <x:c r="A36" s="4" t="str">
        <x:v>P035</x:v>
      </x:c>
      <x:c r="B36" s="4" t="str">
        <x:v>HX-ADD-023</x:v>
      </x:c>
      <x:c r="C36" s="4" t="str">
        <x:v>原始病例事实 + 训练模拟扩写</x:v>
      </x:c>
      <x:c r="D36" s="4" t="n">
        <x:v>119</x:v>
      </x:c>
      <x:c r="E36" s="4" t="n">
        <x:v>111</x:v>
      </x:c>
      <x:c r="F36" s="4" t="n">
        <x:v>36</x:v>
      </x:c>
      <x:c r="G36" s="4" t="n">
        <x:v>17</x:v>
      </x:c>
      <x:c r="H36" s="4" t="n">
        <x:v>26</x:v>
      </x:c>
      <x:c r="I36" s="4" t="str">
        <x:v>是</x:v>
      </x:c>
      <x:c r="J36" s="4" t="str">
        <x:v>无</x:v>
      </x:c>
      <x:c r="K36" s="4" t="str">
        <x:v>通过</x:v>
      </x:c>
    </x:row>
    <x:row r="37">
      <x:c r="A37" s="4" t="str">
        <x:v>P036</x:v>
      </x:c>
      <x:c r="B37" s="4" t="str">
        <x:v>HX-ADD-024</x:v>
      </x:c>
      <x:c r="C37" s="4" t="str">
        <x:v>原始病例事实 + 训练模拟扩写</x:v>
      </x:c>
      <x:c r="D37" s="4" t="n">
        <x:v>116</x:v>
      </x:c>
      <x:c r="E37" s="4" t="n">
        <x:v>95</x:v>
      </x:c>
      <x:c r="F37" s="4" t="n">
        <x:v>24</x:v>
      </x:c>
      <x:c r="G37" s="4" t="n">
        <x:v>38</x:v>
      </x:c>
      <x:c r="H37" s="4" t="n">
        <x:v>20</x:v>
      </x:c>
      <x:c r="I37" s="4" t="str">
        <x:v>是</x:v>
      </x:c>
      <x:c r="J37" s="4" t="str">
        <x:v>无</x:v>
      </x:c>
      <x:c r="K37" s="4" t="str">
        <x:v>通过</x:v>
      </x:c>
    </x:row>
    <x:row r="38">
      <x:c r="A38" s="4" t="str">
        <x:v>P037</x:v>
      </x:c>
      <x:c r="B38" s="4" t="str">
        <x:v>HX-ADD-025</x:v>
      </x:c>
      <x:c r="C38" s="4" t="str">
        <x:v>原始病例事实 + 训练模拟扩写</x:v>
      </x:c>
      <x:c r="D38" s="4" t="n">
        <x:v>100</x:v>
      </x:c>
      <x:c r="E38" s="4" t="n">
        <x:v>95</x:v>
      </x:c>
      <x:c r="F38" s="4" t="n">
        <x:v>17</x:v>
      </x:c>
      <x:c r="G38" s="4" t="n">
        <x:v>14</x:v>
      </x:c>
      <x:c r="H38" s="4" t="n">
        <x:v>20</x:v>
      </x:c>
      <x:c r="I38" s="4" t="str">
        <x:v>是</x:v>
      </x:c>
      <x:c r="J38" s="4" t="str">
        <x:v>无</x:v>
      </x:c>
      <x:c r="K38" s="4" t="str">
        <x:v>通过</x:v>
      </x:c>
    </x:row>
    <x:row r="39">
      <x:c r="A39" s="4" t="str">
        <x:v>P038</x:v>
      </x:c>
      <x:c r="B39" s="4" t="str">
        <x:v>HX-ADD-026</x:v>
      </x:c>
      <x:c r="C39" s="4" t="str">
        <x:v>原始病例事实 + 训练模拟扩写</x:v>
      </x:c>
      <x:c r="D39" s="4" t="n">
        <x:v>120</x:v>
      </x:c>
      <x:c r="E39" s="4" t="n">
        <x:v>104</x:v>
      </x:c>
      <x:c r="F39" s="4" t="n">
        <x:v>17</x:v>
      </x:c>
      <x:c r="G39" s="4" t="n">
        <x:v>14</x:v>
      </x:c>
      <x:c r="H39" s="4" t="n">
        <x:v>17</x:v>
      </x:c>
      <x:c r="I39" s="4" t="str">
        <x:v>是</x:v>
      </x:c>
      <x:c r="J39" s="4" t="str">
        <x:v>无</x:v>
      </x:c>
      <x:c r="K39" s="4" t="str">
        <x:v>通过</x:v>
      </x:c>
    </x:row>
    <x:row r="40">
      <x:c r="A40" s="4" t="str">
        <x:v>P039</x:v>
      </x:c>
      <x:c r="B40" s="4" t="str">
        <x:v>HX-ADD-027</x:v>
      </x:c>
      <x:c r="C40" s="4" t="str">
        <x:v>原始病例事实 + 训练模拟扩写</x:v>
      </x:c>
      <x:c r="D40" s="4" t="n">
        <x:v>114</x:v>
      </x:c>
      <x:c r="E40" s="4" t="n">
        <x:v>99</x:v>
      </x:c>
      <x:c r="F40" s="4" t="n">
        <x:v>40</x:v>
      </x:c>
      <x:c r="G40" s="4" t="n">
        <x:v>17</x:v>
      </x:c>
      <x:c r="H40" s="4" t="n">
        <x:v>22</x:v>
      </x:c>
      <x:c r="I40" s="4" t="str">
        <x:v>是</x:v>
      </x:c>
      <x:c r="J40" s="4" t="str">
        <x:v>无</x:v>
      </x:c>
      <x:c r="K40" s="4" t="str">
        <x:v>通过</x:v>
      </x:c>
    </x:row>
    <x:row r="41">
      <x:c r="A41" s="4" t="str">
        <x:v>P040</x:v>
      </x:c>
      <x:c r="B41" s="4" t="str">
        <x:v>HX-ADD-028</x:v>
      </x:c>
      <x:c r="C41" s="4" t="str">
        <x:v>原始病例事实 + 训练模拟扩写</x:v>
      </x:c>
      <x:c r="D41" s="4" t="n">
        <x:v>109</x:v>
      </x:c>
      <x:c r="E41" s="4" t="n">
        <x:v>133</x:v>
      </x:c>
      <x:c r="F41" s="4" t="n">
        <x:v>19</x:v>
      </x:c>
      <x:c r="G41" s="4" t="n">
        <x:v>14</x:v>
      </x:c>
      <x:c r="H41" s="4" t="n">
        <x:v>42</x:v>
      </x:c>
      <x:c r="I41" s="4" t="str">
        <x:v>是</x:v>
      </x:c>
      <x:c r="J41" s="4" t="str">
        <x:v>无</x:v>
      </x:c>
      <x:c r="K41" s="4" t="str">
        <x:v>通过</x:v>
      </x:c>
    </x:row>
    <x:row r="42">
      <x:c r="A42" s="4" t="str">
        <x:v>P041</x:v>
      </x:c>
      <x:c r="B42" s="4" t="str">
        <x:v>HX-ADD-029</x:v>
      </x:c>
      <x:c r="C42" s="4" t="str">
        <x:v>原始病例事实 + 训练模拟扩写</x:v>
      </x:c>
      <x:c r="D42" s="4" t="n">
        <x:v>112</x:v>
      </x:c>
      <x:c r="E42" s="4" t="n">
        <x:v>96</x:v>
      </x:c>
      <x:c r="F42" s="4" t="n">
        <x:v>17</x:v>
      </x:c>
      <x:c r="G42" s="4" t="n">
        <x:v>34</x:v>
      </x:c>
      <x:c r="H42" s="4" t="n">
        <x:v>19</x:v>
      </x:c>
      <x:c r="I42" s="4" t="str">
        <x:v>是</x:v>
      </x:c>
      <x:c r="J42" s="4" t="str">
        <x:v>无</x:v>
      </x:c>
      <x:c r="K42" s="4" t="str">
        <x:v>通过</x:v>
      </x:c>
    </x:row>
    <x:row r="43">
      <x:c r="A43" s="4" t="str">
        <x:v>P042</x:v>
      </x:c>
      <x:c r="B43" s="4" t="str">
        <x:v>HX-ADD-030</x:v>
      </x:c>
      <x:c r="C43" s="4" t="str">
        <x:v>原始病例事实 + 训练模拟扩写</x:v>
      </x:c>
      <x:c r="D43" s="4" t="n">
        <x:v>121</x:v>
      </x:c>
      <x:c r="E43" s="4" t="n">
        <x:v>85</x:v>
      </x:c>
      <x:c r="F43" s="4" t="n">
        <x:v>25</x:v>
      </x:c>
      <x:c r="G43" s="4" t="n">
        <x:v>37</x:v>
      </x:c>
      <x:c r="H43" s="4" t="n">
        <x:v>21</x:v>
      </x:c>
      <x:c r="I43" s="4" t="str">
        <x:v>是</x:v>
      </x:c>
      <x:c r="J43" s="4" t="str">
        <x:v>无</x:v>
      </x:c>
      <x:c r="K43" s="4" t="str">
        <x:v>通过</x:v>
      </x:c>
    </x:row>
  </x:sheetData>
  <x:conditionalFormatting sqref="K2:K43">
    <x:cfRule type="expression" dxfId="2" priority="1">
      <x:formula>K2="通过"</x:formula>
    </x:cfRule>
    <x:cfRule type="expression" dxfId="3" priority="2">
      <x:formula>K2="需复核"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e1723be198c450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40" hidden="0" customWidth="1"/>
    <x:col min="4" max="4" width="30" hidden="0" customWidth="1"/>
    <x:col min="5" max="5" width="45" hidden="0" customWidth="1"/>
  </x:cols>
  <x:sheetData>
    <x:row r="1" ht="48" customHeight="1">
      <x:c r="A1" s="19" t="str">
        <x:v>校验项目</x:v>
      </x:c>
      <x:c r="B1" s="19" t="str">
        <x:v>结果</x:v>
      </x:c>
      <x:c r="C1" s="19" t="str">
        <x:v>实际值</x:v>
      </x:c>
      <x:c r="D1" s="19" t="str">
        <x:v>标准</x:v>
      </x:c>
      <x:c r="E1" s="19" t="str">
        <x:v>说明</x:v>
      </x:c>
    </x:row>
    <x:row r="2">
      <x:c r="A2" s="4" t="str">
        <x:v>病例总数</x:v>
      </x:c>
      <x:c r="B2" s="4" t="str">
        <x:v>通过</x:v>
      </x:c>
      <x:c r="C2" s="4" t="n">
        <x:v>42</x:v>
      </x:c>
      <x:c r="D2" s="4" t="n">
        <x:v>42</x:v>
      </x:c>
      <x:c r="E2" s="4" t="str"/>
    </x:row>
    <x:row r="3">
      <x:c r="A3" s="4" t="str">
        <x:v>P013-P042扩写病例数</x:v>
      </x:c>
      <x:c r="B3" s="4" t="str">
        <x:v>通过</x:v>
      </x:c>
      <x:c r="C3" s="4" t="n">
        <x:v>30</x:v>
      </x:c>
      <x:c r="D3" s="4" t="n">
        <x:v>30</x:v>
      </x:c>
      <x:c r="E3" s="4" t="str">
        <x:v>逐例单独扩写</x:v>
      </x:c>
    </x:row>
    <x:row r="4">
      <x:c r="A4" s="4" t="str">
        <x:v>P013-P042最短现病史</x:v>
      </x:c>
      <x:c r="B4" s="4" t="str">
        <x:v>通过</x:v>
      </x:c>
      <x:c r="C4" s="4" t="n">
        <x:v>97</x:v>
      </x:c>
      <x:c r="D4" s="4" t="str">
        <x:v>≥90字</x:v>
      </x:c>
      <x:c r="E4" s="4" t="str"/>
    </x:row>
    <x:row r="5">
      <x:c r="A5" s="4" t="str">
        <x:v>P013-P042最短既往史</x:v>
      </x:c>
      <x:c r="B5" s="4" t="str">
        <x:v>通过</x:v>
      </x:c>
      <x:c r="C5" s="4" t="n">
        <x:v>81</x:v>
      </x:c>
      <x:c r="D5" s="4" t="str">
        <x:v>≥80字</x:v>
      </x:c>
      <x:c r="E5" s="4" t="str"/>
    </x:row>
    <x:row r="6">
      <x:c r="A6" s="4" t="str">
        <x:v>占位文字扫描</x:v>
      </x:c>
      <x:c r="B6" s="4" t="str">
        <x:v>通过</x:v>
      </x:c>
      <x:c r="C6" s="4" t="str">
        <x:v>未发现</x:v>
      </x:c>
      <x:c r="D6" s="4" t="str">
        <x:v>0条</x:v>
      </x:c>
      <x:c r="E6" s="4" t="str"/>
    </x:row>
    <x:row r="7">
      <x:c r="A7" s="4" t="str">
        <x:v>逐例完整性</x:v>
      </x:c>
      <x:c r="B7" s="4" t="str">
        <x:v>通过</x:v>
      </x:c>
      <x:c r="C7" s="4" t="str">
        <x:v>42/42</x:v>
      </x:c>
      <x:c r="D7" s="4" t="str">
        <x:v>42/42</x:v>
      </x:c>
      <x:c r="E7" s="4" t="str"/>
    </x:row>
    <x:row r="8">
      <x:c r="A8" s="4" t="str">
        <x:v>来源区分</x:v>
      </x:c>
      <x:c r="B8" s="4" t="str">
        <x:v>通过</x:v>
      </x:c>
      <x:c r="C8" s="4" t="str">
        <x:v>原始内容与训练模拟扩写已分列标记</x:v>
      </x:c>
      <x:c r="D8" s="4" t="str">
        <x:v>必须可追溯</x:v>
      </x:c>
      <x:c r="E8" s="4" t="str"/>
    </x:row>
    <x:row r="9">
      <x:c r="A9" s="4" t="str">
        <x:v>最终结论</x:v>
      </x:c>
      <x:c r="B9" s="4" t="str">
        <x:v>通过</x:v>
      </x:c>
      <x:c r="C9" s="4" t="str">
        <x:v>文件结构和病史详实度通过</x:v>
      </x:c>
      <x:c r="D9" s="4" t="str">
        <x:v>全部结构校验通过</x:v>
      </x:c>
      <x:c r="E9" s="4" t="str">
        <x:v>医学内容仍需专科确认</x:v>
      </x:c>
    </x:row>
  </x:sheetData>
  <x:conditionalFormatting sqref="B2:B9">
    <x:cfRule type="expression" dxfId="4" priority="1">
      <x:formula>B2="通过"</x:formula>
    </x:cfRule>
    <x:cfRule type="expression" dxfId="5" priority="2">
      <x:formula>B2="失败"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8" hidden="0" customWidth="1"/>
    <x:col min="3" max="3" width="26" hidden="0" customWidth="1"/>
    <x:col min="4" max="4" width="76" hidden="0" customWidth="1"/>
    <x:col min="5" max="5" width="16" hidden="0" customWidth="1"/>
  </x:cols>
  <x:sheetData>
    <x:row r="1" ht="48" customHeight="1">
      <x:c r="A1" s="19" t="str">
        <x:v>主题</x:v>
      </x:c>
      <x:c r="B1" s="19" t="str">
        <x:v>官方指南/页面</x:v>
      </x:c>
      <x:c r="C1" s="19" t="str">
        <x:v>适用病例</x:v>
      </x:c>
      <x:c r="D1" s="19" t="str">
        <x:v>URL</x:v>
      </x:c>
      <x:c r="E1" s="19" t="str">
        <x:v>核对日期</x:v>
      </x:c>
    </x:row>
    <x:row r="2">
      <x:c r="A2" s="4" t="str">
        <x:v>镜下血尿风险分层</x:v>
      </x:c>
      <x:c r="B2" s="4" t="str">
        <x:v>AUA/SUFU Microhematuria Guideline (2025)</x:v>
      </x:c>
      <x:c r="C2" s="4" t="str">
        <x:v>P042及镜下血尿病例</x:v>
      </x:c>
      <x:c r="D2" s="4" t="str">
        <x:v>https://www.auanet.org/guidelines-and-quality/guidelines/microhematuria</x:v>
      </x:c>
      <x:c r="E2" s="4" t="str">
        <x:v>2026-07-11</x:v>
      </x:c>
    </x:row>
    <x:row r="3">
      <x:c r="A3" s="4" t="str">
        <x:v>膀胱尿路上皮癌</x:v>
      </x:c>
      <x:c r="B3" s="4" t="str">
        <x:v>EAU Non-muscle-invasive Bladder Cancer</x:v>
      </x:c>
      <x:c r="C3" s="4" t="str">
        <x:v>P013、P014等</x:v>
      </x:c>
      <x:c r="D3" s="4" t="str">
        <x:v>https://uroweb.org/guidelines/non-muscle-invasive-bladder-cancer</x:v>
      </x:c>
      <x:c r="E3" s="4" t="str">
        <x:v>2026-07-11</x:v>
      </x:c>
    </x:row>
    <x:row r="4">
      <x:c r="A4" s="4" t="str">
        <x:v>上尿路尿路上皮癌</x:v>
      </x:c>
      <x:c r="B4" s="4" t="str">
        <x:v>EAU Upper Urinary Tract Urothelial Cell Carcinoma</x:v>
      </x:c>
      <x:c r="C4" s="4" t="str">
        <x:v>P015等</x:v>
      </x:c>
      <x:c r="D4" s="4" t="str">
        <x:v>https://uroweb.org/guidelines/upper-urinary-tract-urothelial-cell-carcinoma</x:v>
      </x:c>
      <x:c r="E4" s="4" t="str">
        <x:v>2026-07-11</x:v>
      </x:c>
    </x:row>
    <x:row r="5">
      <x:c r="A5" s="4" t="str">
        <x:v>肾细胞癌</x:v>
      </x:c>
      <x:c r="B5" s="4" t="str">
        <x:v>EAU Renal Cell Carcinoma 2026</x:v>
      </x:c>
      <x:c r="C5" s="4" t="str">
        <x:v>P016等</x:v>
      </x:c>
      <x:c r="D5" s="4" t="str">
        <x:v>https://uroweb.org/guidelines/renal-cell-carcinoma</x:v>
      </x:c>
      <x:c r="E5" s="4" t="str">
        <x:v>2026-07-11</x:v>
      </x:c>
    </x:row>
    <x:row r="6">
      <x:c r="A6" s="4" t="str">
        <x:v>尿路感染</x:v>
      </x:c>
      <x:c r="B6" s="4" t="str">
        <x:v>EAU Urological Infections 2026</x:v>
      </x:c>
      <x:c r="C6" s="4" t="str">
        <x:v>P018–P022、P026</x:v>
      </x:c>
      <x:c r="D6" s="4" t="str">
        <x:v>https://uroweb.org/guidelines/urological-infections</x:v>
      </x:c>
      <x:c r="E6" s="4" t="str">
        <x:v>2026-07-11</x:v>
      </x:c>
    </x:row>
    <x:row r="7">
      <x:c r="A7" s="4" t="str">
        <x:v>尿路结石</x:v>
      </x:c>
      <x:c r="B7" s="4" t="str">
        <x:v>EAU Urolithiasis 2026</x:v>
      </x:c>
      <x:c r="C7" s="4" t="str">
        <x:v>P023–P027</x:v>
      </x:c>
      <x:c r="D7" s="4" t="str">
        <x:v>https://uroweb.org/guidelines/urolithiasis</x:v>
      </x:c>
      <x:c r="E7" s="4" t="str">
        <x:v>2026-07-11</x:v>
      </x:c>
    </x:row>
    <x:row r="8">
      <x:c r="A8" s="4" t="str">
        <x:v>IgA肾病/IgA血管炎</x:v>
      </x:c>
      <x:c r="B8" s="4" t="str">
        <x:v>KDIGO 2025 IgAN/IgAV Guideline</x:v>
      </x:c>
      <x:c r="C8" s="4" t="str">
        <x:v>P031等</x:v>
      </x:c>
      <x:c r="D8" s="4" t="str">
        <x:v>https://kdigo.org/guidelines/iga-nephropathy/</x:v>
      </x:c>
      <x:c r="E8" s="4" t="str">
        <x:v>2026-07-11</x:v>
      </x:c>
    </x:row>
    <x:row r="9">
      <x:c r="A9" s="4" t="str">
        <x:v>泌尿系外伤</x:v>
      </x:c>
      <x:c r="B9" s="4" t="str">
        <x:v>AUA Urotrauma Guideline</x:v>
      </x:c>
      <x:c r="C9" s="4" t="str">
        <x:v>P038</x:v>
      </x:c>
      <x:c r="D9" s="4" t="str">
        <x:v>https://www.auanet.org/guidelines-and-quality/guidelines/urotrauma-guideline</x:v>
      </x:c>
      <x:c r="E9" s="4" t="str">
        <x:v>2026-07-11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3.130000114440918" hidden="0" customWidth="1"/>
    <x:col min="3" max="3" width="22.5" hidden="0" customWidth="1"/>
    <x:col min="4" max="4" width="27.5" hidden="0" customWidth="1"/>
    <x:col min="5" max="5" width="22.5" hidden="0" customWidth="1"/>
    <x:col min="6" max="6" width="23.75" hidden="0" customWidth="1"/>
    <x:col min="7" max="7" width="23.75" hidden="0" customWidth="1"/>
    <x:col min="8" max="8" width="13.75" hidden="0" customWidth="1"/>
    <x:col min="9" max="9" width="18.75" hidden="0" customWidth="1"/>
    <x:col min="10" max="10" width="27.5" hidden="0" customWidth="1"/>
    <x:col min="11" max="11" width="13.75" hidden="0" customWidth="1"/>
  </x:cols>
  <x:sheetData>
    <x:row r="1" ht="30" customHeight="1">
      <x:c r="A1" s="42" t="str">
        <x:v>诊断与鉴别</x:v>
      </x:c>
      <x:c r="B1" s="42"/>
      <x:c r="C1" s="42"/>
      <x:c r="D1" s="42"/>
      <x:c r="E1" s="42"/>
      <x:c r="F1" s="42"/>
      <x:c r="G1" s="42"/>
      <x:c r="H1" s="42"/>
      <x:c r="I1" s="42"/>
      <x:c r="J1" s="42"/>
      <x:c r="K1" s="42"/>
    </x:row>
    <x:row r="2">
      <x:c r="A2" t="str">
        <x:v>病例数</x:v>
      </x:c>
      <x:c r="B2" t="n">
        <x:f>COUNTA(_xlfn.UNIQUE(A4:A171))</x:f>
        <x:v>42</x:v>
      </x:c>
    </x:row>
    <x:row r="3" ht="36" customHeight="1">
      <x:c r="A3" s="47" t="str">
        <x:v>caseId</x:v>
      </x:c>
      <x:c r="B3" s="47" t="str">
        <x:v>originalCaseId</x:v>
      </x:c>
      <x:c r="C3" s="47" t="str">
        <x:v>原始训练目标诊断</x:v>
      </x:c>
      <x:c r="D3" s="47" t="str">
        <x:v>建议诊断表述</x:v>
      </x:c>
      <x:c r="E3" s="47" t="str">
        <x:v>鉴别诊断</x:v>
      </x:c>
      <x:c r="F3" s="47" t="str">
        <x:v>支持点</x:v>
      </x:c>
      <x:c r="G3" s="47" t="str">
        <x:v>反对点</x:v>
      </x:c>
      <x:c r="H3" s="47" t="str">
        <x:v>高危漏诊</x:v>
      </x:c>
      <x:c r="I3" s="47" t="str">
        <x:v>来源</x:v>
      </x:c>
      <x:c r="J3" s="47" t="str">
        <x:v>专家意见</x:v>
      </x:c>
      <x:c r="K3" s="47" t="str">
        <x:v>审核状态</x:v>
      </x:c>
    </x:row>
    <x:row r="4">
      <x:c r="A4" s="55" t="str">
        <x:v>P001</x:v>
      </x:c>
      <x:c r="B4" s="55" t="str">
        <x:v>P001</x:v>
      </x:c>
      <x:c r="C4" s="55" t="str">
        <x:v>膀胱恶性肿瘤</x:v>
      </x:c>
      <x:c r="D4" s="55" t="str">
        <x:v>膀胱恶性肿瘤</x:v>
      </x:c>
      <x:c r="E4" s="55" t="str">
        <x:v>尿路感染</x:v>
      </x:c>
      <x:c r="F4" s="55" t="str">
        <x:v>待专家填写</x:v>
      </x:c>
      <x:c r="G4" s="55" t="str">
        <x:v>待专家填写</x:v>
      </x:c>
      <x:c r="H4" s="55" t="str">
        <x:v>待专家确认</x:v>
      </x:c>
      <x:c r="I4" s="55" t="str">
        <x:v>原始病例/训练扩写</x:v>
      </x:c>
      <x:c r="J4" s="55" t="str"/>
      <x:c r="K4" s="58" t="str">
        <x:v>待专家确认</x:v>
      </x:c>
    </x:row>
    <x:row r="5">
      <x:c r="A5" s="56" t="str">
        <x:v>P001</x:v>
      </x:c>
      <x:c r="B5" s="56" t="str">
        <x:v>P001</x:v>
      </x:c>
      <x:c r="C5" s="56" t="str">
        <x:v>膀胱恶性肿瘤</x:v>
      </x:c>
      <x:c r="D5" s="56" t="str">
        <x:v>膀胱恶性肿瘤</x:v>
      </x:c>
      <x:c r="E5" s="56" t="str">
        <x:v>膀胱结石</x:v>
      </x:c>
      <x:c r="F5" s="56" t="str">
        <x:v>待专家填写</x:v>
      </x:c>
      <x:c r="G5" s="56" t="str">
        <x:v>待专家填写</x:v>
      </x:c>
      <x:c r="H5" s="56" t="str">
        <x:v>待专家确认</x:v>
      </x:c>
      <x:c r="I5" s="56" t="str">
        <x:v>原始病例/训练扩写</x:v>
      </x:c>
      <x:c r="J5" s="56" t="str"/>
      <x:c r="K5" s="59" t="str">
        <x:v>待专家确认</x:v>
      </x:c>
    </x:row>
    <x:row r="6">
      <x:c r="A6" s="56" t="str">
        <x:v>P001</x:v>
      </x:c>
      <x:c r="B6" s="56" t="str">
        <x:v>P001</x:v>
      </x:c>
      <x:c r="C6" s="56" t="str">
        <x:v>膀胱恶性肿瘤</x:v>
      </x:c>
      <x:c r="D6" s="56" t="str">
        <x:v>膀胱恶性肿瘤</x:v>
      </x:c>
      <x:c r="E6" s="56" t="str">
        <x:v>上尿路尿路上皮癌</x:v>
      </x:c>
      <x:c r="F6" s="56" t="str">
        <x:v>待专家填写</x:v>
      </x:c>
      <x:c r="G6" s="56" t="str">
        <x:v>待专家填写</x:v>
      </x:c>
      <x:c r="H6" s="56" t="str">
        <x:v>待专家确认</x:v>
      </x:c>
      <x:c r="I6" s="56" t="str">
        <x:v>原始病例/训练扩写</x:v>
      </x:c>
      <x:c r="J6" s="56" t="str"/>
      <x:c r="K6" s="59" t="str">
        <x:v>待专家确认</x:v>
      </x:c>
    </x:row>
    <x:row r="7">
      <x:c r="A7" s="56" t="str">
        <x:v>P001</x:v>
      </x:c>
      <x:c r="B7" s="56" t="str">
        <x:v>P001</x:v>
      </x:c>
      <x:c r="C7" s="56" t="str">
        <x:v>膀胱恶性肿瘤</x:v>
      </x:c>
      <x:c r="D7" s="56" t="str">
        <x:v>膀胱恶性肿瘤</x:v>
      </x:c>
      <x:c r="E7" s="56" t="str">
        <x:v>良性前列腺增生相关出血</x:v>
      </x:c>
      <x:c r="F7" s="56" t="str">
        <x:v>待专家填写</x:v>
      </x:c>
      <x:c r="G7" s="56" t="str">
        <x:v>待专家填写</x:v>
      </x:c>
      <x:c r="H7" s="56" t="str">
        <x:v>待专家确认</x:v>
      </x:c>
      <x:c r="I7" s="56" t="str">
        <x:v>原始病例/训练扩写</x:v>
      </x:c>
      <x:c r="J7" s="56" t="str"/>
      <x:c r="K7" s="59" t="str">
        <x:v>待专家确认</x:v>
      </x:c>
    </x:row>
    <x:row r="8">
      <x:c r="A8" s="56" t="str">
        <x:v>P002</x:v>
      </x:c>
      <x:c r="B8" s="56" t="str">
        <x:v>P002</x:v>
      </x:c>
      <x:c r="C8" s="56" t="str">
        <x:v>左侧输尿管恶性肿瘤</x:v>
      </x:c>
      <x:c r="D8" s="56" t="str">
        <x:v>左侧输尿管恶性肿瘤</x:v>
      </x:c>
      <x:c r="E8" s="56" t="str">
        <x:v>泌尿系肿瘤</x:v>
      </x:c>
      <x:c r="F8" s="56" t="str">
        <x:v>待专家填写</x:v>
      </x:c>
      <x:c r="G8" s="56" t="str">
        <x:v>待专家填写</x:v>
      </x:c>
      <x:c r="H8" s="56" t="str">
        <x:v>待专家确认</x:v>
      </x:c>
      <x:c r="I8" s="56" t="str">
        <x:v>原始病例/训练扩写</x:v>
      </x:c>
      <x:c r="J8" s="56" t="str"/>
      <x:c r="K8" s="59" t="str">
        <x:v>待专家确认</x:v>
      </x:c>
    </x:row>
    <x:row r="9">
      <x:c r="A9" s="56" t="str">
        <x:v>P002</x:v>
      </x:c>
      <x:c r="B9" s="56" t="str">
        <x:v>P002</x:v>
      </x:c>
      <x:c r="C9" s="56" t="str">
        <x:v>左侧输尿管恶性肿瘤</x:v>
      </x:c>
      <x:c r="D9" s="56" t="str">
        <x:v>左侧输尿管恶性肿瘤</x:v>
      </x:c>
      <x:c r="E9" s="56" t="str">
        <x:v>泌尿系结石</x:v>
      </x:c>
      <x:c r="F9" s="56" t="str">
        <x:v>待专家填写</x:v>
      </x:c>
      <x:c r="G9" s="56" t="str">
        <x:v>待专家填写</x:v>
      </x:c>
      <x:c r="H9" s="56" t="str">
        <x:v>待专家确认</x:v>
      </x:c>
      <x:c r="I9" s="56" t="str">
        <x:v>原始病例/训练扩写</x:v>
      </x:c>
      <x:c r="J9" s="56" t="str"/>
      <x:c r="K9" s="59" t="str">
        <x:v>待专家确认</x:v>
      </x:c>
    </x:row>
    <x:row r="10">
      <x:c r="A10" s="56" t="str">
        <x:v>P002</x:v>
      </x:c>
      <x:c r="B10" s="56" t="str">
        <x:v>P002</x:v>
      </x:c>
      <x:c r="C10" s="56" t="str">
        <x:v>左侧输尿管恶性肿瘤</x:v>
      </x:c>
      <x:c r="D10" s="56" t="str">
        <x:v>左侧输尿管恶性肿瘤</x:v>
      </x:c>
      <x:c r="E10" s="56" t="str">
        <x:v>尿路感染</x:v>
      </x:c>
      <x:c r="F10" s="56" t="str">
        <x:v>待专家填写</x:v>
      </x:c>
      <x:c r="G10" s="56" t="str">
        <x:v>待专家填写</x:v>
      </x:c>
      <x:c r="H10" s="56" t="str">
        <x:v>待专家确认</x:v>
      </x:c>
      <x:c r="I10" s="56" t="str">
        <x:v>原始病例/训练扩写</x:v>
      </x:c>
      <x:c r="J10" s="56" t="str"/>
      <x:c r="K10" s="59" t="str">
        <x:v>待专家确认</x:v>
      </x:c>
    </x:row>
    <x:row r="11">
      <x:c r="A11" s="56" t="str">
        <x:v>P002</x:v>
      </x:c>
      <x:c r="B11" s="56" t="str">
        <x:v>P002</x:v>
      </x:c>
      <x:c r="C11" s="56" t="str">
        <x:v>左侧输尿管恶性肿瘤</x:v>
      </x:c>
      <x:c r="D11" s="56" t="str">
        <x:v>左侧输尿管恶性肿瘤</x:v>
      </x:c>
      <x:c r="E11" s="56" t="str">
        <x:v>肾小球性血尿</x:v>
      </x:c>
      <x:c r="F11" s="56" t="str">
        <x:v>待专家填写</x:v>
      </x:c>
      <x:c r="G11" s="56" t="str">
        <x:v>待专家填写</x:v>
      </x:c>
      <x:c r="H11" s="56" t="str">
        <x:v>待专家确认</x:v>
      </x:c>
      <x:c r="I11" s="56" t="str">
        <x:v>原始病例/训练扩写</x:v>
      </x:c>
      <x:c r="J11" s="56" t="str"/>
      <x:c r="K11" s="59" t="str">
        <x:v>待专家确认</x:v>
      </x:c>
    </x:row>
    <x:row r="12">
      <x:c r="A12" s="56" t="str">
        <x:v>P003</x:v>
      </x:c>
      <x:c r="B12" s="56" t="str">
        <x:v>P003</x:v>
      </x:c>
      <x:c r="C12" s="56" t="str">
        <x:v>肾盂恶性肿瘤</x:v>
      </x:c>
      <x:c r="D12" s="56" t="str">
        <x:v>肾盂恶性肿瘤</x:v>
      </x:c>
      <x:c r="E12" s="56" t="str">
        <x:v>输尿管结石</x:v>
      </x:c>
      <x:c r="F12" s="56" t="str">
        <x:v>待专家填写</x:v>
      </x:c>
      <x:c r="G12" s="56" t="str">
        <x:v>待专家填写</x:v>
      </x:c>
      <x:c r="H12" s="56" t="str">
        <x:v>待专家确认</x:v>
      </x:c>
      <x:c r="I12" s="56" t="str">
        <x:v>原始病例/训练扩写</x:v>
      </x:c>
      <x:c r="J12" s="56" t="str"/>
      <x:c r="K12" s="59" t="str">
        <x:v>待专家确认</x:v>
      </x:c>
    </x:row>
    <x:row r="13">
      <x:c r="A13" s="56" t="str">
        <x:v>P003</x:v>
      </x:c>
      <x:c r="B13" s="56" t="str">
        <x:v>P003</x:v>
      </x:c>
      <x:c r="C13" s="56" t="str">
        <x:v>肾盂恶性肿瘤</x:v>
      </x:c>
      <x:c r="D13" s="56" t="str">
        <x:v>肾盂恶性肿瘤</x:v>
      </x:c>
      <x:c r="E13" s="56" t="str">
        <x:v>急性肾盂肾炎</x:v>
      </x:c>
      <x:c r="F13" s="56" t="str">
        <x:v>待专家填写</x:v>
      </x:c>
      <x:c r="G13" s="56" t="str">
        <x:v>待专家填写</x:v>
      </x:c>
      <x:c r="H13" s="56" t="str">
        <x:v>待专家确认</x:v>
      </x:c>
      <x:c r="I13" s="56" t="str">
        <x:v>原始病例/训练扩写</x:v>
      </x:c>
      <x:c r="J13" s="56" t="str"/>
      <x:c r="K13" s="59" t="str">
        <x:v>待专家确认</x:v>
      </x:c>
    </x:row>
    <x:row r="14">
      <x:c r="A14" s="56" t="str">
        <x:v>P003</x:v>
      </x:c>
      <x:c r="B14" s="56" t="str">
        <x:v>P003</x:v>
      </x:c>
      <x:c r="C14" s="56" t="str">
        <x:v>肾盂恶性肿瘤</x:v>
      </x:c>
      <x:c r="D14" s="56" t="str">
        <x:v>肾盂恶性肿瘤</x:v>
      </x:c>
      <x:c r="E14" s="56" t="str">
        <x:v>肾盂肿瘤</x:v>
      </x:c>
      <x:c r="F14" s="56" t="str">
        <x:v>待专家填写</x:v>
      </x:c>
      <x:c r="G14" s="56" t="str">
        <x:v>待专家填写</x:v>
      </x:c>
      <x:c r="H14" s="56" t="str">
        <x:v>待专家确认</x:v>
      </x:c>
      <x:c r="I14" s="56" t="str">
        <x:v>原始病例/训练扩写</x:v>
      </x:c>
      <x:c r="J14" s="56" t="str"/>
      <x:c r="K14" s="59" t="str">
        <x:v>待专家确认</x:v>
      </x:c>
    </x:row>
    <x:row r="15">
      <x:c r="A15" s="56" t="str">
        <x:v>P003</x:v>
      </x:c>
      <x:c r="B15" s="56" t="str">
        <x:v>P003</x:v>
      </x:c>
      <x:c r="C15" s="56" t="str">
        <x:v>肾盂恶性肿瘤</x:v>
      </x:c>
      <x:c r="D15" s="56" t="str">
        <x:v>肾盂恶性肿瘤</x:v>
      </x:c>
      <x:c r="E15" s="56" t="str">
        <x:v>肾乳头坏死</x:v>
      </x:c>
      <x:c r="F15" s="56" t="str">
        <x:v>待专家填写</x:v>
      </x:c>
      <x:c r="G15" s="56" t="str">
        <x:v>待专家填写</x:v>
      </x:c>
      <x:c r="H15" s="56" t="str">
        <x:v>待专家确认</x:v>
      </x:c>
      <x:c r="I15" s="56" t="str">
        <x:v>原始病例/训练扩写</x:v>
      </x:c>
      <x:c r="J15" s="56" t="str"/>
      <x:c r="K15" s="59" t="str">
        <x:v>待专家确认</x:v>
      </x:c>
    </x:row>
    <x:row r="16">
      <x:c r="A16" s="56" t="str">
        <x:v>P004</x:v>
      </x:c>
      <x:c r="B16" s="56" t="str">
        <x:v>P004</x:v>
      </x:c>
      <x:c r="C16" s="56" t="str">
        <x:v>肾恶性肿瘤</x:v>
      </x:c>
      <x:c r="D16" s="56" t="str">
        <x:v>肾恶性肿瘤</x:v>
      </x:c>
      <x:c r="E16" s="56" t="str">
        <x:v>泌尿系肿瘤</x:v>
      </x:c>
      <x:c r="F16" s="56" t="str">
        <x:v>待专家填写</x:v>
      </x:c>
      <x:c r="G16" s="56" t="str">
        <x:v>待专家填写</x:v>
      </x:c>
      <x:c r="H16" s="56" t="str">
        <x:v>待专家确认</x:v>
      </x:c>
      <x:c r="I16" s="56" t="str">
        <x:v>原始病例/训练扩写</x:v>
      </x:c>
      <x:c r="J16" s="56" t="str"/>
      <x:c r="K16" s="59" t="str">
        <x:v>待专家确认</x:v>
      </x:c>
    </x:row>
    <x:row r="17">
      <x:c r="A17" s="56" t="str">
        <x:v>P004</x:v>
      </x:c>
      <x:c r="B17" s="56" t="str">
        <x:v>P004</x:v>
      </x:c>
      <x:c r="C17" s="56" t="str">
        <x:v>肾恶性肿瘤</x:v>
      </x:c>
      <x:c r="D17" s="56" t="str">
        <x:v>肾恶性肿瘤</x:v>
      </x:c>
      <x:c r="E17" s="56" t="str">
        <x:v>泌尿系结石</x:v>
      </x:c>
      <x:c r="F17" s="56" t="str">
        <x:v>待专家填写</x:v>
      </x:c>
      <x:c r="G17" s="56" t="str">
        <x:v>待专家填写</x:v>
      </x:c>
      <x:c r="H17" s="56" t="str">
        <x:v>待专家确认</x:v>
      </x:c>
      <x:c r="I17" s="56" t="str">
        <x:v>原始病例/训练扩写</x:v>
      </x:c>
      <x:c r="J17" s="56" t="str"/>
      <x:c r="K17" s="59" t="str">
        <x:v>待专家确认</x:v>
      </x:c>
    </x:row>
    <x:row r="18">
      <x:c r="A18" s="56" t="str">
        <x:v>P004</x:v>
      </x:c>
      <x:c r="B18" s="56" t="str">
        <x:v>P004</x:v>
      </x:c>
      <x:c r="C18" s="56" t="str">
        <x:v>肾恶性肿瘤</x:v>
      </x:c>
      <x:c r="D18" s="56" t="str">
        <x:v>肾恶性肿瘤</x:v>
      </x:c>
      <x:c r="E18" s="56" t="str">
        <x:v>尿路感染</x:v>
      </x:c>
      <x:c r="F18" s="56" t="str">
        <x:v>待专家填写</x:v>
      </x:c>
      <x:c r="G18" s="56" t="str">
        <x:v>待专家填写</x:v>
      </x:c>
      <x:c r="H18" s="56" t="str">
        <x:v>待专家确认</x:v>
      </x:c>
      <x:c r="I18" s="56" t="str">
        <x:v>原始病例/训练扩写</x:v>
      </x:c>
      <x:c r="J18" s="56" t="str"/>
      <x:c r="K18" s="59" t="str">
        <x:v>待专家确认</x:v>
      </x:c>
    </x:row>
    <x:row r="19">
      <x:c r="A19" s="56" t="str">
        <x:v>P004</x:v>
      </x:c>
      <x:c r="B19" s="56" t="str">
        <x:v>P004</x:v>
      </x:c>
      <x:c r="C19" s="56" t="str">
        <x:v>肾恶性肿瘤</x:v>
      </x:c>
      <x:c r="D19" s="56" t="str">
        <x:v>肾恶性肿瘤</x:v>
      </x:c>
      <x:c r="E19" s="56" t="str">
        <x:v>肾小球性血尿</x:v>
      </x:c>
      <x:c r="F19" s="56" t="str">
        <x:v>待专家填写</x:v>
      </x:c>
      <x:c r="G19" s="56" t="str">
        <x:v>待专家填写</x:v>
      </x:c>
      <x:c r="H19" s="56" t="str">
        <x:v>待专家确认</x:v>
      </x:c>
      <x:c r="I19" s="56" t="str">
        <x:v>原始病例/训练扩写</x:v>
      </x:c>
      <x:c r="J19" s="56" t="str"/>
      <x:c r="K19" s="59" t="str">
        <x:v>待专家确认</x:v>
      </x:c>
    </x:row>
    <x:row r="20">
      <x:c r="A20" s="56" t="str">
        <x:v>P005</x:v>
      </x:c>
      <x:c r="B20" s="56" t="str">
        <x:v>P005</x:v>
      </x:c>
      <x:c r="C20" s="56" t="str">
        <x:v>前列腺增生</x:v>
      </x:c>
      <x:c r="D20" s="56" t="str">
        <x:v>前列腺增生</x:v>
      </x:c>
      <x:c r="E20" s="56" t="str">
        <x:v>前列腺癌</x:v>
      </x:c>
      <x:c r="F20" s="56" t="str">
        <x:v>待专家填写</x:v>
      </x:c>
      <x:c r="G20" s="56" t="str">
        <x:v>待专家填写</x:v>
      </x:c>
      <x:c r="H20" s="56" t="str">
        <x:v>待专家确认</x:v>
      </x:c>
      <x:c r="I20" s="56" t="str">
        <x:v>原始病例/训练扩写</x:v>
      </x:c>
      <x:c r="J20" s="56" t="str"/>
      <x:c r="K20" s="59" t="str">
        <x:v>待专家确认</x:v>
      </x:c>
    </x:row>
    <x:row r="21">
      <x:c r="A21" s="56" t="str">
        <x:v>P005</x:v>
      </x:c>
      <x:c r="B21" s="56" t="str">
        <x:v>P005</x:v>
      </x:c>
      <x:c r="C21" s="56" t="str">
        <x:v>前列腺增生</x:v>
      </x:c>
      <x:c r="D21" s="56" t="str">
        <x:v>前列腺增生</x:v>
      </x:c>
      <x:c r="E21" s="56" t="str">
        <x:v>膀胱颈挛缩</x:v>
      </x:c>
      <x:c r="F21" s="56" t="str">
        <x:v>待专家填写</x:v>
      </x:c>
      <x:c r="G21" s="56" t="str">
        <x:v>待专家填写</x:v>
      </x:c>
      <x:c r="H21" s="56" t="str">
        <x:v>待专家确认</x:v>
      </x:c>
      <x:c r="I21" s="56" t="str">
        <x:v>原始病例/训练扩写</x:v>
      </x:c>
      <x:c r="J21" s="56" t="str"/>
      <x:c r="K21" s="59" t="str">
        <x:v>待专家确认</x:v>
      </x:c>
    </x:row>
    <x:row r="22">
      <x:c r="A22" s="56" t="str">
        <x:v>P005</x:v>
      </x:c>
      <x:c r="B22" s="56" t="str">
        <x:v>P005</x:v>
      </x:c>
      <x:c r="C22" s="56" t="str">
        <x:v>前列腺增生</x:v>
      </x:c>
      <x:c r="D22" s="56" t="str">
        <x:v>前列腺增生</x:v>
      </x:c>
      <x:c r="E22" s="56" t="str">
        <x:v>尿道狭窄</x:v>
      </x:c>
      <x:c r="F22" s="56" t="str">
        <x:v>待专家填写</x:v>
      </x:c>
      <x:c r="G22" s="56" t="str">
        <x:v>待专家填写</x:v>
      </x:c>
      <x:c r="H22" s="56" t="str">
        <x:v>待专家确认</x:v>
      </x:c>
      <x:c r="I22" s="56" t="str">
        <x:v>原始病例/训练扩写</x:v>
      </x:c>
      <x:c r="J22" s="56" t="str"/>
      <x:c r="K22" s="59" t="str">
        <x:v>待专家确认</x:v>
      </x:c>
    </x:row>
    <x:row r="23">
      <x:c r="A23" s="56" t="str">
        <x:v>P005</x:v>
      </x:c>
      <x:c r="B23" s="56" t="str">
        <x:v>P005</x:v>
      </x:c>
      <x:c r="C23" s="56" t="str">
        <x:v>前列腺增生</x:v>
      </x:c>
      <x:c r="D23" s="56" t="str">
        <x:v>前列腺增生</x:v>
      </x:c>
      <x:c r="E23" s="56" t="str">
        <x:v>神经源性膀胱</x:v>
      </x:c>
      <x:c r="F23" s="56" t="str">
        <x:v>待专家填写</x:v>
      </x:c>
      <x:c r="G23" s="56" t="str">
        <x:v>待专家填写</x:v>
      </x:c>
      <x:c r="H23" s="56" t="str">
        <x:v>待专家确认</x:v>
      </x:c>
      <x:c r="I23" s="56" t="str">
        <x:v>原始病例/训练扩写</x:v>
      </x:c>
      <x:c r="J23" s="56" t="str"/>
      <x:c r="K23" s="59" t="str">
        <x:v>待专家确认</x:v>
      </x:c>
    </x:row>
    <x:row r="24">
      <x:c r="A24" s="56" t="str">
        <x:v>P006</x:v>
      </x:c>
      <x:c r="B24" s="56" t="str">
        <x:v>P006</x:v>
      </x:c>
      <x:c r="C24" s="56" t="str">
        <x:v>泌尿道感染</x:v>
      </x:c>
      <x:c r="D24" s="56" t="str">
        <x:v>泌尿道感染</x:v>
      </x:c>
      <x:c r="E24" s="56" t="str">
        <x:v>尿路结石</x:v>
      </x:c>
      <x:c r="F24" s="56" t="str">
        <x:v>待专家填写</x:v>
      </x:c>
      <x:c r="G24" s="56" t="str">
        <x:v>待专家填写</x:v>
      </x:c>
      <x:c r="H24" s="56" t="str">
        <x:v>待专家确认</x:v>
      </x:c>
      <x:c r="I24" s="56" t="str">
        <x:v>原始病例/训练扩写</x:v>
      </x:c>
      <x:c r="J24" s="56" t="str"/>
      <x:c r="K24" s="59" t="str">
        <x:v>待专家确认</x:v>
      </x:c>
    </x:row>
    <x:row r="25">
      <x:c r="A25" s="56" t="str">
        <x:v>P006</x:v>
      </x:c>
      <x:c r="B25" s="56" t="str">
        <x:v>P006</x:v>
      </x:c>
      <x:c r="C25" s="56" t="str">
        <x:v>泌尿道感染</x:v>
      </x:c>
      <x:c r="D25" s="56" t="str">
        <x:v>泌尿道感染</x:v>
      </x:c>
      <x:c r="E25" s="56" t="str">
        <x:v>尿路上皮肿瘤</x:v>
      </x:c>
      <x:c r="F25" s="56" t="str">
        <x:v>待专家填写</x:v>
      </x:c>
      <x:c r="G25" s="56" t="str">
        <x:v>待专家填写</x:v>
      </x:c>
      <x:c r="H25" s="56" t="str">
        <x:v>待专家确认</x:v>
      </x:c>
      <x:c r="I25" s="56" t="str">
        <x:v>原始病例/训练扩写</x:v>
      </x:c>
      <x:c r="J25" s="56" t="str"/>
      <x:c r="K25" s="59" t="str">
        <x:v>待专家确认</x:v>
      </x:c>
    </x:row>
    <x:row r="26">
      <x:c r="A26" s="56" t="str">
        <x:v>P006</x:v>
      </x:c>
      <x:c r="B26" s="56" t="str">
        <x:v>P006</x:v>
      </x:c>
      <x:c r="C26" s="56" t="str">
        <x:v>泌尿道感染</x:v>
      </x:c>
      <x:c r="D26" s="56" t="str">
        <x:v>泌尿道感染</x:v>
      </x:c>
      <x:c r="E26" s="56" t="str">
        <x:v>肾小球性血尿</x:v>
      </x:c>
      <x:c r="F26" s="56" t="str">
        <x:v>待专家填写</x:v>
      </x:c>
      <x:c r="G26" s="56" t="str">
        <x:v>待专家填写</x:v>
      </x:c>
      <x:c r="H26" s="56" t="str">
        <x:v>待专家确认</x:v>
      </x:c>
      <x:c r="I26" s="56" t="str">
        <x:v>原始病例/训练扩写</x:v>
      </x:c>
      <x:c r="J26" s="56" t="str"/>
      <x:c r="K26" s="59" t="str">
        <x:v>待专家确认</x:v>
      </x:c>
    </x:row>
    <x:row r="27">
      <x:c r="A27" s="56" t="str">
        <x:v>P006</x:v>
      </x:c>
      <x:c r="B27" s="56" t="str">
        <x:v>P006</x:v>
      </x:c>
      <x:c r="C27" s="56" t="str">
        <x:v>泌尿道感染</x:v>
      </x:c>
      <x:c r="D27" s="56" t="str">
        <x:v>泌尿道感染</x:v>
      </x:c>
      <x:c r="E27" s="56" t="str">
        <x:v>妇科污染</x:v>
      </x:c>
      <x:c r="F27" s="56" t="str">
        <x:v>待专家填写</x:v>
      </x:c>
      <x:c r="G27" s="56" t="str">
        <x:v>待专家填写</x:v>
      </x:c>
      <x:c r="H27" s="56" t="str">
        <x:v>待专家确认</x:v>
      </x:c>
      <x:c r="I27" s="56" t="str">
        <x:v>原始病例/训练扩写</x:v>
      </x:c>
      <x:c r="J27" s="56" t="str"/>
      <x:c r="K27" s="59" t="str">
        <x:v>待专家确认</x:v>
      </x:c>
    </x:row>
    <x:row r="28">
      <x:c r="A28" s="56" t="str">
        <x:v>P007</x:v>
      </x:c>
      <x:c r="B28" s="56" t="str">
        <x:v>P007</x:v>
      </x:c>
      <x:c r="C28" s="56" t="str">
        <x:v>前列腺增生</x:v>
      </x:c>
      <x:c r="D28" s="56" t="str">
        <x:v>前列腺增生</x:v>
      </x:c>
      <x:c r="E28" s="56" t="str">
        <x:v>前列腺癌</x:v>
      </x:c>
      <x:c r="F28" s="56" t="str">
        <x:v>待专家填写</x:v>
      </x:c>
      <x:c r="G28" s="56" t="str">
        <x:v>待专家填写</x:v>
      </x:c>
      <x:c r="H28" s="56" t="str">
        <x:v>待专家确认</x:v>
      </x:c>
      <x:c r="I28" s="56" t="str">
        <x:v>原始病例/训练扩写</x:v>
      </x:c>
      <x:c r="J28" s="56" t="str"/>
      <x:c r="K28" s="59" t="str">
        <x:v>待专家确认</x:v>
      </x:c>
    </x:row>
    <x:row r="29">
      <x:c r="A29" s="56" t="str">
        <x:v>P007</x:v>
      </x:c>
      <x:c r="B29" s="56" t="str">
        <x:v>P007</x:v>
      </x:c>
      <x:c r="C29" s="56" t="str">
        <x:v>前列腺增生</x:v>
      </x:c>
      <x:c r="D29" s="56" t="str">
        <x:v>前列腺增生</x:v>
      </x:c>
      <x:c r="E29" s="56" t="str">
        <x:v>膀胱颈挛缩</x:v>
      </x:c>
      <x:c r="F29" s="56" t="str">
        <x:v>待专家填写</x:v>
      </x:c>
      <x:c r="G29" s="56" t="str">
        <x:v>待专家填写</x:v>
      </x:c>
      <x:c r="H29" s="56" t="str">
        <x:v>待专家确认</x:v>
      </x:c>
      <x:c r="I29" s="56" t="str">
        <x:v>原始病例/训练扩写</x:v>
      </x:c>
      <x:c r="J29" s="56" t="str"/>
      <x:c r="K29" s="59" t="str">
        <x:v>待专家确认</x:v>
      </x:c>
    </x:row>
    <x:row r="30">
      <x:c r="A30" s="56" t="str">
        <x:v>P007</x:v>
      </x:c>
      <x:c r="B30" s="56" t="str">
        <x:v>P007</x:v>
      </x:c>
      <x:c r="C30" s="56" t="str">
        <x:v>前列腺增生</x:v>
      </x:c>
      <x:c r="D30" s="56" t="str">
        <x:v>前列腺增生</x:v>
      </x:c>
      <x:c r="E30" s="56" t="str">
        <x:v>尿道狭窄</x:v>
      </x:c>
      <x:c r="F30" s="56" t="str">
        <x:v>待专家填写</x:v>
      </x:c>
      <x:c r="G30" s="56" t="str">
        <x:v>待专家填写</x:v>
      </x:c>
      <x:c r="H30" s="56" t="str">
        <x:v>待专家确认</x:v>
      </x:c>
      <x:c r="I30" s="56" t="str">
        <x:v>原始病例/训练扩写</x:v>
      </x:c>
      <x:c r="J30" s="56" t="str"/>
      <x:c r="K30" s="59" t="str">
        <x:v>待专家确认</x:v>
      </x:c>
    </x:row>
    <x:row r="31">
      <x:c r="A31" s="56" t="str">
        <x:v>P007</x:v>
      </x:c>
      <x:c r="B31" s="56" t="str">
        <x:v>P007</x:v>
      </x:c>
      <x:c r="C31" s="56" t="str">
        <x:v>前列腺增生</x:v>
      </x:c>
      <x:c r="D31" s="56" t="str">
        <x:v>前列腺增生</x:v>
      </x:c>
      <x:c r="E31" s="56" t="str">
        <x:v>神经源性膀胱</x:v>
      </x:c>
      <x:c r="F31" s="56" t="str">
        <x:v>待专家填写</x:v>
      </x:c>
      <x:c r="G31" s="56" t="str">
        <x:v>待专家填写</x:v>
      </x:c>
      <x:c r="H31" s="56" t="str">
        <x:v>待专家确认</x:v>
      </x:c>
      <x:c r="I31" s="56" t="str">
        <x:v>原始病例/训练扩写</x:v>
      </x:c>
      <x:c r="J31" s="56" t="str"/>
      <x:c r="K31" s="59" t="str">
        <x:v>待专家确认</x:v>
      </x:c>
    </x:row>
    <x:row r="32">
      <x:c r="A32" s="56" t="str">
        <x:v>P008</x:v>
      </x:c>
      <x:c r="B32" s="56" t="str">
        <x:v>P008</x:v>
      </x:c>
      <x:c r="C32" s="56" t="str">
        <x:v>膀胱结石，前列腺增生</x:v>
      </x:c>
      <x:c r="D32" s="56" t="str">
        <x:v>膀胱结石，前列腺增生</x:v>
      </x:c>
      <x:c r="E32" s="56" t="str">
        <x:v>前列腺癌</x:v>
      </x:c>
      <x:c r="F32" s="56" t="str">
        <x:v>待专家填写</x:v>
      </x:c>
      <x:c r="G32" s="56" t="str">
        <x:v>待专家填写</x:v>
      </x:c>
      <x:c r="H32" s="56" t="str">
        <x:v>待专家确认</x:v>
      </x:c>
      <x:c r="I32" s="56" t="str">
        <x:v>原始病例/训练扩写</x:v>
      </x:c>
      <x:c r="J32" s="56" t="str"/>
      <x:c r="K32" s="59" t="str">
        <x:v>待专家确认</x:v>
      </x:c>
    </x:row>
    <x:row r="33">
      <x:c r="A33" s="56" t="str">
        <x:v>P008</x:v>
      </x:c>
      <x:c r="B33" s="56" t="str">
        <x:v>P008</x:v>
      </x:c>
      <x:c r="C33" s="56" t="str">
        <x:v>膀胱结石，前列腺增生</x:v>
      </x:c>
      <x:c r="D33" s="56" t="str">
        <x:v>膀胱结石，前列腺增生</x:v>
      </x:c>
      <x:c r="E33" s="56" t="str">
        <x:v>膀胱颈挛缩</x:v>
      </x:c>
      <x:c r="F33" s="56" t="str">
        <x:v>待专家填写</x:v>
      </x:c>
      <x:c r="G33" s="56" t="str">
        <x:v>待专家填写</x:v>
      </x:c>
      <x:c r="H33" s="56" t="str">
        <x:v>待专家确认</x:v>
      </x:c>
      <x:c r="I33" s="56" t="str">
        <x:v>原始病例/训练扩写</x:v>
      </x:c>
      <x:c r="J33" s="56" t="str"/>
      <x:c r="K33" s="59" t="str">
        <x:v>待专家确认</x:v>
      </x:c>
    </x:row>
    <x:row r="34">
      <x:c r="A34" s="56" t="str">
        <x:v>P008</x:v>
      </x:c>
      <x:c r="B34" s="56" t="str">
        <x:v>P008</x:v>
      </x:c>
      <x:c r="C34" s="56" t="str">
        <x:v>膀胱结石，前列腺增生</x:v>
      </x:c>
      <x:c r="D34" s="56" t="str">
        <x:v>膀胱结石，前列腺增生</x:v>
      </x:c>
      <x:c r="E34" s="56" t="str">
        <x:v>尿道狭窄</x:v>
      </x:c>
      <x:c r="F34" s="56" t="str">
        <x:v>待专家填写</x:v>
      </x:c>
      <x:c r="G34" s="56" t="str">
        <x:v>待专家填写</x:v>
      </x:c>
      <x:c r="H34" s="56" t="str">
        <x:v>待专家确认</x:v>
      </x:c>
      <x:c r="I34" s="56" t="str">
        <x:v>原始病例/训练扩写</x:v>
      </x:c>
      <x:c r="J34" s="56" t="str"/>
      <x:c r="K34" s="59" t="str">
        <x:v>待专家确认</x:v>
      </x:c>
    </x:row>
    <x:row r="35">
      <x:c r="A35" s="56" t="str">
        <x:v>P008</x:v>
      </x:c>
      <x:c r="B35" s="56" t="str">
        <x:v>P008</x:v>
      </x:c>
      <x:c r="C35" s="56" t="str">
        <x:v>膀胱结石，前列腺增生</x:v>
      </x:c>
      <x:c r="D35" s="56" t="str">
        <x:v>膀胱结石，前列腺增生</x:v>
      </x:c>
      <x:c r="E35" s="56" t="str">
        <x:v>神经源性膀胱</x:v>
      </x:c>
      <x:c r="F35" s="56" t="str">
        <x:v>待专家填写</x:v>
      </x:c>
      <x:c r="G35" s="56" t="str">
        <x:v>待专家填写</x:v>
      </x:c>
      <x:c r="H35" s="56" t="str">
        <x:v>待专家确认</x:v>
      </x:c>
      <x:c r="I35" s="56" t="str">
        <x:v>原始病例/训练扩写</x:v>
      </x:c>
      <x:c r="J35" s="56" t="str"/>
      <x:c r="K35" s="59" t="str">
        <x:v>待专家确认</x:v>
      </x:c>
    </x:row>
    <x:row r="36">
      <x:c r="A36" s="56" t="str">
        <x:v>P009</x:v>
      </x:c>
      <x:c r="B36" s="56" t="str">
        <x:v>P009</x:v>
      </x:c>
      <x:c r="C36" s="56" t="str">
        <x:v>右侧肾输尿管结石伴积水和感染</x:v>
      </x:c>
      <x:c r="D36" s="56" t="str">
        <x:v>右侧肾输尿管结石伴积水和感染</x:v>
      </x:c>
      <x:c r="E36" s="56" t="str">
        <x:v>急性肾盂肾炎</x:v>
      </x:c>
      <x:c r="F36" s="56" t="str">
        <x:v>待专家填写</x:v>
      </x:c>
      <x:c r="G36" s="56" t="str">
        <x:v>待专家填写</x:v>
      </x:c>
      <x:c r="H36" s="56" t="str">
        <x:v>待专家确认</x:v>
      </x:c>
      <x:c r="I36" s="56" t="str">
        <x:v>原始病例/训练扩写</x:v>
      </x:c>
      <x:c r="J36" s="56" t="str"/>
      <x:c r="K36" s="59" t="str">
        <x:v>待专家确认</x:v>
      </x:c>
    </x:row>
    <x:row r="37">
      <x:c r="A37" s="56" t="str">
        <x:v>P009</x:v>
      </x:c>
      <x:c r="B37" s="56" t="str">
        <x:v>P009</x:v>
      </x:c>
      <x:c r="C37" s="56" t="str">
        <x:v>右侧肾输尿管结石伴积水和感染</x:v>
      </x:c>
      <x:c r="D37" s="56" t="str">
        <x:v>右侧肾输尿管结石伴积水和感染</x:v>
      </x:c>
      <x:c r="E37" s="56" t="str">
        <x:v>肾梗死</x:v>
      </x:c>
      <x:c r="F37" s="56" t="str">
        <x:v>待专家填写</x:v>
      </x:c>
      <x:c r="G37" s="56" t="str">
        <x:v>待专家填写</x:v>
      </x:c>
      <x:c r="H37" s="56" t="str">
        <x:v>待专家确认</x:v>
      </x:c>
      <x:c r="I37" s="56" t="str">
        <x:v>原始病例/训练扩写</x:v>
      </x:c>
      <x:c r="J37" s="56" t="str"/>
      <x:c r="K37" s="59" t="str">
        <x:v>待专家确认</x:v>
      </x:c>
    </x:row>
    <x:row r="38">
      <x:c r="A38" s="56" t="str">
        <x:v>P009</x:v>
      </x:c>
      <x:c r="B38" s="56" t="str">
        <x:v>P009</x:v>
      </x:c>
      <x:c r="C38" s="56" t="str">
        <x:v>右侧肾输尿管结石伴积水和感染</x:v>
      </x:c>
      <x:c r="D38" s="56" t="str">
        <x:v>右侧肾输尿管结石伴积水和感染</x:v>
      </x:c>
      <x:c r="E38" s="56" t="str">
        <x:v>阑尾炎或胆道疾病</x:v>
      </x:c>
      <x:c r="F38" s="56" t="str">
        <x:v>待专家填写</x:v>
      </x:c>
      <x:c r="G38" s="56" t="str">
        <x:v>待专家填写</x:v>
      </x:c>
      <x:c r="H38" s="56" t="str">
        <x:v>待专家确认</x:v>
      </x:c>
      <x:c r="I38" s="56" t="str">
        <x:v>原始病例/训练扩写</x:v>
      </x:c>
      <x:c r="J38" s="56" t="str"/>
      <x:c r="K38" s="59" t="str">
        <x:v>待专家确认</x:v>
      </x:c>
    </x:row>
    <x:row r="39">
      <x:c r="A39" s="56" t="str">
        <x:v>P009</x:v>
      </x:c>
      <x:c r="B39" s="56" t="str">
        <x:v>P009</x:v>
      </x:c>
      <x:c r="C39" s="56" t="str">
        <x:v>右侧肾输尿管结石伴积水和感染</x:v>
      </x:c>
      <x:c r="D39" s="56" t="str">
        <x:v>右侧肾输尿管结石伴积水和感染</x:v>
      </x:c>
      <x:c r="E39" s="56" t="str">
        <x:v>上尿路尿路上皮癌</x:v>
      </x:c>
      <x:c r="F39" s="56" t="str">
        <x:v>待专家填写</x:v>
      </x:c>
      <x:c r="G39" s="56" t="str">
        <x:v>待专家填写</x:v>
      </x:c>
      <x:c r="H39" s="56" t="str">
        <x:v>待专家确认</x:v>
      </x:c>
      <x:c r="I39" s="56" t="str">
        <x:v>原始病例/训练扩写</x:v>
      </x:c>
      <x:c r="J39" s="56" t="str"/>
      <x:c r="K39" s="59" t="str">
        <x:v>待专家确认</x:v>
      </x:c>
    </x:row>
    <x:row r="40">
      <x:c r="A40" s="56" t="str">
        <x:v>P010</x:v>
      </x:c>
      <x:c r="B40" s="56" t="str">
        <x:v>P010</x:v>
      </x:c>
      <x:c r="C40" s="56" t="str">
        <x:v>左肾铸型结石</x:v>
      </x:c>
      <x:c r="D40" s="56" t="str">
        <x:v>左肾铸型结石</x:v>
      </x:c>
      <x:c r="E40" s="56" t="str">
        <x:v>尿路感染</x:v>
      </x:c>
      <x:c r="F40" s="56" t="str">
        <x:v>待专家填写</x:v>
      </x:c>
      <x:c r="G40" s="56" t="str">
        <x:v>待专家填写</x:v>
      </x:c>
      <x:c r="H40" s="56" t="str">
        <x:v>待专家确认</x:v>
      </x:c>
      <x:c r="I40" s="56" t="str">
        <x:v>原始病例/训练扩写</x:v>
      </x:c>
      <x:c r="J40" s="56" t="str"/>
      <x:c r="K40" s="59" t="str">
        <x:v>待专家确认</x:v>
      </x:c>
    </x:row>
    <x:row r="41">
      <x:c r="A41" s="56" t="str">
        <x:v>P010</x:v>
      </x:c>
      <x:c r="B41" s="56" t="str">
        <x:v>P010</x:v>
      </x:c>
      <x:c r="C41" s="56" t="str">
        <x:v>左肾铸型结石</x:v>
      </x:c>
      <x:c r="D41" s="56" t="str">
        <x:v>左肾铸型结石</x:v>
      </x:c>
      <x:c r="E41" s="56" t="str">
        <x:v>尿路上皮肿瘤</x:v>
      </x:c>
      <x:c r="F41" s="56" t="str">
        <x:v>待专家填写</x:v>
      </x:c>
      <x:c r="G41" s="56" t="str">
        <x:v>待专家填写</x:v>
      </x:c>
      <x:c r="H41" s="56" t="str">
        <x:v>待专家确认</x:v>
      </x:c>
      <x:c r="I41" s="56" t="str">
        <x:v>原始病例/训练扩写</x:v>
      </x:c>
      <x:c r="J41" s="56" t="str"/>
      <x:c r="K41" s="59" t="str">
        <x:v>待专家确认</x:v>
      </x:c>
    </x:row>
    <x:row r="42">
      <x:c r="A42" s="56" t="str">
        <x:v>P010</x:v>
      </x:c>
      <x:c r="B42" s="56" t="str">
        <x:v>P010</x:v>
      </x:c>
      <x:c r="C42" s="56" t="str">
        <x:v>左肾铸型结石</x:v>
      </x:c>
      <x:c r="D42" s="56" t="str">
        <x:v>左肾铸型结石</x:v>
      </x:c>
      <x:c r="E42" s="56" t="str">
        <x:v>肾梗死</x:v>
      </x:c>
      <x:c r="F42" s="56" t="str">
        <x:v>待专家填写</x:v>
      </x:c>
      <x:c r="G42" s="56" t="str">
        <x:v>待专家填写</x:v>
      </x:c>
      <x:c r="H42" s="56" t="str">
        <x:v>待专家确认</x:v>
      </x:c>
      <x:c r="I42" s="56" t="str">
        <x:v>原始病例/训练扩写</x:v>
      </x:c>
      <x:c r="J42" s="56" t="str"/>
      <x:c r="K42" s="59" t="str">
        <x:v>待专家确认</x:v>
      </x:c>
    </x:row>
    <x:row r="43">
      <x:c r="A43" s="56" t="str">
        <x:v>P010</x:v>
      </x:c>
      <x:c r="B43" s="56" t="str">
        <x:v>P010</x:v>
      </x:c>
      <x:c r="C43" s="56" t="str">
        <x:v>左肾铸型结石</x:v>
      </x:c>
      <x:c r="D43" s="56" t="str">
        <x:v>左肾铸型结石</x:v>
      </x:c>
      <x:c r="E43" s="56" t="str">
        <x:v>肾小球性血尿</x:v>
      </x:c>
      <x:c r="F43" s="56" t="str">
        <x:v>待专家填写</x:v>
      </x:c>
      <x:c r="G43" s="56" t="str">
        <x:v>待专家填写</x:v>
      </x:c>
      <x:c r="H43" s="56" t="str">
        <x:v>待专家确认</x:v>
      </x:c>
      <x:c r="I43" s="56" t="str">
        <x:v>原始病例/训练扩写</x:v>
      </x:c>
      <x:c r="J43" s="56" t="str"/>
      <x:c r="K43" s="59" t="str">
        <x:v>待专家确认</x:v>
      </x:c>
    </x:row>
    <x:row r="44">
      <x:c r="A44" s="56" t="str">
        <x:v>P011</x:v>
      </x:c>
      <x:c r="B44" s="56" t="str">
        <x:v>P011</x:v>
      </x:c>
      <x:c r="C44" s="56" t="str">
        <x:v>急性肾小球肾炎</x:v>
      </x:c>
      <x:c r="D44" s="56" t="str">
        <x:v>急性肾小球肾炎</x:v>
      </x:c>
      <x:c r="E44" s="56" t="str">
        <x:v>泌尿系肿瘤</x:v>
      </x:c>
      <x:c r="F44" s="56" t="str">
        <x:v>待专家填写</x:v>
      </x:c>
      <x:c r="G44" s="56" t="str">
        <x:v>待专家填写</x:v>
      </x:c>
      <x:c r="H44" s="56" t="str">
        <x:v>待专家确认</x:v>
      </x:c>
      <x:c r="I44" s="56" t="str">
        <x:v>原始病例/训练扩写</x:v>
      </x:c>
      <x:c r="J44" s="56" t="str"/>
      <x:c r="K44" s="59" t="str">
        <x:v>待专家确认</x:v>
      </x:c>
    </x:row>
    <x:row r="45">
      <x:c r="A45" s="56" t="str">
        <x:v>P011</x:v>
      </x:c>
      <x:c r="B45" s="56" t="str">
        <x:v>P011</x:v>
      </x:c>
      <x:c r="C45" s="56" t="str">
        <x:v>急性肾小球肾炎</x:v>
      </x:c>
      <x:c r="D45" s="56" t="str">
        <x:v>急性肾小球肾炎</x:v>
      </x:c>
      <x:c r="E45" s="56" t="str">
        <x:v>泌尿系结石</x:v>
      </x:c>
      <x:c r="F45" s="56" t="str">
        <x:v>待专家填写</x:v>
      </x:c>
      <x:c r="G45" s="56" t="str">
        <x:v>待专家填写</x:v>
      </x:c>
      <x:c r="H45" s="56" t="str">
        <x:v>待专家确认</x:v>
      </x:c>
      <x:c r="I45" s="56" t="str">
        <x:v>原始病例/训练扩写</x:v>
      </x:c>
      <x:c r="J45" s="56" t="str"/>
      <x:c r="K45" s="59" t="str">
        <x:v>待专家确认</x:v>
      </x:c>
    </x:row>
    <x:row r="46">
      <x:c r="A46" s="56" t="str">
        <x:v>P011</x:v>
      </x:c>
      <x:c r="B46" s="56" t="str">
        <x:v>P011</x:v>
      </x:c>
      <x:c r="C46" s="56" t="str">
        <x:v>急性肾小球肾炎</x:v>
      </x:c>
      <x:c r="D46" s="56" t="str">
        <x:v>急性肾小球肾炎</x:v>
      </x:c>
      <x:c r="E46" s="56" t="str">
        <x:v>尿路感染</x:v>
      </x:c>
      <x:c r="F46" s="56" t="str">
        <x:v>待专家填写</x:v>
      </x:c>
      <x:c r="G46" s="56" t="str">
        <x:v>待专家填写</x:v>
      </x:c>
      <x:c r="H46" s="56" t="str">
        <x:v>待专家确认</x:v>
      </x:c>
      <x:c r="I46" s="56" t="str">
        <x:v>原始病例/训练扩写</x:v>
      </x:c>
      <x:c r="J46" s="56" t="str"/>
      <x:c r="K46" s="59" t="str">
        <x:v>待专家确认</x:v>
      </x:c>
    </x:row>
    <x:row r="47">
      <x:c r="A47" s="56" t="str">
        <x:v>P011</x:v>
      </x:c>
      <x:c r="B47" s="56" t="str">
        <x:v>P011</x:v>
      </x:c>
      <x:c r="C47" s="56" t="str">
        <x:v>急性肾小球肾炎</x:v>
      </x:c>
      <x:c r="D47" s="56" t="str">
        <x:v>急性肾小球肾炎</x:v>
      </x:c>
      <x:c r="E47" s="56" t="str">
        <x:v>肾小球性血尿</x:v>
      </x:c>
      <x:c r="F47" s="56" t="str">
        <x:v>待专家填写</x:v>
      </x:c>
      <x:c r="G47" s="56" t="str">
        <x:v>待专家填写</x:v>
      </x:c>
      <x:c r="H47" s="56" t="str">
        <x:v>待专家确认</x:v>
      </x:c>
      <x:c r="I47" s="56" t="str">
        <x:v>原始病例/训练扩写</x:v>
      </x:c>
      <x:c r="J47" s="56" t="str"/>
      <x:c r="K47" s="59" t="str">
        <x:v>待专家确认</x:v>
      </x:c>
    </x:row>
    <x:row r="48">
      <x:c r="A48" s="56" t="str">
        <x:v>P012</x:v>
      </x:c>
      <x:c r="B48" s="56" t="str">
        <x:v>P012</x:v>
      </x:c>
      <x:c r="C48" s="56" t="str">
        <x:v>IgA肾病</x:v>
      </x:c>
      <x:c r="D48" s="56" t="str">
        <x:v>IgA肾病</x:v>
      </x:c>
      <x:c r="E48" s="56" t="str">
        <x:v>感染后肾小球肾炎</x:v>
      </x:c>
      <x:c r="F48" s="56" t="str">
        <x:v>待专家填写</x:v>
      </x:c>
      <x:c r="G48" s="56" t="str">
        <x:v>待专家填写</x:v>
      </x:c>
      <x:c r="H48" s="56" t="str">
        <x:v>待专家确认</x:v>
      </x:c>
      <x:c r="I48" s="56" t="str">
        <x:v>原始病例/训练扩写</x:v>
      </x:c>
      <x:c r="J48" s="56" t="str"/>
      <x:c r="K48" s="59" t="str">
        <x:v>待专家确认</x:v>
      </x:c>
    </x:row>
    <x:row r="49">
      <x:c r="A49" s="56" t="str">
        <x:v>P012</x:v>
      </x:c>
      <x:c r="B49" s="56" t="str">
        <x:v>P012</x:v>
      </x:c>
      <x:c r="C49" s="56" t="str">
        <x:v>IgA肾病</x:v>
      </x:c>
      <x:c r="D49" s="56" t="str">
        <x:v>IgA肾病</x:v>
      </x:c>
      <x:c r="E49" s="56" t="str">
        <x:v>薄基底膜肾病</x:v>
      </x:c>
      <x:c r="F49" s="56" t="str">
        <x:v>待专家填写</x:v>
      </x:c>
      <x:c r="G49" s="56" t="str">
        <x:v>待专家填写</x:v>
      </x:c>
      <x:c r="H49" s="56" t="str">
        <x:v>待专家确认</x:v>
      </x:c>
      <x:c r="I49" s="56" t="str">
        <x:v>原始病例/训练扩写</x:v>
      </x:c>
      <x:c r="J49" s="56" t="str"/>
      <x:c r="K49" s="59" t="str">
        <x:v>待专家确认</x:v>
      </x:c>
    </x:row>
    <x:row r="50">
      <x:c r="A50" s="56" t="str">
        <x:v>P012</x:v>
      </x:c>
      <x:c r="B50" s="56" t="str">
        <x:v>P012</x:v>
      </x:c>
      <x:c r="C50" s="56" t="str">
        <x:v>IgA肾病</x:v>
      </x:c>
      <x:c r="D50" s="56" t="str">
        <x:v>IgA肾病</x:v>
      </x:c>
      <x:c r="E50" s="56" t="str">
        <x:v>Alport综合征</x:v>
      </x:c>
      <x:c r="F50" s="56" t="str">
        <x:v>待专家填写</x:v>
      </x:c>
      <x:c r="G50" s="56" t="str">
        <x:v>待专家填写</x:v>
      </x:c>
      <x:c r="H50" s="56" t="str">
        <x:v>待专家确认</x:v>
      </x:c>
      <x:c r="I50" s="56" t="str">
        <x:v>原始病例/训练扩写</x:v>
      </x:c>
      <x:c r="J50" s="56" t="str"/>
      <x:c r="K50" s="59" t="str">
        <x:v>待专家确认</x:v>
      </x:c>
    </x:row>
    <x:row r="51">
      <x:c r="A51" s="56" t="str">
        <x:v>P012</x:v>
      </x:c>
      <x:c r="B51" s="56" t="str">
        <x:v>P012</x:v>
      </x:c>
      <x:c r="C51" s="56" t="str">
        <x:v>IgA肾病</x:v>
      </x:c>
      <x:c r="D51" s="56" t="str">
        <x:v>IgA肾病</x:v>
      </x:c>
      <x:c r="E51" s="56" t="str">
        <x:v>狼疮性肾炎</x:v>
      </x:c>
      <x:c r="F51" s="56" t="str">
        <x:v>待专家填写</x:v>
      </x:c>
      <x:c r="G51" s="56" t="str">
        <x:v>待专家填写</x:v>
      </x:c>
      <x:c r="H51" s="56" t="str">
        <x:v>待专家确认</x:v>
      </x:c>
      <x:c r="I51" s="56" t="str">
        <x:v>原始病例/训练扩写</x:v>
      </x:c>
      <x:c r="J51" s="56" t="str"/>
      <x:c r="K51" s="59" t="str">
        <x:v>待专家确认</x:v>
      </x:c>
    </x:row>
    <x:row r="52">
      <x:c r="A52" s="56" t="str">
        <x:v>P013</x:v>
      </x:c>
      <x:c r="B52" s="56" t="str">
        <x:v>HX-ADD-001</x:v>
      </x:c>
      <x:c r="C52" s="56" t="str">
        <x:v>膀胱尿路上皮癌</x:v>
      </x:c>
      <x:c r="D52" s="56" t="str">
        <x:v>膀胱尿路上皮癌</x:v>
      </x:c>
      <x:c r="E52" s="56" t="str">
        <x:v>尿路感染</x:v>
      </x:c>
      <x:c r="F52" s="56" t="str">
        <x:v>待专家填写</x:v>
      </x:c>
      <x:c r="G52" s="56" t="str">
        <x:v>待专家填写</x:v>
      </x:c>
      <x:c r="H52" s="56" t="str">
        <x:v>待专家确认</x:v>
      </x:c>
      <x:c r="I52" s="56" t="str">
        <x:v>原始病例/训练扩写</x:v>
      </x:c>
      <x:c r="J52" s="56" t="str"/>
      <x:c r="K52" s="59" t="str">
        <x:v>待专家确认</x:v>
      </x:c>
    </x:row>
    <x:row r="53">
      <x:c r="A53" s="56" t="str">
        <x:v>P013</x:v>
      </x:c>
      <x:c r="B53" s="56" t="str">
        <x:v>HX-ADD-001</x:v>
      </x:c>
      <x:c r="C53" s="56" t="str">
        <x:v>膀胱尿路上皮癌</x:v>
      </x:c>
      <x:c r="D53" s="56" t="str">
        <x:v>膀胱尿路上皮癌</x:v>
      </x:c>
      <x:c r="E53" s="56" t="str">
        <x:v>膀胱结石</x:v>
      </x:c>
      <x:c r="F53" s="56" t="str">
        <x:v>待专家填写</x:v>
      </x:c>
      <x:c r="G53" s="56" t="str">
        <x:v>待专家填写</x:v>
      </x:c>
      <x:c r="H53" s="56" t="str">
        <x:v>待专家确认</x:v>
      </x:c>
      <x:c r="I53" s="56" t="str">
        <x:v>原始病例/训练扩写</x:v>
      </x:c>
      <x:c r="J53" s="56" t="str"/>
      <x:c r="K53" s="59" t="str">
        <x:v>待专家确认</x:v>
      </x:c>
    </x:row>
    <x:row r="54">
      <x:c r="A54" s="56" t="str">
        <x:v>P013</x:v>
      </x:c>
      <x:c r="B54" s="56" t="str">
        <x:v>HX-ADD-001</x:v>
      </x:c>
      <x:c r="C54" s="56" t="str">
        <x:v>膀胱尿路上皮癌</x:v>
      </x:c>
      <x:c r="D54" s="56" t="str">
        <x:v>膀胱尿路上皮癌</x:v>
      </x:c>
      <x:c r="E54" s="56" t="str">
        <x:v>上尿路尿路上皮癌</x:v>
      </x:c>
      <x:c r="F54" s="56" t="str">
        <x:v>待专家填写</x:v>
      </x:c>
      <x:c r="G54" s="56" t="str">
        <x:v>待专家填写</x:v>
      </x:c>
      <x:c r="H54" s="56" t="str">
        <x:v>待专家确认</x:v>
      </x:c>
      <x:c r="I54" s="56" t="str">
        <x:v>原始病例/训练扩写</x:v>
      </x:c>
      <x:c r="J54" s="56" t="str"/>
      <x:c r="K54" s="59" t="str">
        <x:v>待专家确认</x:v>
      </x:c>
    </x:row>
    <x:row r="55">
      <x:c r="A55" s="56" t="str">
        <x:v>P013</x:v>
      </x:c>
      <x:c r="B55" s="56" t="str">
        <x:v>HX-ADD-001</x:v>
      </x:c>
      <x:c r="C55" s="56" t="str">
        <x:v>膀胱尿路上皮癌</x:v>
      </x:c>
      <x:c r="D55" s="56" t="str">
        <x:v>膀胱尿路上皮癌</x:v>
      </x:c>
      <x:c r="E55" s="56" t="str">
        <x:v>良性前列腺增生相关出血</x:v>
      </x:c>
      <x:c r="F55" s="56" t="str">
        <x:v>待专家填写</x:v>
      </x:c>
      <x:c r="G55" s="56" t="str">
        <x:v>待专家填写</x:v>
      </x:c>
      <x:c r="H55" s="56" t="str">
        <x:v>待专家确认</x:v>
      </x:c>
      <x:c r="I55" s="56" t="str">
        <x:v>原始病例/训练扩写</x:v>
      </x:c>
      <x:c r="J55" s="56" t="str"/>
      <x:c r="K55" s="59" t="str">
        <x:v>待专家确认</x:v>
      </x:c>
    </x:row>
    <x:row r="56">
      <x:c r="A56" s="56" t="str">
        <x:v>P014</x:v>
      </x:c>
      <x:c r="B56" s="56" t="str">
        <x:v>HX-ADD-002</x:v>
      </x:c>
      <x:c r="C56" s="56" t="str">
        <x:v>膀胱癌误诊为反复尿路感染</x:v>
      </x:c>
      <x:c r="D56" s="56" t="str">
        <x:v>膀胱癌误诊为反复尿路感染</x:v>
      </x:c>
      <x:c r="E56" s="56" t="str">
        <x:v>尿路感染</x:v>
      </x:c>
      <x:c r="F56" s="56" t="str">
        <x:v>待专家填写</x:v>
      </x:c>
      <x:c r="G56" s="56" t="str">
        <x:v>待专家填写</x:v>
      </x:c>
      <x:c r="H56" s="56" t="str">
        <x:v>待专家确认</x:v>
      </x:c>
      <x:c r="I56" s="56" t="str">
        <x:v>原始病例/训练扩写</x:v>
      </x:c>
      <x:c r="J56" s="56" t="str"/>
      <x:c r="K56" s="59" t="str">
        <x:v>待专家确认</x:v>
      </x:c>
    </x:row>
    <x:row r="57">
      <x:c r="A57" s="56" t="str">
        <x:v>P014</x:v>
      </x:c>
      <x:c r="B57" s="56" t="str">
        <x:v>HX-ADD-002</x:v>
      </x:c>
      <x:c r="C57" s="56" t="str">
        <x:v>膀胱癌误诊为反复尿路感染</x:v>
      </x:c>
      <x:c r="D57" s="56" t="str">
        <x:v>膀胱癌误诊为反复尿路感染</x:v>
      </x:c>
      <x:c r="E57" s="56" t="str">
        <x:v>膀胱结石</x:v>
      </x:c>
      <x:c r="F57" s="56" t="str">
        <x:v>待专家填写</x:v>
      </x:c>
      <x:c r="G57" s="56" t="str">
        <x:v>待专家填写</x:v>
      </x:c>
      <x:c r="H57" s="56" t="str">
        <x:v>待专家确认</x:v>
      </x:c>
      <x:c r="I57" s="56" t="str">
        <x:v>原始病例/训练扩写</x:v>
      </x:c>
      <x:c r="J57" s="56" t="str"/>
      <x:c r="K57" s="59" t="str">
        <x:v>待专家确认</x:v>
      </x:c>
    </x:row>
    <x:row r="58">
      <x:c r="A58" s="56" t="str">
        <x:v>P014</x:v>
      </x:c>
      <x:c r="B58" s="56" t="str">
        <x:v>HX-ADD-002</x:v>
      </x:c>
      <x:c r="C58" s="56" t="str">
        <x:v>膀胱癌误诊为反复尿路感染</x:v>
      </x:c>
      <x:c r="D58" s="56" t="str">
        <x:v>膀胱癌误诊为反复尿路感染</x:v>
      </x:c>
      <x:c r="E58" s="56" t="str">
        <x:v>上尿路尿路上皮癌</x:v>
      </x:c>
      <x:c r="F58" s="56" t="str">
        <x:v>待专家填写</x:v>
      </x:c>
      <x:c r="G58" s="56" t="str">
        <x:v>待专家填写</x:v>
      </x:c>
      <x:c r="H58" s="56" t="str">
        <x:v>待专家确认</x:v>
      </x:c>
      <x:c r="I58" s="56" t="str">
        <x:v>原始病例/训练扩写</x:v>
      </x:c>
      <x:c r="J58" s="56" t="str"/>
      <x:c r="K58" s="59" t="str">
        <x:v>待专家确认</x:v>
      </x:c>
    </x:row>
    <x:row r="59">
      <x:c r="A59" s="56" t="str">
        <x:v>P014</x:v>
      </x:c>
      <x:c r="B59" s="56" t="str">
        <x:v>HX-ADD-002</x:v>
      </x:c>
      <x:c r="C59" s="56" t="str">
        <x:v>膀胱癌误诊为反复尿路感染</x:v>
      </x:c>
      <x:c r="D59" s="56" t="str">
        <x:v>膀胱癌误诊为反复尿路感染</x:v>
      </x:c>
      <x:c r="E59" s="56" t="str">
        <x:v>良性前列腺增生相关出血</x:v>
      </x:c>
      <x:c r="F59" s="56" t="str">
        <x:v>待专家填写</x:v>
      </x:c>
      <x:c r="G59" s="56" t="str">
        <x:v>待专家填写</x:v>
      </x:c>
      <x:c r="H59" s="56" t="str">
        <x:v>待专家确认</x:v>
      </x:c>
      <x:c r="I59" s="56" t="str">
        <x:v>原始病例/训练扩写</x:v>
      </x:c>
      <x:c r="J59" s="56" t="str"/>
      <x:c r="K59" s="59" t="str">
        <x:v>待专家确认</x:v>
      </x:c>
    </x:row>
    <x:row r="60">
      <x:c r="A60" s="56" t="str">
        <x:v>P015</x:v>
      </x:c>
      <x:c r="B60" s="56" t="str">
        <x:v>HX-ADD-003</x:v>
      </x:c>
      <x:c r="C60" s="56" t="str">
        <x:v>肾盂癌/上尿路尿路上皮癌</x:v>
      </x:c>
      <x:c r="D60" s="56" t="str">
        <x:v>肾盂癌/上尿路尿路上皮癌</x:v>
      </x:c>
      <x:c r="E60" s="56" t="str">
        <x:v>肾细胞癌</x:v>
      </x:c>
      <x:c r="F60" s="56" t="str">
        <x:v>待专家填写</x:v>
      </x:c>
      <x:c r="G60" s="56" t="str">
        <x:v>待专家填写</x:v>
      </x:c>
      <x:c r="H60" s="56" t="str">
        <x:v>待专家确认</x:v>
      </x:c>
      <x:c r="I60" s="56" t="str">
        <x:v>原始病例/训练扩写</x:v>
      </x:c>
      <x:c r="J60" s="56" t="str"/>
      <x:c r="K60" s="59" t="str">
        <x:v>待专家确认</x:v>
      </x:c>
    </x:row>
    <x:row r="61">
      <x:c r="A61" s="56" t="str">
        <x:v>P015</x:v>
      </x:c>
      <x:c r="B61" s="56" t="str">
        <x:v>HX-ADD-003</x:v>
      </x:c>
      <x:c r="C61" s="56" t="str">
        <x:v>肾盂癌/上尿路尿路上皮癌</x:v>
      </x:c>
      <x:c r="D61" s="56" t="str">
        <x:v>肾盂癌/上尿路尿路上皮癌</x:v>
      </x:c>
      <x:c r="E61" s="56" t="str">
        <x:v>输尿管结石</x:v>
      </x:c>
      <x:c r="F61" s="56" t="str">
        <x:v>待专家填写</x:v>
      </x:c>
      <x:c r="G61" s="56" t="str">
        <x:v>待专家填写</x:v>
      </x:c>
      <x:c r="H61" s="56" t="str">
        <x:v>待专家确认</x:v>
      </x:c>
      <x:c r="I61" s="56" t="str">
        <x:v>原始病例/训练扩写</x:v>
      </x:c>
      <x:c r="J61" s="56" t="str"/>
      <x:c r="K61" s="59" t="str">
        <x:v>待专家确认</x:v>
      </x:c>
    </x:row>
    <x:row r="62">
      <x:c r="A62" s="56" t="str">
        <x:v>P015</x:v>
      </x:c>
      <x:c r="B62" s="56" t="str">
        <x:v>HX-ADD-003</x:v>
      </x:c>
      <x:c r="C62" s="56" t="str">
        <x:v>肾盂癌/上尿路尿路上皮癌</x:v>
      </x:c>
      <x:c r="D62" s="56" t="str">
        <x:v>肾盂癌/上尿路尿路上皮癌</x:v>
      </x:c>
      <x:c r="E62" s="56" t="str">
        <x:v>血块或炎症性狭窄</x:v>
      </x:c>
      <x:c r="F62" s="56" t="str">
        <x:v>待专家填写</x:v>
      </x:c>
      <x:c r="G62" s="56" t="str">
        <x:v>待专家填写</x:v>
      </x:c>
      <x:c r="H62" s="56" t="str">
        <x:v>待专家确认</x:v>
      </x:c>
      <x:c r="I62" s="56" t="str">
        <x:v>原始病例/训练扩写</x:v>
      </x:c>
      <x:c r="J62" s="56" t="str"/>
      <x:c r="K62" s="59" t="str">
        <x:v>待专家确认</x:v>
      </x:c>
    </x:row>
    <x:row r="63">
      <x:c r="A63" s="56" t="str">
        <x:v>P015</x:v>
      </x:c>
      <x:c r="B63" s="56" t="str">
        <x:v>HX-ADD-003</x:v>
      </x:c>
      <x:c r="C63" s="56" t="str">
        <x:v>肾盂癌/上尿路尿路上皮癌</x:v>
      </x:c>
      <x:c r="D63" s="56" t="str">
        <x:v>肾盂癌/上尿路尿路上皮癌</x:v>
      </x:c>
      <x:c r="E63" s="56" t="str">
        <x:v>膀胱尿路上皮癌</x:v>
      </x:c>
      <x:c r="F63" s="56" t="str">
        <x:v>待专家填写</x:v>
      </x:c>
      <x:c r="G63" s="56" t="str">
        <x:v>待专家填写</x:v>
      </x:c>
      <x:c r="H63" s="56" t="str">
        <x:v>待专家确认</x:v>
      </x:c>
      <x:c r="I63" s="56" t="str">
        <x:v>原始病例/训练扩写</x:v>
      </x:c>
      <x:c r="J63" s="56" t="str"/>
      <x:c r="K63" s="59" t="str">
        <x:v>待专家确认</x:v>
      </x:c>
    </x:row>
    <x:row r="64">
      <x:c r="A64" s="56" t="str">
        <x:v>P016</x:v>
      </x:c>
      <x:c r="B64" s="56" t="str">
        <x:v>HX-ADD-004</x:v>
      </x:c>
      <x:c r="C64" s="56" t="str">
        <x:v>肾细胞癌</x:v>
      </x:c>
      <x:c r="D64" s="56" t="str">
        <x:v>肾细胞癌</x:v>
      </x:c>
      <x:c r="E64" s="56" t="str">
        <x:v>上尿路尿路上皮癌</x:v>
      </x:c>
      <x:c r="F64" s="56" t="str">
        <x:v>待专家填写</x:v>
      </x:c>
      <x:c r="G64" s="56" t="str">
        <x:v>待专家填写</x:v>
      </x:c>
      <x:c r="H64" s="56" t="str">
        <x:v>待专家确认</x:v>
      </x:c>
      <x:c r="I64" s="56" t="str">
        <x:v>原始病例/训练扩写</x:v>
      </x:c>
      <x:c r="J64" s="56" t="str"/>
      <x:c r="K64" s="59" t="str">
        <x:v>待专家确认</x:v>
      </x:c>
    </x:row>
    <x:row r="65">
      <x:c r="A65" s="56" t="str">
        <x:v>P016</x:v>
      </x:c>
      <x:c r="B65" s="56" t="str">
        <x:v>HX-ADD-004</x:v>
      </x:c>
      <x:c r="C65" s="56" t="str">
        <x:v>肾细胞癌</x:v>
      </x:c>
      <x:c r="D65" s="56" t="str">
        <x:v>肾细胞癌</x:v>
      </x:c>
      <x:c r="E65" s="56" t="str">
        <x:v>复杂性肾囊肿</x:v>
      </x:c>
      <x:c r="F65" s="56" t="str">
        <x:v>待专家填写</x:v>
      </x:c>
      <x:c r="G65" s="56" t="str">
        <x:v>待专家填写</x:v>
      </x:c>
      <x:c r="H65" s="56" t="str">
        <x:v>待专家确认</x:v>
      </x:c>
      <x:c r="I65" s="56" t="str">
        <x:v>原始病例/训练扩写</x:v>
      </x:c>
      <x:c r="J65" s="56" t="str"/>
      <x:c r="K65" s="59" t="str">
        <x:v>待专家确认</x:v>
      </x:c>
    </x:row>
    <x:row r="66">
      <x:c r="A66" s="56" t="str">
        <x:v>P016</x:v>
      </x:c>
      <x:c r="B66" s="56" t="str">
        <x:v>HX-ADD-004</x:v>
      </x:c>
      <x:c r="C66" s="56" t="str">
        <x:v>肾细胞癌</x:v>
      </x:c>
      <x:c r="D66" s="56" t="str">
        <x:v>肾细胞癌</x:v>
      </x:c>
      <x:c r="E66" s="56" t="str">
        <x:v>肾血管平滑肌脂肪瘤</x:v>
      </x:c>
      <x:c r="F66" s="56" t="str">
        <x:v>待专家填写</x:v>
      </x:c>
      <x:c r="G66" s="56" t="str">
        <x:v>待专家填写</x:v>
      </x:c>
      <x:c r="H66" s="56" t="str">
        <x:v>待专家确认</x:v>
      </x:c>
      <x:c r="I66" s="56" t="str">
        <x:v>原始病例/训练扩写</x:v>
      </x:c>
      <x:c r="J66" s="56" t="str"/>
      <x:c r="K66" s="59" t="str">
        <x:v>待专家确认</x:v>
      </x:c>
    </x:row>
    <x:row r="67">
      <x:c r="A67" s="56" t="str">
        <x:v>P016</x:v>
      </x:c>
      <x:c r="B67" s="56" t="str">
        <x:v>HX-ADD-004</x:v>
      </x:c>
      <x:c r="C67" s="56" t="str">
        <x:v>肾细胞癌</x:v>
      </x:c>
      <x:c r="D67" s="56" t="str">
        <x:v>肾细胞癌</x:v>
      </x:c>
      <x:c r="E67" s="56" t="str">
        <x:v>肾结石</x:v>
      </x:c>
      <x:c r="F67" s="56" t="str">
        <x:v>待专家填写</x:v>
      </x:c>
      <x:c r="G67" s="56" t="str">
        <x:v>待专家填写</x:v>
      </x:c>
      <x:c r="H67" s="56" t="str">
        <x:v>待专家确认</x:v>
      </x:c>
      <x:c r="I67" s="56" t="str">
        <x:v>原始病例/训练扩写</x:v>
      </x:c>
      <x:c r="J67" s="56" t="str"/>
      <x:c r="K67" s="59" t="str">
        <x:v>待专家确认</x:v>
      </x:c>
    </x:row>
    <x:row r="68">
      <x:c r="A68" s="56" t="str">
        <x:v>P017</x:v>
      </x:c>
      <x:c r="B68" s="56" t="str">
        <x:v>HX-ADD-005</x:v>
      </x:c>
      <x:c r="C68" s="56" t="str">
        <x:v>抗凝相关血尿并需排除膀胱肿瘤</x:v>
      </x:c>
      <x:c r="D68" s="56" t="str">
        <x:v>抗凝相关血尿并需排除膀胱肿瘤</x:v>
      </x:c>
      <x:c r="E68" s="56" t="str">
        <x:v>尿路感染</x:v>
      </x:c>
      <x:c r="F68" s="56" t="str">
        <x:v>待专家填写</x:v>
      </x:c>
      <x:c r="G68" s="56" t="str">
        <x:v>待专家填写</x:v>
      </x:c>
      <x:c r="H68" s="56" t="str">
        <x:v>待专家确认</x:v>
      </x:c>
      <x:c r="I68" s="56" t="str">
        <x:v>原始病例/训练扩写</x:v>
      </x:c>
      <x:c r="J68" s="56" t="str"/>
      <x:c r="K68" s="59" t="str">
        <x:v>待专家确认</x:v>
      </x:c>
    </x:row>
    <x:row r="69">
      <x:c r="A69" s="56" t="str">
        <x:v>P017</x:v>
      </x:c>
      <x:c r="B69" s="56" t="str">
        <x:v>HX-ADD-005</x:v>
      </x:c>
      <x:c r="C69" s="56" t="str">
        <x:v>抗凝相关血尿并需排除膀胱肿瘤</x:v>
      </x:c>
      <x:c r="D69" s="56" t="str">
        <x:v>抗凝相关血尿并需排除膀胱肿瘤</x:v>
      </x:c>
      <x:c r="E69" s="56" t="str">
        <x:v>膀胱结石</x:v>
      </x:c>
      <x:c r="F69" s="56" t="str">
        <x:v>待专家填写</x:v>
      </x:c>
      <x:c r="G69" s="56" t="str">
        <x:v>待专家填写</x:v>
      </x:c>
      <x:c r="H69" s="56" t="str">
        <x:v>待专家确认</x:v>
      </x:c>
      <x:c r="I69" s="56" t="str">
        <x:v>原始病例/训练扩写</x:v>
      </x:c>
      <x:c r="J69" s="56" t="str"/>
      <x:c r="K69" s="59" t="str">
        <x:v>待专家确认</x:v>
      </x:c>
    </x:row>
    <x:row r="70">
      <x:c r="A70" s="56" t="str">
        <x:v>P017</x:v>
      </x:c>
      <x:c r="B70" s="56" t="str">
        <x:v>HX-ADD-005</x:v>
      </x:c>
      <x:c r="C70" s="56" t="str">
        <x:v>抗凝相关血尿并需排除膀胱肿瘤</x:v>
      </x:c>
      <x:c r="D70" s="56" t="str">
        <x:v>抗凝相关血尿并需排除膀胱肿瘤</x:v>
      </x:c>
      <x:c r="E70" s="56" t="str">
        <x:v>上尿路尿路上皮癌</x:v>
      </x:c>
      <x:c r="F70" s="56" t="str">
        <x:v>待专家填写</x:v>
      </x:c>
      <x:c r="G70" s="56" t="str">
        <x:v>待专家填写</x:v>
      </x:c>
      <x:c r="H70" s="56" t="str">
        <x:v>待专家确认</x:v>
      </x:c>
      <x:c r="I70" s="56" t="str">
        <x:v>原始病例/训练扩写</x:v>
      </x:c>
      <x:c r="J70" s="56" t="str"/>
      <x:c r="K70" s="59" t="str">
        <x:v>待专家确认</x:v>
      </x:c>
    </x:row>
    <x:row r="71">
      <x:c r="A71" s="56" t="str">
        <x:v>P017</x:v>
      </x:c>
      <x:c r="B71" s="56" t="str">
        <x:v>HX-ADD-005</x:v>
      </x:c>
      <x:c r="C71" s="56" t="str">
        <x:v>抗凝相关血尿并需排除膀胱肿瘤</x:v>
      </x:c>
      <x:c r="D71" s="56" t="str">
        <x:v>抗凝相关血尿并需排除膀胱肿瘤</x:v>
      </x:c>
      <x:c r="E71" s="56" t="str">
        <x:v>良性前列腺增生相关出血</x:v>
      </x:c>
      <x:c r="F71" s="56" t="str">
        <x:v>待专家填写</x:v>
      </x:c>
      <x:c r="G71" s="56" t="str">
        <x:v>待专家填写</x:v>
      </x:c>
      <x:c r="H71" s="56" t="str">
        <x:v>待专家确认</x:v>
      </x:c>
      <x:c r="I71" s="56" t="str">
        <x:v>原始病例/训练扩写</x:v>
      </x:c>
      <x:c r="J71" s="56" t="str"/>
      <x:c r="K71" s="59" t="str">
        <x:v>待专家确认</x:v>
      </x:c>
    </x:row>
    <x:row r="72">
      <x:c r="A72" s="56" t="str">
        <x:v>P018</x:v>
      </x:c>
      <x:c r="B72" s="56" t="str">
        <x:v>HX-ADD-006</x:v>
      </x:c>
      <x:c r="C72" s="56" t="str">
        <x:v>急性膀胱炎</x:v>
      </x:c>
      <x:c r="D72" s="56" t="str">
        <x:v>急性膀胱炎</x:v>
      </x:c>
      <x:c r="E72" s="56" t="str">
        <x:v>尿道炎</x:v>
      </x:c>
      <x:c r="F72" s="56" t="str">
        <x:v>待专家填写</x:v>
      </x:c>
      <x:c r="G72" s="56" t="str">
        <x:v>待专家填写</x:v>
      </x:c>
      <x:c r="H72" s="56" t="str">
        <x:v>待专家确认</x:v>
      </x:c>
      <x:c r="I72" s="56" t="str">
        <x:v>原始病例/训练扩写</x:v>
      </x:c>
      <x:c r="J72" s="56" t="str"/>
      <x:c r="K72" s="59" t="str">
        <x:v>待专家确认</x:v>
      </x:c>
    </x:row>
    <x:row r="73">
      <x:c r="A73" s="56" t="str">
        <x:v>P018</x:v>
      </x:c>
      <x:c r="B73" s="56" t="str">
        <x:v>HX-ADD-006</x:v>
      </x:c>
      <x:c r="C73" s="56" t="str">
        <x:v>急性膀胱炎</x:v>
      </x:c>
      <x:c r="D73" s="56" t="str">
        <x:v>急性膀胱炎</x:v>
      </x:c>
      <x:c r="E73" s="56" t="str">
        <x:v>急性肾盂肾炎</x:v>
      </x:c>
      <x:c r="F73" s="56" t="str">
        <x:v>待专家填写</x:v>
      </x:c>
      <x:c r="G73" s="56" t="str">
        <x:v>待专家填写</x:v>
      </x:c>
      <x:c r="H73" s="56" t="str">
        <x:v>待专家确认</x:v>
      </x:c>
      <x:c r="I73" s="56" t="str">
        <x:v>原始病例/训练扩写</x:v>
      </x:c>
      <x:c r="J73" s="56" t="str"/>
      <x:c r="K73" s="59" t="str">
        <x:v>待专家确认</x:v>
      </x:c>
    </x:row>
    <x:row r="74">
      <x:c r="A74" s="56" t="str">
        <x:v>P018</x:v>
      </x:c>
      <x:c r="B74" s="56" t="str">
        <x:v>HX-ADD-006</x:v>
      </x:c>
      <x:c r="C74" s="56" t="str">
        <x:v>急性膀胱炎</x:v>
      </x:c>
      <x:c r="D74" s="56" t="str">
        <x:v>急性膀胱炎</x:v>
      </x:c>
      <x:c r="E74" s="56" t="str">
        <x:v>泌尿系结石</x:v>
      </x:c>
      <x:c r="F74" s="56" t="str">
        <x:v>待专家填写</x:v>
      </x:c>
      <x:c r="G74" s="56" t="str">
        <x:v>待专家填写</x:v>
      </x:c>
      <x:c r="H74" s="56" t="str">
        <x:v>待专家确认</x:v>
      </x:c>
      <x:c r="I74" s="56" t="str">
        <x:v>原始病例/训练扩写</x:v>
      </x:c>
      <x:c r="J74" s="56" t="str"/>
      <x:c r="K74" s="59" t="str">
        <x:v>待专家确认</x:v>
      </x:c>
    </x:row>
    <x:row r="75">
      <x:c r="A75" s="56" t="str">
        <x:v>P018</x:v>
      </x:c>
      <x:c r="B75" s="56" t="str">
        <x:v>HX-ADD-006</x:v>
      </x:c>
      <x:c r="C75" s="56" t="str">
        <x:v>急性膀胱炎</x:v>
      </x:c>
      <x:c r="D75" s="56" t="str">
        <x:v>急性膀胱炎</x:v>
      </x:c>
      <x:c r="E75" s="56" t="str">
        <x:v>月经或阴道出血污染</x:v>
      </x:c>
      <x:c r="F75" s="56" t="str">
        <x:v>待专家填写</x:v>
      </x:c>
      <x:c r="G75" s="56" t="str">
        <x:v>待专家填写</x:v>
      </x:c>
      <x:c r="H75" s="56" t="str">
        <x:v>待专家确认</x:v>
      </x:c>
      <x:c r="I75" s="56" t="str">
        <x:v>原始病例/训练扩写</x:v>
      </x:c>
      <x:c r="J75" s="56" t="str"/>
      <x:c r="K75" s="59" t="str">
        <x:v>待专家确认</x:v>
      </x:c>
    </x:row>
    <x:row r="76">
      <x:c r="A76" s="56" t="str">
        <x:v>P019</x:v>
      </x:c>
      <x:c r="B76" s="56" t="str">
        <x:v>HX-ADD-007</x:v>
      </x:c>
      <x:c r="C76" s="56" t="str">
        <x:v>急性肾盂肾炎/系统性UTI</x:v>
      </x:c>
      <x:c r="D76" s="56" t="str">
        <x:v>急性肾盂肾炎/系统性UTI</x:v>
      </x:c>
      <x:c r="E76" s="56" t="str">
        <x:v>感染性梗阻结石</x:v>
      </x:c>
      <x:c r="F76" s="56" t="str">
        <x:v>待专家填写</x:v>
      </x:c>
      <x:c r="G76" s="56" t="str">
        <x:v>待专家填写</x:v>
      </x:c>
      <x:c r="H76" s="56" t="str">
        <x:v>待专家确认</x:v>
      </x:c>
      <x:c r="I76" s="56" t="str">
        <x:v>原始病例/训练扩写</x:v>
      </x:c>
      <x:c r="J76" s="56" t="str"/>
      <x:c r="K76" s="59" t="str">
        <x:v>待专家确认</x:v>
      </x:c>
    </x:row>
    <x:row r="77">
      <x:c r="A77" s="56" t="str">
        <x:v>P019</x:v>
      </x:c>
      <x:c r="B77" s="56" t="str">
        <x:v>HX-ADD-007</x:v>
      </x:c>
      <x:c r="C77" s="56" t="str">
        <x:v>急性肾盂肾炎/系统性UTI</x:v>
      </x:c>
      <x:c r="D77" s="56" t="str">
        <x:v>急性肾盂肾炎/系统性UTI</x:v>
      </x:c>
      <x:c r="E77" s="56" t="str">
        <x:v>急性膀胱炎</x:v>
      </x:c>
      <x:c r="F77" s="56" t="str">
        <x:v>待专家填写</x:v>
      </x:c>
      <x:c r="G77" s="56" t="str">
        <x:v>待专家填写</x:v>
      </x:c>
      <x:c r="H77" s="56" t="str">
        <x:v>待专家确认</x:v>
      </x:c>
      <x:c r="I77" s="56" t="str">
        <x:v>原始病例/训练扩写</x:v>
      </x:c>
      <x:c r="J77" s="56" t="str"/>
      <x:c r="K77" s="59" t="str">
        <x:v>待专家确认</x:v>
      </x:c>
    </x:row>
    <x:row r="78">
      <x:c r="A78" s="56" t="str">
        <x:v>P019</x:v>
      </x:c>
      <x:c r="B78" s="56" t="str">
        <x:v>HX-ADD-007</x:v>
      </x:c>
      <x:c r="C78" s="56" t="str">
        <x:v>急性肾盂肾炎/系统性UTI</x:v>
      </x:c>
      <x:c r="D78" s="56" t="str">
        <x:v>急性肾盂肾炎/系统性UTI</x:v>
      </x:c>
      <x:c r="E78" s="56" t="str">
        <x:v>肾脓肿</x:v>
      </x:c>
      <x:c r="F78" s="56" t="str">
        <x:v>待专家填写</x:v>
      </x:c>
      <x:c r="G78" s="56" t="str">
        <x:v>待专家填写</x:v>
      </x:c>
      <x:c r="H78" s="56" t="str">
        <x:v>待专家确认</x:v>
      </x:c>
      <x:c r="I78" s="56" t="str">
        <x:v>原始病例/训练扩写</x:v>
      </x:c>
      <x:c r="J78" s="56" t="str"/>
      <x:c r="K78" s="59" t="str">
        <x:v>待专家确认</x:v>
      </x:c>
    </x:row>
    <x:row r="79">
      <x:c r="A79" s="56" t="str">
        <x:v>P019</x:v>
      </x:c>
      <x:c r="B79" s="56" t="str">
        <x:v>HX-ADD-007</x:v>
      </x:c>
      <x:c r="C79" s="56" t="str">
        <x:v>急性肾盂肾炎/系统性UTI</x:v>
      </x:c>
      <x:c r="D79" s="56" t="str">
        <x:v>急性肾盂肾炎/系统性UTI</x:v>
      </x:c>
      <x:c r="E79" s="56" t="str">
        <x:v>盆腔炎</x:v>
      </x:c>
      <x:c r="F79" s="56" t="str">
        <x:v>待专家填写</x:v>
      </x:c>
      <x:c r="G79" s="56" t="str">
        <x:v>待专家填写</x:v>
      </x:c>
      <x:c r="H79" s="56" t="str">
        <x:v>待专家确认</x:v>
      </x:c>
      <x:c r="I79" s="56" t="str">
        <x:v>原始病例/训练扩写</x:v>
      </x:c>
      <x:c r="J79" s="56" t="str"/>
      <x:c r="K79" s="59" t="str">
        <x:v>待专家确认</x:v>
      </x:c>
    </x:row>
    <x:row r="80">
      <x:c r="A80" s="56" t="str">
        <x:v>P020</x:v>
      </x:c>
      <x:c r="B80" s="56" t="str">
        <x:v>HX-ADD-008</x:v>
      </x:c>
      <x:c r="C80" s="56" t="str">
        <x:v>急性细菌性前列腺炎</x:v>
      </x:c>
      <x:c r="D80" s="56" t="str">
        <x:v>急性细菌性前列腺炎</x:v>
      </x:c>
      <x:c r="E80" s="56" t="str">
        <x:v>急性膀胱炎</x:v>
      </x:c>
      <x:c r="F80" s="56" t="str">
        <x:v>待专家填写</x:v>
      </x:c>
      <x:c r="G80" s="56" t="str">
        <x:v>待专家填写</x:v>
      </x:c>
      <x:c r="H80" s="56" t="str">
        <x:v>待专家确认</x:v>
      </x:c>
      <x:c r="I80" s="56" t="str">
        <x:v>原始病例/训练扩写</x:v>
      </x:c>
      <x:c r="J80" s="56" t="str"/>
      <x:c r="K80" s="59" t="str">
        <x:v>待专家确认</x:v>
      </x:c>
    </x:row>
    <x:row r="81">
      <x:c r="A81" s="56" t="str">
        <x:v>P020</x:v>
      </x:c>
      <x:c r="B81" s="56" t="str">
        <x:v>HX-ADD-008</x:v>
      </x:c>
      <x:c r="C81" s="56" t="str">
        <x:v>急性细菌性前列腺炎</x:v>
      </x:c>
      <x:c r="D81" s="56" t="str">
        <x:v>急性细菌性前列腺炎</x:v>
      </x:c>
      <x:c r="E81" s="56" t="str">
        <x:v>良性前列腺增生并感染</x:v>
      </x:c>
      <x:c r="F81" s="56" t="str">
        <x:v>待专家填写</x:v>
      </x:c>
      <x:c r="G81" s="56" t="str">
        <x:v>待专家填写</x:v>
      </x:c>
      <x:c r="H81" s="56" t="str">
        <x:v>待专家确认</x:v>
      </x:c>
      <x:c r="I81" s="56" t="str">
        <x:v>原始病例/训练扩写</x:v>
      </x:c>
      <x:c r="J81" s="56" t="str"/>
      <x:c r="K81" s="59" t="str">
        <x:v>待专家确认</x:v>
      </x:c>
    </x:row>
    <x:row r="82">
      <x:c r="A82" s="56" t="str">
        <x:v>P020</x:v>
      </x:c>
      <x:c r="B82" s="56" t="str">
        <x:v>HX-ADD-008</x:v>
      </x:c>
      <x:c r="C82" s="56" t="str">
        <x:v>急性细菌性前列腺炎</x:v>
      </x:c>
      <x:c r="D82" s="56" t="str">
        <x:v>急性细菌性前列腺炎</x:v>
      </x:c>
      <x:c r="E82" s="56" t="str">
        <x:v>前列腺脓肿</x:v>
      </x:c>
      <x:c r="F82" s="56" t="str">
        <x:v>待专家填写</x:v>
      </x:c>
      <x:c r="G82" s="56" t="str">
        <x:v>待专家填写</x:v>
      </x:c>
      <x:c r="H82" s="56" t="str">
        <x:v>待专家确认</x:v>
      </x:c>
      <x:c r="I82" s="56" t="str">
        <x:v>原始病例/训练扩写</x:v>
      </x:c>
      <x:c r="J82" s="56" t="str"/>
      <x:c r="K82" s="59" t="str">
        <x:v>待专家确认</x:v>
      </x:c>
    </x:row>
    <x:row r="83">
      <x:c r="A83" s="56" t="str">
        <x:v>P020</x:v>
      </x:c>
      <x:c r="B83" s="56" t="str">
        <x:v>HX-ADD-008</x:v>
      </x:c>
      <x:c r="C83" s="56" t="str">
        <x:v>急性细菌性前列腺炎</x:v>
      </x:c>
      <x:c r="D83" s="56" t="str">
        <x:v>急性细菌性前列腺炎</x:v>
      </x:c>
      <x:c r="E83" s="56" t="str">
        <x:v>尿道炎</x:v>
      </x:c>
      <x:c r="F83" s="56" t="str">
        <x:v>待专家填写</x:v>
      </x:c>
      <x:c r="G83" s="56" t="str">
        <x:v>待专家填写</x:v>
      </x:c>
      <x:c r="H83" s="56" t="str">
        <x:v>待专家确认</x:v>
      </x:c>
      <x:c r="I83" s="56" t="str">
        <x:v>原始病例/训练扩写</x:v>
      </x:c>
      <x:c r="J83" s="56" t="str"/>
      <x:c r="K83" s="59" t="str">
        <x:v>待专家确认</x:v>
      </x:c>
    </x:row>
    <x:row r="84">
      <x:c r="A84" s="56" t="str">
        <x:v>P021</x:v>
      </x:c>
      <x:c r="B84" s="56" t="str">
        <x:v>HX-ADD-009</x:v>
      </x:c>
      <x:c r="C84" s="56" t="str">
        <x:v>复杂性膀胱炎/糖尿病相关UTI</x:v>
      </x:c>
      <x:c r="D84" s="56" t="str">
        <x:v>复杂性膀胱炎/糖尿病相关UTI</x:v>
      </x:c>
      <x:c r="E84" s="56" t="str">
        <x:v>尿道炎</x:v>
      </x:c>
      <x:c r="F84" s="56" t="str">
        <x:v>待专家填写</x:v>
      </x:c>
      <x:c r="G84" s="56" t="str">
        <x:v>待专家填写</x:v>
      </x:c>
      <x:c r="H84" s="56" t="str">
        <x:v>待专家确认</x:v>
      </x:c>
      <x:c r="I84" s="56" t="str">
        <x:v>原始病例/训练扩写</x:v>
      </x:c>
      <x:c r="J84" s="56" t="str"/>
      <x:c r="K84" s="59" t="str">
        <x:v>待专家确认</x:v>
      </x:c>
    </x:row>
    <x:row r="85">
      <x:c r="A85" s="56" t="str">
        <x:v>P021</x:v>
      </x:c>
      <x:c r="B85" s="56" t="str">
        <x:v>HX-ADD-009</x:v>
      </x:c>
      <x:c r="C85" s="56" t="str">
        <x:v>复杂性膀胱炎/糖尿病相关UTI</x:v>
      </x:c>
      <x:c r="D85" s="56" t="str">
        <x:v>复杂性膀胱炎/糖尿病相关UTI</x:v>
      </x:c>
      <x:c r="E85" s="56" t="str">
        <x:v>急性肾盂肾炎</x:v>
      </x:c>
      <x:c r="F85" s="56" t="str">
        <x:v>待专家填写</x:v>
      </x:c>
      <x:c r="G85" s="56" t="str">
        <x:v>待专家填写</x:v>
      </x:c>
      <x:c r="H85" s="56" t="str">
        <x:v>待专家确认</x:v>
      </x:c>
      <x:c r="I85" s="56" t="str">
        <x:v>原始病例/训练扩写</x:v>
      </x:c>
      <x:c r="J85" s="56" t="str"/>
      <x:c r="K85" s="59" t="str">
        <x:v>待专家确认</x:v>
      </x:c>
    </x:row>
    <x:row r="86">
      <x:c r="A86" s="56" t="str">
        <x:v>P021</x:v>
      </x:c>
      <x:c r="B86" s="56" t="str">
        <x:v>HX-ADD-009</x:v>
      </x:c>
      <x:c r="C86" s="56" t="str">
        <x:v>复杂性膀胱炎/糖尿病相关UTI</x:v>
      </x:c>
      <x:c r="D86" s="56" t="str">
        <x:v>复杂性膀胱炎/糖尿病相关UTI</x:v>
      </x:c>
      <x:c r="E86" s="56" t="str">
        <x:v>泌尿系结石</x:v>
      </x:c>
      <x:c r="F86" s="56" t="str">
        <x:v>待专家填写</x:v>
      </x:c>
      <x:c r="G86" s="56" t="str">
        <x:v>待专家填写</x:v>
      </x:c>
      <x:c r="H86" s="56" t="str">
        <x:v>待专家确认</x:v>
      </x:c>
      <x:c r="I86" s="56" t="str">
        <x:v>原始病例/训练扩写</x:v>
      </x:c>
      <x:c r="J86" s="56" t="str"/>
      <x:c r="K86" s="59" t="str">
        <x:v>待专家确认</x:v>
      </x:c>
    </x:row>
    <x:row r="87">
      <x:c r="A87" s="56" t="str">
        <x:v>P021</x:v>
      </x:c>
      <x:c r="B87" s="56" t="str">
        <x:v>HX-ADD-009</x:v>
      </x:c>
      <x:c r="C87" s="56" t="str">
        <x:v>复杂性膀胱炎/糖尿病相关UTI</x:v>
      </x:c>
      <x:c r="D87" s="56" t="str">
        <x:v>复杂性膀胱炎/糖尿病相关UTI</x:v>
      </x:c>
      <x:c r="E87" s="56" t="str">
        <x:v>月经或阴道出血污染</x:v>
      </x:c>
      <x:c r="F87" s="56" t="str">
        <x:v>待专家填写</x:v>
      </x:c>
      <x:c r="G87" s="56" t="str">
        <x:v>待专家填写</x:v>
      </x:c>
      <x:c r="H87" s="56" t="str">
        <x:v>待专家确认</x:v>
      </x:c>
      <x:c r="I87" s="56" t="str">
        <x:v>原始病例/训练扩写</x:v>
      </x:c>
      <x:c r="J87" s="56" t="str"/>
      <x:c r="K87" s="59" t="str">
        <x:v>待专家确认</x:v>
      </x:c>
    </x:row>
    <x:row r="88">
      <x:c r="A88" s="56" t="str">
        <x:v>P022</x:v>
      </x:c>
      <x:c r="B88" s="56" t="str">
        <x:v>HX-ADD-010</x:v>
      </x:c>
      <x:c r="C88" s="56" t="str">
        <x:v>复发性UTI后持续血尿需排除肿瘤/结石</x:v>
      </x:c>
      <x:c r="D88" s="56" t="str">
        <x:v>复发性UTI后持续血尿需排除肿瘤/结石</x:v>
      </x:c>
      <x:c r="E88" s="56" t="str">
        <x:v>尿路结石</x:v>
      </x:c>
      <x:c r="F88" s="56" t="str">
        <x:v>待专家填写</x:v>
      </x:c>
      <x:c r="G88" s="56" t="str">
        <x:v>待专家填写</x:v>
      </x:c>
      <x:c r="H88" s="56" t="str">
        <x:v>待专家确认</x:v>
      </x:c>
      <x:c r="I88" s="56" t="str">
        <x:v>原始病例/训练扩写</x:v>
      </x:c>
      <x:c r="J88" s="56" t="str"/>
      <x:c r="K88" s="59" t="str">
        <x:v>待专家确认</x:v>
      </x:c>
    </x:row>
    <x:row r="89">
      <x:c r="A89" s="56" t="str">
        <x:v>P022</x:v>
      </x:c>
      <x:c r="B89" s="56" t="str">
        <x:v>HX-ADD-010</x:v>
      </x:c>
      <x:c r="C89" s="56" t="str">
        <x:v>复发性UTI后持续血尿需排除肿瘤/结石</x:v>
      </x:c>
      <x:c r="D89" s="56" t="str">
        <x:v>复发性UTI后持续血尿需排除肿瘤/结石</x:v>
      </x:c>
      <x:c r="E89" s="56" t="str">
        <x:v>尿路上皮肿瘤</x:v>
      </x:c>
      <x:c r="F89" s="56" t="str">
        <x:v>待专家填写</x:v>
      </x:c>
      <x:c r="G89" s="56" t="str">
        <x:v>待专家填写</x:v>
      </x:c>
      <x:c r="H89" s="56" t="str">
        <x:v>待专家确认</x:v>
      </x:c>
      <x:c r="I89" s="56" t="str">
        <x:v>原始病例/训练扩写</x:v>
      </x:c>
      <x:c r="J89" s="56" t="str"/>
      <x:c r="K89" s="59" t="str">
        <x:v>待专家确认</x:v>
      </x:c>
    </x:row>
    <x:row r="90">
      <x:c r="A90" s="56" t="str">
        <x:v>P022</x:v>
      </x:c>
      <x:c r="B90" s="56" t="str">
        <x:v>HX-ADD-010</x:v>
      </x:c>
      <x:c r="C90" s="56" t="str">
        <x:v>复发性UTI后持续血尿需排除肿瘤/结石</x:v>
      </x:c>
      <x:c r="D90" s="56" t="str">
        <x:v>复发性UTI后持续血尿需排除肿瘤/结石</x:v>
      </x:c>
      <x:c r="E90" s="56" t="str">
        <x:v>肾小球性血尿</x:v>
      </x:c>
      <x:c r="F90" s="56" t="str">
        <x:v>待专家填写</x:v>
      </x:c>
      <x:c r="G90" s="56" t="str">
        <x:v>待专家填写</x:v>
      </x:c>
      <x:c r="H90" s="56" t="str">
        <x:v>待专家确认</x:v>
      </x:c>
      <x:c r="I90" s="56" t="str">
        <x:v>原始病例/训练扩写</x:v>
      </x:c>
      <x:c r="J90" s="56" t="str"/>
      <x:c r="K90" s="59" t="str">
        <x:v>待专家确认</x:v>
      </x:c>
    </x:row>
    <x:row r="91">
      <x:c r="A91" s="56" t="str">
        <x:v>P022</x:v>
      </x:c>
      <x:c r="B91" s="56" t="str">
        <x:v>HX-ADD-010</x:v>
      </x:c>
      <x:c r="C91" s="56" t="str">
        <x:v>复发性UTI后持续血尿需排除肿瘤/结石</x:v>
      </x:c>
      <x:c r="D91" s="56" t="str">
        <x:v>复发性UTI后持续血尿需排除肿瘤/结石</x:v>
      </x:c>
      <x:c r="E91" s="56" t="str">
        <x:v>妇科污染</x:v>
      </x:c>
      <x:c r="F91" s="56" t="str">
        <x:v>待专家填写</x:v>
      </x:c>
      <x:c r="G91" s="56" t="str">
        <x:v>待专家填写</x:v>
      </x:c>
      <x:c r="H91" s="56" t="str">
        <x:v>待专家确认</x:v>
      </x:c>
      <x:c r="I91" s="56" t="str">
        <x:v>原始病例/训练扩写</x:v>
      </x:c>
      <x:c r="J91" s="56" t="str"/>
      <x:c r="K91" s="59" t="str">
        <x:v>待专家确认</x:v>
      </x:c>
    </x:row>
    <x:row r="92">
      <x:c r="A92" s="56" t="str">
        <x:v>P023</x:v>
      </x:c>
      <x:c r="B92" s="56" t="str">
        <x:v>HX-ADD-011</x:v>
      </x:c>
      <x:c r="C92" s="56" t="str">
        <x:v>输尿管结石</x:v>
      </x:c>
      <x:c r="D92" s="56" t="str">
        <x:v>输尿管结石</x:v>
      </x:c>
      <x:c r="E92" s="56" t="str">
        <x:v>急性肾盂肾炎</x:v>
      </x:c>
      <x:c r="F92" s="56" t="str">
        <x:v>待专家填写</x:v>
      </x:c>
      <x:c r="G92" s="56" t="str">
        <x:v>待专家填写</x:v>
      </x:c>
      <x:c r="H92" s="56" t="str">
        <x:v>待专家确认</x:v>
      </x:c>
      <x:c r="I92" s="56" t="str">
        <x:v>原始病例/训练扩写</x:v>
      </x:c>
      <x:c r="J92" s="56" t="str"/>
      <x:c r="K92" s="59" t="str">
        <x:v>待专家确认</x:v>
      </x:c>
    </x:row>
    <x:row r="93">
      <x:c r="A93" s="56" t="str">
        <x:v>P023</x:v>
      </x:c>
      <x:c r="B93" s="56" t="str">
        <x:v>HX-ADD-011</x:v>
      </x:c>
      <x:c r="C93" s="56" t="str">
        <x:v>输尿管结石</x:v>
      </x:c>
      <x:c r="D93" s="56" t="str">
        <x:v>输尿管结石</x:v>
      </x:c>
      <x:c r="E93" s="56" t="str">
        <x:v>肾梗死</x:v>
      </x:c>
      <x:c r="F93" s="56" t="str">
        <x:v>待专家填写</x:v>
      </x:c>
      <x:c r="G93" s="56" t="str">
        <x:v>待专家填写</x:v>
      </x:c>
      <x:c r="H93" s="56" t="str">
        <x:v>待专家确认</x:v>
      </x:c>
      <x:c r="I93" s="56" t="str">
        <x:v>原始病例/训练扩写</x:v>
      </x:c>
      <x:c r="J93" s="56" t="str"/>
      <x:c r="K93" s="59" t="str">
        <x:v>待专家确认</x:v>
      </x:c>
    </x:row>
    <x:row r="94">
      <x:c r="A94" s="56" t="str">
        <x:v>P023</x:v>
      </x:c>
      <x:c r="B94" s="56" t="str">
        <x:v>HX-ADD-011</x:v>
      </x:c>
      <x:c r="C94" s="56" t="str">
        <x:v>输尿管结石</x:v>
      </x:c>
      <x:c r="D94" s="56" t="str">
        <x:v>输尿管结石</x:v>
      </x:c>
      <x:c r="E94" s="56" t="str">
        <x:v>阑尾炎或胆道疾病</x:v>
      </x:c>
      <x:c r="F94" s="56" t="str">
        <x:v>待专家填写</x:v>
      </x:c>
      <x:c r="G94" s="56" t="str">
        <x:v>待专家填写</x:v>
      </x:c>
      <x:c r="H94" s="56" t="str">
        <x:v>待专家确认</x:v>
      </x:c>
      <x:c r="I94" s="56" t="str">
        <x:v>原始病例/训练扩写</x:v>
      </x:c>
      <x:c r="J94" s="56" t="str"/>
      <x:c r="K94" s="59" t="str">
        <x:v>待专家确认</x:v>
      </x:c>
    </x:row>
    <x:row r="95">
      <x:c r="A95" s="56" t="str">
        <x:v>P023</x:v>
      </x:c>
      <x:c r="B95" s="56" t="str">
        <x:v>HX-ADD-011</x:v>
      </x:c>
      <x:c r="C95" s="56" t="str">
        <x:v>输尿管结石</x:v>
      </x:c>
      <x:c r="D95" s="56" t="str">
        <x:v>输尿管结石</x:v>
      </x:c>
      <x:c r="E95" s="56" t="str">
        <x:v>上尿路尿路上皮癌</x:v>
      </x:c>
      <x:c r="F95" s="56" t="str">
        <x:v>待专家填写</x:v>
      </x:c>
      <x:c r="G95" s="56" t="str">
        <x:v>待专家填写</x:v>
      </x:c>
      <x:c r="H95" s="56" t="str">
        <x:v>待专家确认</x:v>
      </x:c>
      <x:c r="I95" s="56" t="str">
        <x:v>原始病例/训练扩写</x:v>
      </x:c>
      <x:c r="J95" s="56" t="str"/>
      <x:c r="K95" s="59" t="str">
        <x:v>待专家确认</x:v>
      </x:c>
    </x:row>
    <x:row r="96">
      <x:c r="A96" s="56" t="str">
        <x:v>P024</x:v>
      </x:c>
      <x:c r="B96" s="56" t="str">
        <x:v>HX-ADD-012</x:v>
      </x:c>
      <x:c r="C96" s="56" t="str">
        <x:v>肾盂/肾盏结石</x:v>
      </x:c>
      <x:c r="D96" s="56" t="str">
        <x:v>肾盂/肾盏结石</x:v>
      </x:c>
      <x:c r="E96" s="56" t="str">
        <x:v>输尿管结石</x:v>
      </x:c>
      <x:c r="F96" s="56" t="str">
        <x:v>待专家填写</x:v>
      </x:c>
      <x:c r="G96" s="56" t="str">
        <x:v>待专家填写</x:v>
      </x:c>
      <x:c r="H96" s="56" t="str">
        <x:v>待专家确认</x:v>
      </x:c>
      <x:c r="I96" s="56" t="str">
        <x:v>原始病例/训练扩写</x:v>
      </x:c>
      <x:c r="J96" s="56" t="str"/>
      <x:c r="K96" s="59" t="str">
        <x:v>待专家确认</x:v>
      </x:c>
    </x:row>
    <x:row r="97">
      <x:c r="A97" s="56" t="str">
        <x:v>P024</x:v>
      </x:c>
      <x:c r="B97" s="56" t="str">
        <x:v>HX-ADD-012</x:v>
      </x:c>
      <x:c r="C97" s="56" t="str">
        <x:v>肾盂/肾盏结石</x:v>
      </x:c>
      <x:c r="D97" s="56" t="str">
        <x:v>肾盂/肾盏结石</x:v>
      </x:c>
      <x:c r="E97" s="56" t="str">
        <x:v>急性肾盂肾炎</x:v>
      </x:c>
      <x:c r="F97" s="56" t="str">
        <x:v>待专家填写</x:v>
      </x:c>
      <x:c r="G97" s="56" t="str">
        <x:v>待专家填写</x:v>
      </x:c>
      <x:c r="H97" s="56" t="str">
        <x:v>待专家确认</x:v>
      </x:c>
      <x:c r="I97" s="56" t="str">
        <x:v>原始病例/训练扩写</x:v>
      </x:c>
      <x:c r="J97" s="56" t="str"/>
      <x:c r="K97" s="59" t="str">
        <x:v>待专家确认</x:v>
      </x:c>
    </x:row>
    <x:row r="98">
      <x:c r="A98" s="56" t="str">
        <x:v>P024</x:v>
      </x:c>
      <x:c r="B98" s="56" t="str">
        <x:v>HX-ADD-012</x:v>
      </x:c>
      <x:c r="C98" s="56" t="str">
        <x:v>肾盂/肾盏结石</x:v>
      </x:c>
      <x:c r="D98" s="56" t="str">
        <x:v>肾盂/肾盏结石</x:v>
      </x:c>
      <x:c r="E98" s="56" t="str">
        <x:v>肾盂肿瘤</x:v>
      </x:c>
      <x:c r="F98" s="56" t="str">
        <x:v>待专家填写</x:v>
      </x:c>
      <x:c r="G98" s="56" t="str">
        <x:v>待专家填写</x:v>
      </x:c>
      <x:c r="H98" s="56" t="str">
        <x:v>待专家确认</x:v>
      </x:c>
      <x:c r="I98" s="56" t="str">
        <x:v>原始病例/训练扩写</x:v>
      </x:c>
      <x:c r="J98" s="56" t="str"/>
      <x:c r="K98" s="59" t="str">
        <x:v>待专家确认</x:v>
      </x:c>
    </x:row>
    <x:row r="99">
      <x:c r="A99" s="56" t="str">
        <x:v>P024</x:v>
      </x:c>
      <x:c r="B99" s="56" t="str">
        <x:v>HX-ADD-012</x:v>
      </x:c>
      <x:c r="C99" s="56" t="str">
        <x:v>肾盂/肾盏结石</x:v>
      </x:c>
      <x:c r="D99" s="56" t="str">
        <x:v>肾盂/肾盏结石</x:v>
      </x:c>
      <x:c r="E99" s="56" t="str">
        <x:v>肾乳头坏死</x:v>
      </x:c>
      <x:c r="F99" s="56" t="str">
        <x:v>待专家填写</x:v>
      </x:c>
      <x:c r="G99" s="56" t="str">
        <x:v>待专家填写</x:v>
      </x:c>
      <x:c r="H99" s="56" t="str">
        <x:v>待专家确认</x:v>
      </x:c>
      <x:c r="I99" s="56" t="str">
        <x:v>原始病例/训练扩写</x:v>
      </x:c>
      <x:c r="J99" s="56" t="str"/>
      <x:c r="K99" s="59" t="str">
        <x:v>待专家确认</x:v>
      </x:c>
    </x:row>
    <x:row r="100">
      <x:c r="A100" s="56" t="str">
        <x:v>P025</x:v>
      </x:c>
      <x:c r="B100" s="56" t="str">
        <x:v>HX-ADD-013</x:v>
      </x:c>
      <x:c r="C100" s="56" t="str">
        <x:v>膀胱结石</x:v>
      </x:c>
      <x:c r="D100" s="56" t="str">
        <x:v>膀胱结石</x:v>
      </x:c>
      <x:c r="E100" s="56" t="str">
        <x:v>良性前列腺增生</x:v>
      </x:c>
      <x:c r="F100" s="56" t="str">
        <x:v>待专家填写</x:v>
      </x:c>
      <x:c r="G100" s="56" t="str">
        <x:v>待专家填写</x:v>
      </x:c>
      <x:c r="H100" s="56" t="str">
        <x:v>待专家确认</x:v>
      </x:c>
      <x:c r="I100" s="56" t="str">
        <x:v>原始病例/训练扩写</x:v>
      </x:c>
      <x:c r="J100" s="56" t="str"/>
      <x:c r="K100" s="59" t="str">
        <x:v>待专家确认</x:v>
      </x:c>
    </x:row>
    <x:row r="101">
      <x:c r="A101" s="56" t="str">
        <x:v>P025</x:v>
      </x:c>
      <x:c r="B101" s="56" t="str">
        <x:v>HX-ADD-013</x:v>
      </x:c>
      <x:c r="C101" s="56" t="str">
        <x:v>膀胱结石</x:v>
      </x:c>
      <x:c r="D101" s="56" t="str">
        <x:v>膀胱结石</x:v>
      </x:c>
      <x:c r="E101" s="56" t="str">
        <x:v>膀胱肿瘤</x:v>
      </x:c>
      <x:c r="F101" s="56" t="str">
        <x:v>待专家填写</x:v>
      </x:c>
      <x:c r="G101" s="56" t="str">
        <x:v>待专家填写</x:v>
      </x:c>
      <x:c r="H101" s="56" t="str">
        <x:v>待专家确认</x:v>
      </x:c>
      <x:c r="I101" s="56" t="str">
        <x:v>原始病例/训练扩写</x:v>
      </x:c>
      <x:c r="J101" s="56" t="str"/>
      <x:c r="K101" s="59" t="str">
        <x:v>待专家确认</x:v>
      </x:c>
    </x:row>
    <x:row r="102">
      <x:c r="A102" s="56" t="str">
        <x:v>P025</x:v>
      </x:c>
      <x:c r="B102" s="56" t="str">
        <x:v>HX-ADD-013</x:v>
      </x:c>
      <x:c r="C102" s="56" t="str">
        <x:v>膀胱结石</x:v>
      </x:c>
      <x:c r="D102" s="56" t="str">
        <x:v>膀胱结石</x:v>
      </x:c>
      <x:c r="E102" s="56" t="str">
        <x:v>尿路感染</x:v>
      </x:c>
      <x:c r="F102" s="56" t="str">
        <x:v>待专家填写</x:v>
      </x:c>
      <x:c r="G102" s="56" t="str">
        <x:v>待专家填写</x:v>
      </x:c>
      <x:c r="H102" s="56" t="str">
        <x:v>待专家确认</x:v>
      </x:c>
      <x:c r="I102" s="56" t="str">
        <x:v>原始病例/训练扩写</x:v>
      </x:c>
      <x:c r="J102" s="56" t="str"/>
      <x:c r="K102" s="59" t="str">
        <x:v>待专家确认</x:v>
      </x:c>
    </x:row>
    <x:row r="103">
      <x:c r="A103" s="56" t="str">
        <x:v>P025</x:v>
      </x:c>
      <x:c r="B103" s="56" t="str">
        <x:v>HX-ADD-013</x:v>
      </x:c>
      <x:c r="C103" s="56" t="str">
        <x:v>膀胱结石</x:v>
      </x:c>
      <x:c r="D103" s="56" t="str">
        <x:v>膀胱结石</x:v>
      </x:c>
      <x:c r="E103" s="56" t="str">
        <x:v>尿道狭窄</x:v>
      </x:c>
      <x:c r="F103" s="56" t="str">
        <x:v>待专家填写</x:v>
      </x:c>
      <x:c r="G103" s="56" t="str">
        <x:v>待专家填写</x:v>
      </x:c>
      <x:c r="H103" s="56" t="str">
        <x:v>待专家确认</x:v>
      </x:c>
      <x:c r="I103" s="56" t="str">
        <x:v>原始病例/训练扩写</x:v>
      </x:c>
      <x:c r="J103" s="56" t="str"/>
      <x:c r="K103" s="59" t="str">
        <x:v>待专家确认</x:v>
      </x:c>
    </x:row>
    <x:row r="104">
      <x:c r="A104" s="56" t="str">
        <x:v>P026</x:v>
      </x:c>
      <x:c r="B104" s="56" t="str">
        <x:v>HX-ADD-014</x:v>
      </x:c>
      <x:c r="C104" s="56" t="str">
        <x:v>鹿角形结石合并感染</x:v>
      </x:c>
      <x:c r="D104" s="56" t="str">
        <x:v>鹿角形结石合并感染</x:v>
      </x:c>
      <x:c r="E104" s="56" t="str">
        <x:v>感染性梗阻结石</x:v>
      </x:c>
      <x:c r="F104" s="56" t="str">
        <x:v>待专家填写</x:v>
      </x:c>
      <x:c r="G104" s="56" t="str">
        <x:v>待专家填写</x:v>
      </x:c>
      <x:c r="H104" s="56" t="str">
        <x:v>待专家确认</x:v>
      </x:c>
      <x:c r="I104" s="56" t="str">
        <x:v>原始病例/训练扩写</x:v>
      </x:c>
      <x:c r="J104" s="56" t="str"/>
      <x:c r="K104" s="59" t="str">
        <x:v>待专家确认</x:v>
      </x:c>
    </x:row>
    <x:row r="105">
      <x:c r="A105" s="56" t="str">
        <x:v>P026</x:v>
      </x:c>
      <x:c r="B105" s="56" t="str">
        <x:v>HX-ADD-014</x:v>
      </x:c>
      <x:c r="C105" s="56" t="str">
        <x:v>鹿角形结石合并感染</x:v>
      </x:c>
      <x:c r="D105" s="56" t="str">
        <x:v>鹿角形结石合并感染</x:v>
      </x:c>
      <x:c r="E105" s="56" t="str">
        <x:v>肾盂肾炎</x:v>
      </x:c>
      <x:c r="F105" s="56" t="str">
        <x:v>待专家填写</x:v>
      </x:c>
      <x:c r="G105" s="56" t="str">
        <x:v>待专家填写</x:v>
      </x:c>
      <x:c r="H105" s="56" t="str">
        <x:v>待专家确认</x:v>
      </x:c>
      <x:c r="I105" s="56" t="str">
        <x:v>原始病例/训练扩写</x:v>
      </x:c>
      <x:c r="J105" s="56" t="str"/>
      <x:c r="K105" s="59" t="str">
        <x:v>待专家确认</x:v>
      </x:c>
    </x:row>
    <x:row r="106">
      <x:c r="A106" s="56" t="str">
        <x:v>P026</x:v>
      </x:c>
      <x:c r="B106" s="56" t="str">
        <x:v>HX-ADD-014</x:v>
      </x:c>
      <x:c r="C106" s="56" t="str">
        <x:v>鹿角形结石合并感染</x:v>
      </x:c>
      <x:c r="D106" s="56" t="str">
        <x:v>鹿角形结石合并感染</x:v>
      </x:c>
      <x:c r="E106" s="56" t="str">
        <x:v>肾结核</x:v>
      </x:c>
      <x:c r="F106" s="56" t="str">
        <x:v>待专家填写</x:v>
      </x:c>
      <x:c r="G106" s="56" t="str">
        <x:v>待专家填写</x:v>
      </x:c>
      <x:c r="H106" s="56" t="str">
        <x:v>待专家确认</x:v>
      </x:c>
      <x:c r="I106" s="56" t="str">
        <x:v>原始病例/训练扩写</x:v>
      </x:c>
      <x:c r="J106" s="56" t="str"/>
      <x:c r="K106" s="59" t="str">
        <x:v>待专家确认</x:v>
      </x:c>
    </x:row>
    <x:row r="107">
      <x:c r="A107" s="56" t="str">
        <x:v>P026</x:v>
      </x:c>
      <x:c r="B107" s="56" t="str">
        <x:v>HX-ADD-014</x:v>
      </x:c>
      <x:c r="C107" s="56" t="str">
        <x:v>鹿角形结石合并感染</x:v>
      </x:c>
      <x:c r="D107" s="56" t="str">
        <x:v>鹿角形结石合并感染</x:v>
      </x:c>
      <x:c r="E107" s="56" t="str">
        <x:v>肾盂肿瘤</x:v>
      </x:c>
      <x:c r="F107" s="56" t="str">
        <x:v>待专家填写</x:v>
      </x:c>
      <x:c r="G107" s="56" t="str">
        <x:v>待专家填写</x:v>
      </x:c>
      <x:c r="H107" s="56" t="str">
        <x:v>待专家确认</x:v>
      </x:c>
      <x:c r="I107" s="56" t="str">
        <x:v>原始病例/训练扩写</x:v>
      </x:c>
      <x:c r="J107" s="56" t="str"/>
      <x:c r="K107" s="59" t="str">
        <x:v>待专家确认</x:v>
      </x:c>
    </x:row>
    <x:row r="108">
      <x:c r="A108" s="56" t="str">
        <x:v>P027</x:v>
      </x:c>
      <x:c r="B108" s="56" t="str">
        <x:v>HX-ADD-015</x:v>
      </x:c>
      <x:c r="C108" s="56" t="str">
        <x:v>尿酸结石</x:v>
      </x:c>
      <x:c r="D108" s="56" t="str">
        <x:v>尿酸结石</x:v>
      </x:c>
      <x:c r="E108" s="56" t="str">
        <x:v>输尿管结石</x:v>
      </x:c>
      <x:c r="F108" s="56" t="str">
        <x:v>待专家填写</x:v>
      </x:c>
      <x:c r="G108" s="56" t="str">
        <x:v>待专家填写</x:v>
      </x:c>
      <x:c r="H108" s="56" t="str">
        <x:v>待专家确认</x:v>
      </x:c>
      <x:c r="I108" s="56" t="str">
        <x:v>原始病例/训练扩写</x:v>
      </x:c>
      <x:c r="J108" s="56" t="str"/>
      <x:c r="K108" s="59" t="str">
        <x:v>待专家确认</x:v>
      </x:c>
    </x:row>
    <x:row r="109">
      <x:c r="A109" s="56" t="str">
        <x:v>P027</x:v>
      </x:c>
      <x:c r="B109" s="56" t="str">
        <x:v>HX-ADD-015</x:v>
      </x:c>
      <x:c r="C109" s="56" t="str">
        <x:v>尿酸结石</x:v>
      </x:c>
      <x:c r="D109" s="56" t="str">
        <x:v>尿酸结石</x:v>
      </x:c>
      <x:c r="E109" s="56" t="str">
        <x:v>急性肾盂肾炎</x:v>
      </x:c>
      <x:c r="F109" s="56" t="str">
        <x:v>待专家填写</x:v>
      </x:c>
      <x:c r="G109" s="56" t="str">
        <x:v>待专家填写</x:v>
      </x:c>
      <x:c r="H109" s="56" t="str">
        <x:v>待专家确认</x:v>
      </x:c>
      <x:c r="I109" s="56" t="str">
        <x:v>原始病例/训练扩写</x:v>
      </x:c>
      <x:c r="J109" s="56" t="str"/>
      <x:c r="K109" s="59" t="str">
        <x:v>待专家确认</x:v>
      </x:c>
    </x:row>
    <x:row r="110">
      <x:c r="A110" s="56" t="str">
        <x:v>P027</x:v>
      </x:c>
      <x:c r="B110" s="56" t="str">
        <x:v>HX-ADD-015</x:v>
      </x:c>
      <x:c r="C110" s="56" t="str">
        <x:v>尿酸结石</x:v>
      </x:c>
      <x:c r="D110" s="56" t="str">
        <x:v>尿酸结石</x:v>
      </x:c>
      <x:c r="E110" s="56" t="str">
        <x:v>肾盂肿瘤</x:v>
      </x:c>
      <x:c r="F110" s="56" t="str">
        <x:v>待专家填写</x:v>
      </x:c>
      <x:c r="G110" s="56" t="str">
        <x:v>待专家填写</x:v>
      </x:c>
      <x:c r="H110" s="56" t="str">
        <x:v>待专家确认</x:v>
      </x:c>
      <x:c r="I110" s="56" t="str">
        <x:v>原始病例/训练扩写</x:v>
      </x:c>
      <x:c r="J110" s="56" t="str"/>
      <x:c r="K110" s="59" t="str">
        <x:v>待专家确认</x:v>
      </x:c>
    </x:row>
    <x:row r="111">
      <x:c r="A111" s="56" t="str">
        <x:v>P027</x:v>
      </x:c>
      <x:c r="B111" s="56" t="str">
        <x:v>HX-ADD-015</x:v>
      </x:c>
      <x:c r="C111" s="56" t="str">
        <x:v>尿酸结石</x:v>
      </x:c>
      <x:c r="D111" s="56" t="str">
        <x:v>尿酸结石</x:v>
      </x:c>
      <x:c r="E111" s="56" t="str">
        <x:v>肾乳头坏死</x:v>
      </x:c>
      <x:c r="F111" s="56" t="str">
        <x:v>待专家填写</x:v>
      </x:c>
      <x:c r="G111" s="56" t="str">
        <x:v>待专家填写</x:v>
      </x:c>
      <x:c r="H111" s="56" t="str">
        <x:v>待专家确认</x:v>
      </x:c>
      <x:c r="I111" s="56" t="str">
        <x:v>原始病例/训练扩写</x:v>
      </x:c>
      <x:c r="J111" s="56" t="str"/>
      <x:c r="K111" s="59" t="str">
        <x:v>待专家确认</x:v>
      </x:c>
    </x:row>
    <x:row r="112">
      <x:c r="A112" s="56" t="str">
        <x:v>P028</x:v>
      </x:c>
      <x:c r="B112" s="56" t="str">
        <x:v>HX-ADD-016</x:v>
      </x:c>
      <x:c r="C112" s="56" t="str">
        <x:v>前列腺增生相关血尿</x:v>
      </x:c>
      <x:c r="D112" s="56" t="str">
        <x:v>前列腺增生相关血尿</x:v>
      </x:c>
      <x:c r="E112" s="56" t="str">
        <x:v>前列腺癌</x:v>
      </x:c>
      <x:c r="F112" s="56" t="str">
        <x:v>待专家填写</x:v>
      </x:c>
      <x:c r="G112" s="56" t="str">
        <x:v>待专家填写</x:v>
      </x:c>
      <x:c r="H112" s="56" t="str">
        <x:v>待专家确认</x:v>
      </x:c>
      <x:c r="I112" s="56" t="str">
        <x:v>原始病例/训练扩写</x:v>
      </x:c>
      <x:c r="J112" s="56" t="str"/>
      <x:c r="K112" s="59" t="str">
        <x:v>待专家确认</x:v>
      </x:c>
    </x:row>
    <x:row r="113">
      <x:c r="A113" s="56" t="str">
        <x:v>P028</x:v>
      </x:c>
      <x:c r="B113" s="56" t="str">
        <x:v>HX-ADD-016</x:v>
      </x:c>
      <x:c r="C113" s="56" t="str">
        <x:v>前列腺增生相关血尿</x:v>
      </x:c>
      <x:c r="D113" s="56" t="str">
        <x:v>前列腺增生相关血尿</x:v>
      </x:c>
      <x:c r="E113" s="56" t="str">
        <x:v>膀胱颈挛缩</x:v>
      </x:c>
      <x:c r="F113" s="56" t="str">
        <x:v>待专家填写</x:v>
      </x:c>
      <x:c r="G113" s="56" t="str">
        <x:v>待专家填写</x:v>
      </x:c>
      <x:c r="H113" s="56" t="str">
        <x:v>待专家确认</x:v>
      </x:c>
      <x:c r="I113" s="56" t="str">
        <x:v>原始病例/训练扩写</x:v>
      </x:c>
      <x:c r="J113" s="56" t="str"/>
      <x:c r="K113" s="59" t="str">
        <x:v>待专家确认</x:v>
      </x:c>
    </x:row>
    <x:row r="114">
      <x:c r="A114" s="56" t="str">
        <x:v>P028</x:v>
      </x:c>
      <x:c r="B114" s="56" t="str">
        <x:v>HX-ADD-016</x:v>
      </x:c>
      <x:c r="C114" s="56" t="str">
        <x:v>前列腺增生相关血尿</x:v>
      </x:c>
      <x:c r="D114" s="56" t="str">
        <x:v>前列腺增生相关血尿</x:v>
      </x:c>
      <x:c r="E114" s="56" t="str">
        <x:v>尿道狭窄</x:v>
      </x:c>
      <x:c r="F114" s="56" t="str">
        <x:v>待专家填写</x:v>
      </x:c>
      <x:c r="G114" s="56" t="str">
        <x:v>待专家填写</x:v>
      </x:c>
      <x:c r="H114" s="56" t="str">
        <x:v>待专家确认</x:v>
      </x:c>
      <x:c r="I114" s="56" t="str">
        <x:v>原始病例/训练扩写</x:v>
      </x:c>
      <x:c r="J114" s="56" t="str"/>
      <x:c r="K114" s="59" t="str">
        <x:v>待专家确认</x:v>
      </x:c>
    </x:row>
    <x:row r="115">
      <x:c r="A115" s="56" t="str">
        <x:v>P028</x:v>
      </x:c>
      <x:c r="B115" s="56" t="str">
        <x:v>HX-ADD-016</x:v>
      </x:c>
      <x:c r="C115" s="56" t="str">
        <x:v>前列腺增生相关血尿</x:v>
      </x:c>
      <x:c r="D115" s="56" t="str">
        <x:v>前列腺增生相关血尿</x:v>
      </x:c>
      <x:c r="E115" s="56" t="str">
        <x:v>神经源性膀胱</x:v>
      </x:c>
      <x:c r="F115" s="56" t="str">
        <x:v>待专家填写</x:v>
      </x:c>
      <x:c r="G115" s="56" t="str">
        <x:v>待专家填写</x:v>
      </x:c>
      <x:c r="H115" s="56" t="str">
        <x:v>待专家确认</x:v>
      </x:c>
      <x:c r="I115" s="56" t="str">
        <x:v>原始病例/训练扩写</x:v>
      </x:c>
      <x:c r="J115" s="56" t="str"/>
      <x:c r="K115" s="59" t="str">
        <x:v>待专家确认</x:v>
      </x:c>
    </x:row>
    <x:row r="116">
      <x:c r="A116" s="56" t="str">
        <x:v>P029</x:v>
      </x:c>
      <x:c r="B116" s="56" t="str">
        <x:v>HX-ADD-017</x:v>
      </x:c>
      <x:c r="C116" s="56" t="str">
        <x:v>BPH急性尿潴留/导尿相关血尿</x:v>
      </x:c>
      <x:c r="D116" s="56" t="str">
        <x:v>BPH急性尿潴留/导尿相关血尿</x:v>
      </x:c>
      <x:c r="E116" s="56" t="str">
        <x:v>前列腺癌</x:v>
      </x:c>
      <x:c r="F116" s="56" t="str">
        <x:v>待专家填写</x:v>
      </x:c>
      <x:c r="G116" s="56" t="str">
        <x:v>待专家填写</x:v>
      </x:c>
      <x:c r="H116" s="56" t="str">
        <x:v>待专家确认</x:v>
      </x:c>
      <x:c r="I116" s="56" t="str">
        <x:v>原始病例/训练扩写</x:v>
      </x:c>
      <x:c r="J116" s="56" t="str"/>
      <x:c r="K116" s="59" t="str">
        <x:v>待专家确认</x:v>
      </x:c>
    </x:row>
    <x:row r="117">
      <x:c r="A117" s="56" t="str">
        <x:v>P029</x:v>
      </x:c>
      <x:c r="B117" s="56" t="str">
        <x:v>HX-ADD-017</x:v>
      </x:c>
      <x:c r="C117" s="56" t="str">
        <x:v>BPH急性尿潴留/导尿相关血尿</x:v>
      </x:c>
      <x:c r="D117" s="56" t="str">
        <x:v>BPH急性尿潴留/导尿相关血尿</x:v>
      </x:c>
      <x:c r="E117" s="56" t="str">
        <x:v>膀胱颈挛缩</x:v>
      </x:c>
      <x:c r="F117" s="56" t="str">
        <x:v>待专家填写</x:v>
      </x:c>
      <x:c r="G117" s="56" t="str">
        <x:v>待专家填写</x:v>
      </x:c>
      <x:c r="H117" s="56" t="str">
        <x:v>待专家确认</x:v>
      </x:c>
      <x:c r="I117" s="56" t="str">
        <x:v>原始病例/训练扩写</x:v>
      </x:c>
      <x:c r="J117" s="56" t="str"/>
      <x:c r="K117" s="59" t="str">
        <x:v>待专家确认</x:v>
      </x:c>
    </x:row>
    <x:row r="118">
      <x:c r="A118" s="56" t="str">
        <x:v>P029</x:v>
      </x:c>
      <x:c r="B118" s="56" t="str">
        <x:v>HX-ADD-017</x:v>
      </x:c>
      <x:c r="C118" s="56" t="str">
        <x:v>BPH急性尿潴留/导尿相关血尿</x:v>
      </x:c>
      <x:c r="D118" s="56" t="str">
        <x:v>BPH急性尿潴留/导尿相关血尿</x:v>
      </x:c>
      <x:c r="E118" s="56" t="str">
        <x:v>尿道狭窄</x:v>
      </x:c>
      <x:c r="F118" s="56" t="str">
        <x:v>待专家填写</x:v>
      </x:c>
      <x:c r="G118" s="56" t="str">
        <x:v>待专家填写</x:v>
      </x:c>
      <x:c r="H118" s="56" t="str">
        <x:v>待专家确认</x:v>
      </x:c>
      <x:c r="I118" s="56" t="str">
        <x:v>原始病例/训练扩写</x:v>
      </x:c>
      <x:c r="J118" s="56" t="str"/>
      <x:c r="K118" s="59" t="str">
        <x:v>待专家确认</x:v>
      </x:c>
    </x:row>
    <x:row r="119">
      <x:c r="A119" s="56" t="str">
        <x:v>P029</x:v>
      </x:c>
      <x:c r="B119" s="56" t="str">
        <x:v>HX-ADD-017</x:v>
      </x:c>
      <x:c r="C119" s="56" t="str">
        <x:v>BPH急性尿潴留/导尿相关血尿</x:v>
      </x:c>
      <x:c r="D119" s="56" t="str">
        <x:v>BPH急性尿潴留/导尿相关血尿</x:v>
      </x:c>
      <x:c r="E119" s="56" t="str">
        <x:v>神经源性膀胱</x:v>
      </x:c>
      <x:c r="F119" s="56" t="str">
        <x:v>待专家填写</x:v>
      </x:c>
      <x:c r="G119" s="56" t="str">
        <x:v>待专家填写</x:v>
      </x:c>
      <x:c r="H119" s="56" t="str">
        <x:v>待专家确认</x:v>
      </x:c>
      <x:c r="I119" s="56" t="str">
        <x:v>原始病例/训练扩写</x:v>
      </x:c>
      <x:c r="J119" s="56" t="str"/>
      <x:c r="K119" s="59" t="str">
        <x:v>待专家确认</x:v>
      </x:c>
    </x:row>
    <x:row r="120">
      <x:c r="A120" s="56" t="str">
        <x:v>P030</x:v>
      </x:c>
      <x:c r="B120" s="56" t="str">
        <x:v>HX-ADD-018</x:v>
      </x:c>
      <x:c r="C120" s="56" t="str">
        <x:v>前列腺癌合并血尿/需鉴别</x:v>
      </x:c>
      <x:c r="D120" s="56" t="str">
        <x:v>前列腺癌合并血尿/需鉴别</x:v>
      </x:c>
      <x:c r="E120" s="56" t="str">
        <x:v>良性前列腺增生</x:v>
      </x:c>
      <x:c r="F120" s="56" t="str">
        <x:v>待专家填写</x:v>
      </x:c>
      <x:c r="G120" s="56" t="str">
        <x:v>待专家填写</x:v>
      </x:c>
      <x:c r="H120" s="56" t="str">
        <x:v>待专家确认</x:v>
      </x:c>
      <x:c r="I120" s="56" t="str">
        <x:v>原始病例/训练扩写</x:v>
      </x:c>
      <x:c r="J120" s="56" t="str"/>
      <x:c r="K120" s="59" t="str">
        <x:v>待专家确认</x:v>
      </x:c>
    </x:row>
    <x:row r="121">
      <x:c r="A121" s="56" t="str">
        <x:v>P030</x:v>
      </x:c>
      <x:c r="B121" s="56" t="str">
        <x:v>HX-ADD-018</x:v>
      </x:c>
      <x:c r="C121" s="56" t="str">
        <x:v>前列腺癌合并血尿/需鉴别</x:v>
      </x:c>
      <x:c r="D121" s="56" t="str">
        <x:v>前列腺癌合并血尿/需鉴别</x:v>
      </x:c>
      <x:c r="E121" s="56" t="str">
        <x:v>前列腺炎</x:v>
      </x:c>
      <x:c r="F121" s="56" t="str">
        <x:v>待专家填写</x:v>
      </x:c>
      <x:c r="G121" s="56" t="str">
        <x:v>待专家填写</x:v>
      </x:c>
      <x:c r="H121" s="56" t="str">
        <x:v>待专家确认</x:v>
      </x:c>
      <x:c r="I121" s="56" t="str">
        <x:v>原始病例/训练扩写</x:v>
      </x:c>
      <x:c r="J121" s="56" t="str"/>
      <x:c r="K121" s="59" t="str">
        <x:v>待专家确认</x:v>
      </x:c>
    </x:row>
    <x:row r="122">
      <x:c r="A122" s="56" t="str">
        <x:v>P030</x:v>
      </x:c>
      <x:c r="B122" s="56" t="str">
        <x:v>HX-ADD-018</x:v>
      </x:c>
      <x:c r="C122" s="56" t="str">
        <x:v>前列腺癌合并血尿/需鉴别</x:v>
      </x:c>
      <x:c r="D122" s="56" t="str">
        <x:v>前列腺癌合并血尿/需鉴别</x:v>
      </x:c>
      <x:c r="E122" s="56" t="str">
        <x:v>膀胱肿瘤</x:v>
      </x:c>
      <x:c r="F122" s="56" t="str">
        <x:v>待专家填写</x:v>
      </x:c>
      <x:c r="G122" s="56" t="str">
        <x:v>待专家填写</x:v>
      </x:c>
      <x:c r="H122" s="56" t="str">
        <x:v>待专家确认</x:v>
      </x:c>
      <x:c r="I122" s="56" t="str">
        <x:v>原始病例/训练扩写</x:v>
      </x:c>
      <x:c r="J122" s="56" t="str"/>
      <x:c r="K122" s="59" t="str">
        <x:v>待专家确认</x:v>
      </x:c>
    </x:row>
    <x:row r="123">
      <x:c r="A123" s="56" t="str">
        <x:v>P030</x:v>
      </x:c>
      <x:c r="B123" s="56" t="str">
        <x:v>HX-ADD-018</x:v>
      </x:c>
      <x:c r="C123" s="56" t="str">
        <x:v>前列腺癌合并血尿/需鉴别</x:v>
      </x:c>
      <x:c r="D123" s="56" t="str">
        <x:v>前列腺癌合并血尿/需鉴别</x:v>
      </x:c>
      <x:c r="E123" s="56" t="str">
        <x:v>尿路感染</x:v>
      </x:c>
      <x:c r="F123" s="56" t="str">
        <x:v>待专家填写</x:v>
      </x:c>
      <x:c r="G123" s="56" t="str">
        <x:v>待专家填写</x:v>
      </x:c>
      <x:c r="H123" s="56" t="str">
        <x:v>待专家确认</x:v>
      </x:c>
      <x:c r="I123" s="56" t="str">
        <x:v>原始病例/训练扩写</x:v>
      </x:c>
      <x:c r="J123" s="56" t="str"/>
      <x:c r="K123" s="59" t="str">
        <x:v>待专家确认</x:v>
      </x:c>
    </x:row>
    <x:row r="124">
      <x:c r="A124" s="56" t="str">
        <x:v>P031</x:v>
      </x:c>
      <x:c r="B124" s="56" t="str">
        <x:v>HX-ADD-019</x:v>
      </x:c>
      <x:c r="C124" s="56" t="str">
        <x:v>IgA肾病</x:v>
      </x:c>
      <x:c r="D124" s="56" t="str">
        <x:v>IgA肾病</x:v>
      </x:c>
      <x:c r="E124" s="56" t="str">
        <x:v>感染后肾小球肾炎</x:v>
      </x:c>
      <x:c r="F124" s="56" t="str">
        <x:v>待专家填写</x:v>
      </x:c>
      <x:c r="G124" s="56" t="str">
        <x:v>待专家填写</x:v>
      </x:c>
      <x:c r="H124" s="56" t="str">
        <x:v>待专家确认</x:v>
      </x:c>
      <x:c r="I124" s="56" t="str">
        <x:v>原始病例/训练扩写</x:v>
      </x:c>
      <x:c r="J124" s="56" t="str"/>
      <x:c r="K124" s="59" t="str">
        <x:v>待专家确认</x:v>
      </x:c>
    </x:row>
    <x:row r="125">
      <x:c r="A125" s="56" t="str">
        <x:v>P031</x:v>
      </x:c>
      <x:c r="B125" s="56" t="str">
        <x:v>HX-ADD-019</x:v>
      </x:c>
      <x:c r="C125" s="56" t="str">
        <x:v>IgA肾病</x:v>
      </x:c>
      <x:c r="D125" s="56" t="str">
        <x:v>IgA肾病</x:v>
      </x:c>
      <x:c r="E125" s="56" t="str">
        <x:v>薄基底膜肾病</x:v>
      </x:c>
      <x:c r="F125" s="56" t="str">
        <x:v>待专家填写</x:v>
      </x:c>
      <x:c r="G125" s="56" t="str">
        <x:v>待专家填写</x:v>
      </x:c>
      <x:c r="H125" s="56" t="str">
        <x:v>待专家确认</x:v>
      </x:c>
      <x:c r="I125" s="56" t="str">
        <x:v>原始病例/训练扩写</x:v>
      </x:c>
      <x:c r="J125" s="56" t="str"/>
      <x:c r="K125" s="59" t="str">
        <x:v>待专家确认</x:v>
      </x:c>
    </x:row>
    <x:row r="126">
      <x:c r="A126" s="56" t="str">
        <x:v>P031</x:v>
      </x:c>
      <x:c r="B126" s="56" t="str">
        <x:v>HX-ADD-019</x:v>
      </x:c>
      <x:c r="C126" s="56" t="str">
        <x:v>IgA肾病</x:v>
      </x:c>
      <x:c r="D126" s="56" t="str">
        <x:v>IgA肾病</x:v>
      </x:c>
      <x:c r="E126" s="56" t="str">
        <x:v>Alport综合征</x:v>
      </x:c>
      <x:c r="F126" s="56" t="str">
        <x:v>待专家填写</x:v>
      </x:c>
      <x:c r="G126" s="56" t="str">
        <x:v>待专家填写</x:v>
      </x:c>
      <x:c r="H126" s="56" t="str">
        <x:v>待专家确认</x:v>
      </x:c>
      <x:c r="I126" s="56" t="str">
        <x:v>原始病例/训练扩写</x:v>
      </x:c>
      <x:c r="J126" s="56" t="str"/>
      <x:c r="K126" s="59" t="str">
        <x:v>待专家确认</x:v>
      </x:c>
    </x:row>
    <x:row r="127">
      <x:c r="A127" s="56" t="str">
        <x:v>P031</x:v>
      </x:c>
      <x:c r="B127" s="56" t="str">
        <x:v>HX-ADD-019</x:v>
      </x:c>
      <x:c r="C127" s="56" t="str">
        <x:v>IgA肾病</x:v>
      </x:c>
      <x:c r="D127" s="56" t="str">
        <x:v>IgA肾病</x:v>
      </x:c>
      <x:c r="E127" s="56" t="str">
        <x:v>狼疮性肾炎</x:v>
      </x:c>
      <x:c r="F127" s="56" t="str">
        <x:v>待专家填写</x:v>
      </x:c>
      <x:c r="G127" s="56" t="str">
        <x:v>待专家填写</x:v>
      </x:c>
      <x:c r="H127" s="56" t="str">
        <x:v>待专家确认</x:v>
      </x:c>
      <x:c r="I127" s="56" t="str">
        <x:v>原始病例/训练扩写</x:v>
      </x:c>
      <x:c r="J127" s="56" t="str"/>
      <x:c r="K127" s="59" t="str">
        <x:v>待专家确认</x:v>
      </x:c>
    </x:row>
    <x:row r="128">
      <x:c r="A128" s="56" t="str">
        <x:v>P032</x:v>
      </x:c>
      <x:c r="B128" s="56" t="str">
        <x:v>HX-ADD-020</x:v>
      </x:c>
      <x:c r="C128" s="56" t="str">
        <x:v>感染后急性肾小球肾炎</x:v>
      </x:c>
      <x:c r="D128" s="56" t="str">
        <x:v>感染后急性肾小球肾炎</x:v>
      </x:c>
      <x:c r="E128" s="56" t="str">
        <x:v>IgA肾病</x:v>
      </x:c>
      <x:c r="F128" s="56" t="str">
        <x:v>待专家填写</x:v>
      </x:c>
      <x:c r="G128" s="56" t="str">
        <x:v>待专家填写</x:v>
      </x:c>
      <x:c r="H128" s="56" t="str">
        <x:v>待专家确认</x:v>
      </x:c>
      <x:c r="I128" s="56" t="str">
        <x:v>原始病例/训练扩写</x:v>
      </x:c>
      <x:c r="J128" s="56" t="str"/>
      <x:c r="K128" s="59" t="str">
        <x:v>待专家确认</x:v>
      </x:c>
    </x:row>
    <x:row r="129">
      <x:c r="A129" s="56" t="str">
        <x:v>P032</x:v>
      </x:c>
      <x:c r="B129" s="56" t="str">
        <x:v>HX-ADD-020</x:v>
      </x:c>
      <x:c r="C129" s="56" t="str">
        <x:v>感染后急性肾小球肾炎</x:v>
      </x:c>
      <x:c r="D129" s="56" t="str">
        <x:v>感染后急性肾小球肾炎</x:v>
      </x:c>
      <x:c r="E129" s="56" t="str">
        <x:v>狼疮性肾炎</x:v>
      </x:c>
      <x:c r="F129" s="56" t="str">
        <x:v>待专家填写</x:v>
      </x:c>
      <x:c r="G129" s="56" t="str">
        <x:v>待专家填写</x:v>
      </x:c>
      <x:c r="H129" s="56" t="str">
        <x:v>待专家确认</x:v>
      </x:c>
      <x:c r="I129" s="56" t="str">
        <x:v>原始病例/训练扩写</x:v>
      </x:c>
      <x:c r="J129" s="56" t="str"/>
      <x:c r="K129" s="59" t="str">
        <x:v>待专家确认</x:v>
      </x:c>
    </x:row>
    <x:row r="130">
      <x:c r="A130" s="56" t="str">
        <x:v>P032</x:v>
      </x:c>
      <x:c r="B130" s="56" t="str">
        <x:v>HX-ADD-020</x:v>
      </x:c>
      <x:c r="C130" s="56" t="str">
        <x:v>感染后急性肾小球肾炎</x:v>
      </x:c>
      <x:c r="D130" s="56" t="str">
        <x:v>感染后急性肾小球肾炎</x:v>
      </x:c>
      <x:c r="E130" s="56" t="str">
        <x:v>膜增生性肾小球肾炎</x:v>
      </x:c>
      <x:c r="F130" s="56" t="str">
        <x:v>待专家填写</x:v>
      </x:c>
      <x:c r="G130" s="56" t="str">
        <x:v>待专家填写</x:v>
      </x:c>
      <x:c r="H130" s="56" t="str">
        <x:v>待专家确认</x:v>
      </x:c>
      <x:c r="I130" s="56" t="str">
        <x:v>原始病例/训练扩写</x:v>
      </x:c>
      <x:c r="J130" s="56" t="str"/>
      <x:c r="K130" s="59" t="str">
        <x:v>待专家确认</x:v>
      </x:c>
    </x:row>
    <x:row r="131">
      <x:c r="A131" s="56" t="str">
        <x:v>P032</x:v>
      </x:c>
      <x:c r="B131" s="56" t="str">
        <x:v>HX-ADD-020</x:v>
      </x:c>
      <x:c r="C131" s="56" t="str">
        <x:v>感染后急性肾小球肾炎</x:v>
      </x:c>
      <x:c r="D131" s="56" t="str">
        <x:v>感染后急性肾小球肾炎</x:v>
      </x:c>
      <x:c r="E131" s="56" t="str">
        <x:v>溶血尿毒综合征</x:v>
      </x:c>
      <x:c r="F131" s="56" t="str">
        <x:v>待专家填写</x:v>
      </x:c>
      <x:c r="G131" s="56" t="str">
        <x:v>待专家填写</x:v>
      </x:c>
      <x:c r="H131" s="56" t="str">
        <x:v>待专家确认</x:v>
      </x:c>
      <x:c r="I131" s="56" t="str">
        <x:v>原始病例/训练扩写</x:v>
      </x:c>
      <x:c r="J131" s="56" t="str"/>
      <x:c r="K131" s="59" t="str">
        <x:v>待专家确认</x:v>
      </x:c>
    </x:row>
    <x:row r="132">
      <x:c r="A132" s="56" t="str">
        <x:v>P033</x:v>
      </x:c>
      <x:c r="B132" s="56" t="str">
        <x:v>HX-ADD-021</x:v>
      </x:c>
      <x:c r="C132" s="56" t="str">
        <x:v>薄基底膜肾病/家族性良性血尿</x:v>
      </x:c>
      <x:c r="D132" s="56" t="str">
        <x:v>薄基底膜肾病/家族性良性血尿</x:v>
      </x:c>
      <x:c r="E132" s="56" t="str">
        <x:v>Alport综合征</x:v>
      </x:c>
      <x:c r="F132" s="56" t="str">
        <x:v>待专家填写</x:v>
      </x:c>
      <x:c r="G132" s="56" t="str">
        <x:v>待专家填写</x:v>
      </x:c>
      <x:c r="H132" s="56" t="str">
        <x:v>待专家确认</x:v>
      </x:c>
      <x:c r="I132" s="56" t="str">
        <x:v>原始病例/训练扩写</x:v>
      </x:c>
      <x:c r="J132" s="56" t="str"/>
      <x:c r="K132" s="59" t="str">
        <x:v>待专家确认</x:v>
      </x:c>
    </x:row>
    <x:row r="133">
      <x:c r="A133" s="56" t="str">
        <x:v>P033</x:v>
      </x:c>
      <x:c r="B133" s="56" t="str">
        <x:v>HX-ADD-021</x:v>
      </x:c>
      <x:c r="C133" s="56" t="str">
        <x:v>薄基底膜肾病/家族性良性血尿</x:v>
      </x:c>
      <x:c r="D133" s="56" t="str">
        <x:v>薄基底膜肾病/家族性良性血尿</x:v>
      </x:c>
      <x:c r="E133" s="56" t="str">
        <x:v>IgA肾病</x:v>
      </x:c>
      <x:c r="F133" s="56" t="str">
        <x:v>待专家填写</x:v>
      </x:c>
      <x:c r="G133" s="56" t="str">
        <x:v>待专家填写</x:v>
      </x:c>
      <x:c r="H133" s="56" t="str">
        <x:v>待专家确认</x:v>
      </x:c>
      <x:c r="I133" s="56" t="str">
        <x:v>原始病例/训练扩写</x:v>
      </x:c>
      <x:c r="J133" s="56" t="str"/>
      <x:c r="K133" s="59" t="str">
        <x:v>待专家确认</x:v>
      </x:c>
    </x:row>
    <x:row r="134">
      <x:c r="A134" s="56" t="str">
        <x:v>P033</x:v>
      </x:c>
      <x:c r="B134" s="56" t="str">
        <x:v>HX-ADD-021</x:v>
      </x:c>
      <x:c r="C134" s="56" t="str">
        <x:v>薄基底膜肾病/家族性良性血尿</x:v>
      </x:c>
      <x:c r="D134" s="56" t="str">
        <x:v>薄基底膜肾病/家族性良性血尿</x:v>
      </x:c>
      <x:c r="E134" s="56" t="str">
        <x:v>泌尿系结石</x:v>
      </x:c>
      <x:c r="F134" s="56" t="str">
        <x:v>待专家填写</x:v>
      </x:c>
      <x:c r="G134" s="56" t="str">
        <x:v>待专家填写</x:v>
      </x:c>
      <x:c r="H134" s="56" t="str">
        <x:v>待专家确认</x:v>
      </x:c>
      <x:c r="I134" s="56" t="str">
        <x:v>原始病例/训练扩写</x:v>
      </x:c>
      <x:c r="J134" s="56" t="str"/>
      <x:c r="K134" s="59" t="str">
        <x:v>待专家确认</x:v>
      </x:c>
    </x:row>
    <x:row r="135">
      <x:c r="A135" s="56" t="str">
        <x:v>P033</x:v>
      </x:c>
      <x:c r="B135" s="56" t="str">
        <x:v>HX-ADD-021</x:v>
      </x:c>
      <x:c r="C135" s="56" t="str">
        <x:v>薄基底膜肾病/家族性良性血尿</x:v>
      </x:c>
      <x:c r="D135" s="56" t="str">
        <x:v>薄基底膜肾病/家族性良性血尿</x:v>
      </x:c>
      <x:c r="E135" s="56" t="str">
        <x:v>高钙尿症</x:v>
      </x:c>
      <x:c r="F135" s="56" t="str">
        <x:v>待专家填写</x:v>
      </x:c>
      <x:c r="G135" s="56" t="str">
        <x:v>待专家填写</x:v>
      </x:c>
      <x:c r="H135" s="56" t="str">
        <x:v>待专家确认</x:v>
      </x:c>
      <x:c r="I135" s="56" t="str">
        <x:v>原始病例/训练扩写</x:v>
      </x:c>
      <x:c r="J135" s="56" t="str"/>
      <x:c r="K135" s="59" t="str">
        <x:v>待专家确认</x:v>
      </x:c>
    </x:row>
    <x:row r="136">
      <x:c r="A136" s="56" t="str">
        <x:v>P034</x:v>
      </x:c>
      <x:c r="B136" s="56" t="str">
        <x:v>HX-ADD-022</x:v>
      </x:c>
      <x:c r="C136" s="56" t="str">
        <x:v>Alport综合征</x:v>
      </x:c>
      <x:c r="D136" s="56" t="str">
        <x:v>Alport综合征</x:v>
      </x:c>
      <x:c r="E136" s="56" t="str">
        <x:v>薄基底膜肾病</x:v>
      </x:c>
      <x:c r="F136" s="56" t="str">
        <x:v>待专家填写</x:v>
      </x:c>
      <x:c r="G136" s="56" t="str">
        <x:v>待专家填写</x:v>
      </x:c>
      <x:c r="H136" s="56" t="str">
        <x:v>待专家确认</x:v>
      </x:c>
      <x:c r="I136" s="56" t="str">
        <x:v>原始病例/训练扩写</x:v>
      </x:c>
      <x:c r="J136" s="56" t="str"/>
      <x:c r="K136" s="59" t="str">
        <x:v>待专家确认</x:v>
      </x:c>
    </x:row>
    <x:row r="137">
      <x:c r="A137" s="56" t="str">
        <x:v>P034</x:v>
      </x:c>
      <x:c r="B137" s="56" t="str">
        <x:v>HX-ADD-022</x:v>
      </x:c>
      <x:c r="C137" s="56" t="str">
        <x:v>Alport综合征</x:v>
      </x:c>
      <x:c r="D137" s="56" t="str">
        <x:v>Alport综合征</x:v>
      </x:c>
      <x:c r="E137" s="56" t="str">
        <x:v>IgA肾病</x:v>
      </x:c>
      <x:c r="F137" s="56" t="str">
        <x:v>待专家填写</x:v>
      </x:c>
      <x:c r="G137" s="56" t="str">
        <x:v>待专家填写</x:v>
      </x:c>
      <x:c r="H137" s="56" t="str">
        <x:v>待专家确认</x:v>
      </x:c>
      <x:c r="I137" s="56" t="str">
        <x:v>原始病例/训练扩写</x:v>
      </x:c>
      <x:c r="J137" s="56" t="str"/>
      <x:c r="K137" s="59" t="str">
        <x:v>待专家确认</x:v>
      </x:c>
    </x:row>
    <x:row r="138">
      <x:c r="A138" s="56" t="str">
        <x:v>P034</x:v>
      </x:c>
      <x:c r="B138" s="56" t="str">
        <x:v>HX-ADD-022</x:v>
      </x:c>
      <x:c r="C138" s="56" t="str">
        <x:v>Alport综合征</x:v>
      </x:c>
      <x:c r="D138" s="56" t="str">
        <x:v>Alport综合征</x:v>
      </x:c>
      <x:c r="E138" s="56" t="str">
        <x:v>遗传性耳聋伴非肾性血尿</x:v>
      </x:c>
      <x:c r="F138" s="56" t="str">
        <x:v>待专家填写</x:v>
      </x:c>
      <x:c r="G138" s="56" t="str">
        <x:v>待专家填写</x:v>
      </x:c>
      <x:c r="H138" s="56" t="str">
        <x:v>待专家确认</x:v>
      </x:c>
      <x:c r="I138" s="56" t="str">
        <x:v>原始病例/训练扩写</x:v>
      </x:c>
      <x:c r="J138" s="56" t="str"/>
      <x:c r="K138" s="59" t="str">
        <x:v>待专家确认</x:v>
      </x:c>
    </x:row>
    <x:row r="139">
      <x:c r="A139" s="56" t="str">
        <x:v>P034</x:v>
      </x:c>
      <x:c r="B139" s="56" t="str">
        <x:v>HX-ADD-022</x:v>
      </x:c>
      <x:c r="C139" s="56" t="str">
        <x:v>Alport综合征</x:v>
      </x:c>
      <x:c r="D139" s="56" t="str">
        <x:v>Alport综合征</x:v>
      </x:c>
      <x:c r="E139" s="56" t="str">
        <x:v>其他遗传性肾病</x:v>
      </x:c>
      <x:c r="F139" s="56" t="str">
        <x:v>待专家填写</x:v>
      </x:c>
      <x:c r="G139" s="56" t="str">
        <x:v>待专家填写</x:v>
      </x:c>
      <x:c r="H139" s="56" t="str">
        <x:v>待专家确认</x:v>
      </x:c>
      <x:c r="I139" s="56" t="str">
        <x:v>原始病例/训练扩写</x:v>
      </x:c>
      <x:c r="J139" s="56" t="str"/>
      <x:c r="K139" s="59" t="str">
        <x:v>待专家确认</x:v>
      </x:c>
    </x:row>
    <x:row r="140">
      <x:c r="A140" s="56" t="str">
        <x:v>P035</x:v>
      </x:c>
      <x:c r="B140" s="56" t="str">
        <x:v>HX-ADD-023</x:v>
      </x:c>
      <x:c r="C140" s="56" t="str">
        <x:v>狼疮性肾炎</x:v>
      </x:c>
      <x:c r="D140" s="56" t="str">
        <x:v>狼疮性肾炎</x:v>
      </x:c>
      <x:c r="E140" s="56" t="str">
        <x:v>IgA肾病</x:v>
      </x:c>
      <x:c r="F140" s="56" t="str">
        <x:v>待专家填写</x:v>
      </x:c>
      <x:c r="G140" s="56" t="str">
        <x:v>待专家填写</x:v>
      </x:c>
      <x:c r="H140" s="56" t="str">
        <x:v>待专家确认</x:v>
      </x:c>
      <x:c r="I140" s="56" t="str">
        <x:v>原始病例/训练扩写</x:v>
      </x:c>
      <x:c r="J140" s="56" t="str"/>
      <x:c r="K140" s="59" t="str">
        <x:v>待专家确认</x:v>
      </x:c>
    </x:row>
    <x:row r="141">
      <x:c r="A141" s="56" t="str">
        <x:v>P035</x:v>
      </x:c>
      <x:c r="B141" s="56" t="str">
        <x:v>HX-ADD-023</x:v>
      </x:c>
      <x:c r="C141" s="56" t="str">
        <x:v>狼疮性肾炎</x:v>
      </x:c>
      <x:c r="D141" s="56" t="str">
        <x:v>狼疮性肾炎</x:v>
      </x:c>
      <x:c r="E141" s="56" t="str">
        <x:v>ANCA相关性血管炎</x:v>
      </x:c>
      <x:c r="F141" s="56" t="str">
        <x:v>待专家填写</x:v>
      </x:c>
      <x:c r="G141" s="56" t="str">
        <x:v>待专家填写</x:v>
      </x:c>
      <x:c r="H141" s="56" t="str">
        <x:v>待专家确认</x:v>
      </x:c>
      <x:c r="I141" s="56" t="str">
        <x:v>原始病例/训练扩写</x:v>
      </x:c>
      <x:c r="J141" s="56" t="str"/>
      <x:c r="K141" s="59" t="str">
        <x:v>待专家确认</x:v>
      </x:c>
    </x:row>
    <x:row r="142">
      <x:c r="A142" s="56" t="str">
        <x:v>P035</x:v>
      </x:c>
      <x:c r="B142" s="56" t="str">
        <x:v>HX-ADD-023</x:v>
      </x:c>
      <x:c r="C142" s="56" t="str">
        <x:v>狼疮性肾炎</x:v>
      </x:c>
      <x:c r="D142" s="56" t="str">
        <x:v>狼疮性肾炎</x:v>
      </x:c>
      <x:c r="E142" s="56" t="str">
        <x:v>感染后肾小球肾炎</x:v>
      </x:c>
      <x:c r="F142" s="56" t="str">
        <x:v>待专家填写</x:v>
      </x:c>
      <x:c r="G142" s="56" t="str">
        <x:v>待专家填写</x:v>
      </x:c>
      <x:c r="H142" s="56" t="str">
        <x:v>待专家确认</x:v>
      </x:c>
      <x:c r="I142" s="56" t="str">
        <x:v>原始病例/训练扩写</x:v>
      </x:c>
      <x:c r="J142" s="56" t="str"/>
      <x:c r="K142" s="59" t="str">
        <x:v>待专家确认</x:v>
      </x:c>
    </x:row>
    <x:row r="143">
      <x:c r="A143" s="56" t="str">
        <x:v>P035</x:v>
      </x:c>
      <x:c r="B143" s="56" t="str">
        <x:v>HX-ADD-023</x:v>
      </x:c>
      <x:c r="C143" s="56" t="str">
        <x:v>狼疮性肾炎</x:v>
      </x:c>
      <x:c r="D143" s="56" t="str">
        <x:v>狼疮性肾炎</x:v>
      </x:c>
      <x:c r="E143" s="56" t="str">
        <x:v>抗GBM病</x:v>
      </x:c>
      <x:c r="F143" s="56" t="str">
        <x:v>待专家填写</x:v>
      </x:c>
      <x:c r="G143" s="56" t="str">
        <x:v>待专家填写</x:v>
      </x:c>
      <x:c r="H143" s="56" t="str">
        <x:v>待专家确认</x:v>
      </x:c>
      <x:c r="I143" s="56" t="str">
        <x:v>原始病例/训练扩写</x:v>
      </x:c>
      <x:c r="J143" s="56" t="str"/>
      <x:c r="K143" s="59" t="str">
        <x:v>待专家确认</x:v>
      </x:c>
    </x:row>
    <x:row r="144">
      <x:c r="A144" s="56" t="str">
        <x:v>P036</x:v>
      </x:c>
      <x:c r="B144" s="56" t="str">
        <x:v>HX-ADD-024</x:v>
      </x:c>
      <x:c r="C144" s="56" t="str">
        <x:v>运动性血尿</x:v>
      </x:c>
      <x:c r="D144" s="56" t="str">
        <x:v>运动性血尿</x:v>
      </x:c>
      <x:c r="E144" s="56" t="str">
        <x:v>IgA肾病</x:v>
      </x:c>
      <x:c r="F144" s="56" t="str">
        <x:v>待专家填写</x:v>
      </x:c>
      <x:c r="G144" s="56" t="str">
        <x:v>待专家填写</x:v>
      </x:c>
      <x:c r="H144" s="56" t="str">
        <x:v>待专家确认</x:v>
      </x:c>
      <x:c r="I144" s="56" t="str">
        <x:v>原始病例/训练扩写</x:v>
      </x:c>
      <x:c r="J144" s="56" t="str"/>
      <x:c r="K144" s="59" t="str">
        <x:v>待专家确认</x:v>
      </x:c>
    </x:row>
    <x:row r="145">
      <x:c r="A145" s="56" t="str">
        <x:v>P036</x:v>
      </x:c>
      <x:c r="B145" s="56" t="str">
        <x:v>HX-ADD-024</x:v>
      </x:c>
      <x:c r="C145" s="56" t="str">
        <x:v>运动性血尿</x:v>
      </x:c>
      <x:c r="D145" s="56" t="str">
        <x:v>运动性血尿</x:v>
      </x:c>
      <x:c r="E145" s="56" t="str">
        <x:v>泌尿系结石</x:v>
      </x:c>
      <x:c r="F145" s="56" t="str">
        <x:v>待专家填写</x:v>
      </x:c>
      <x:c r="G145" s="56" t="str">
        <x:v>待专家填写</x:v>
      </x:c>
      <x:c r="H145" s="56" t="str">
        <x:v>待专家确认</x:v>
      </x:c>
      <x:c r="I145" s="56" t="str">
        <x:v>原始病例/训练扩写</x:v>
      </x:c>
      <x:c r="J145" s="56" t="str"/>
      <x:c r="K145" s="59" t="str">
        <x:v>待专家确认</x:v>
      </x:c>
    </x:row>
    <x:row r="146">
      <x:c r="A146" s="56" t="str">
        <x:v>P036</x:v>
      </x:c>
      <x:c r="B146" s="56" t="str">
        <x:v>HX-ADD-024</x:v>
      </x:c>
      <x:c r="C146" s="56" t="str">
        <x:v>运动性血尿</x:v>
      </x:c>
      <x:c r="D146" s="56" t="str">
        <x:v>运动性血尿</x:v>
      </x:c>
      <x:c r="E146" s="56" t="str">
        <x:v>横纹肌溶解所致色素尿</x:v>
      </x:c>
      <x:c r="F146" s="56" t="str">
        <x:v>待专家填写</x:v>
      </x:c>
      <x:c r="G146" s="56" t="str">
        <x:v>待专家填写</x:v>
      </x:c>
      <x:c r="H146" s="56" t="str">
        <x:v>待专家确认</x:v>
      </x:c>
      <x:c r="I146" s="56" t="str">
        <x:v>原始病例/训练扩写</x:v>
      </x:c>
      <x:c r="J146" s="56" t="str"/>
      <x:c r="K146" s="59" t="str">
        <x:v>待专家确认</x:v>
      </x:c>
    </x:row>
    <x:row r="147">
      <x:c r="A147" s="56" t="str">
        <x:v>P036</x:v>
      </x:c>
      <x:c r="B147" s="56" t="str">
        <x:v>HX-ADD-024</x:v>
      </x:c>
      <x:c r="C147" s="56" t="str">
        <x:v>运动性血尿</x:v>
      </x:c>
      <x:c r="D147" s="56" t="str">
        <x:v>运动性血尿</x:v>
      </x:c>
      <x:c r="E147" s="56" t="str">
        <x:v>泌尿系外伤</x:v>
      </x:c>
      <x:c r="F147" s="56" t="str">
        <x:v>待专家填写</x:v>
      </x:c>
      <x:c r="G147" s="56" t="str">
        <x:v>待专家填写</x:v>
      </x:c>
      <x:c r="H147" s="56" t="str">
        <x:v>待专家确认</x:v>
      </x:c>
      <x:c r="I147" s="56" t="str">
        <x:v>原始病例/训练扩写</x:v>
      </x:c>
      <x:c r="J147" s="56" t="str"/>
      <x:c r="K147" s="59" t="str">
        <x:v>待专家确认</x:v>
      </x:c>
    </x:row>
    <x:row r="148">
      <x:c r="A148" s="56" t="str">
        <x:v>P037</x:v>
      </x:c>
      <x:c r="B148" s="56" t="str">
        <x:v>HX-ADD-025</x:v>
      </x:c>
      <x:c r="C148" s="56" t="str">
        <x:v>月经污染/妇科来源假性血尿</x:v>
      </x:c>
      <x:c r="D148" s="56" t="str">
        <x:v>月经污染/妇科来源假性血尿</x:v>
      </x:c>
      <x:c r="E148" s="56" t="str">
        <x:v>真性镜下血尿</x:v>
      </x:c>
      <x:c r="F148" s="56" t="str">
        <x:v>待专家填写</x:v>
      </x:c>
      <x:c r="G148" s="56" t="str">
        <x:v>待专家填写</x:v>
      </x:c>
      <x:c r="H148" s="56" t="str">
        <x:v>待专家确认</x:v>
      </x:c>
      <x:c r="I148" s="56" t="str">
        <x:v>原始病例/训练扩写</x:v>
      </x:c>
      <x:c r="J148" s="56" t="str"/>
      <x:c r="K148" s="59" t="str">
        <x:v>待专家确认</x:v>
      </x:c>
    </x:row>
    <x:row r="149">
      <x:c r="A149" s="56" t="str">
        <x:v>P037</x:v>
      </x:c>
      <x:c r="B149" s="56" t="str">
        <x:v>HX-ADD-025</x:v>
      </x:c>
      <x:c r="C149" s="56" t="str">
        <x:v>月经污染/妇科来源假性血尿</x:v>
      </x:c>
      <x:c r="D149" s="56" t="str">
        <x:v>月经污染/妇科来源假性血尿</x:v>
      </x:c>
      <x:c r="E149" s="56" t="str">
        <x:v>阴道或宫颈出血</x:v>
      </x:c>
      <x:c r="F149" s="56" t="str">
        <x:v>待专家填写</x:v>
      </x:c>
      <x:c r="G149" s="56" t="str">
        <x:v>待专家填写</x:v>
      </x:c>
      <x:c r="H149" s="56" t="str">
        <x:v>待专家确认</x:v>
      </x:c>
      <x:c r="I149" s="56" t="str">
        <x:v>原始病例/训练扩写</x:v>
      </x:c>
      <x:c r="J149" s="56" t="str"/>
      <x:c r="K149" s="59" t="str">
        <x:v>待专家确认</x:v>
      </x:c>
    </x:row>
    <x:row r="150">
      <x:c r="A150" s="56" t="str">
        <x:v>P037</x:v>
      </x:c>
      <x:c r="B150" s="56" t="str">
        <x:v>HX-ADD-025</x:v>
      </x:c>
      <x:c r="C150" s="56" t="str">
        <x:v>月经污染/妇科来源假性血尿</x:v>
      </x:c>
      <x:c r="D150" s="56" t="str">
        <x:v>月经污染/妇科来源假性血尿</x:v>
      </x:c>
      <x:c r="E150" s="56" t="str">
        <x:v>色素尿</x:v>
      </x:c>
      <x:c r="F150" s="56" t="str">
        <x:v>待专家填写</x:v>
      </x:c>
      <x:c r="G150" s="56" t="str">
        <x:v>待专家填写</x:v>
      </x:c>
      <x:c r="H150" s="56" t="str">
        <x:v>待专家确认</x:v>
      </x:c>
      <x:c r="I150" s="56" t="str">
        <x:v>原始病例/训练扩写</x:v>
      </x:c>
      <x:c r="J150" s="56" t="str"/>
      <x:c r="K150" s="59" t="str">
        <x:v>待专家确认</x:v>
      </x:c>
    </x:row>
    <x:row r="151">
      <x:c r="A151" s="56" t="str">
        <x:v>P037</x:v>
      </x:c>
      <x:c r="B151" s="56" t="str">
        <x:v>HX-ADD-025</x:v>
      </x:c>
      <x:c r="C151" s="56" t="str">
        <x:v>月经污染/妇科来源假性血尿</x:v>
      </x:c>
      <x:c r="D151" s="56" t="str">
        <x:v>月经污染/妇科来源假性血尿</x:v>
      </x:c>
      <x:c r="E151" s="56" t="str">
        <x:v>尿路感染</x:v>
      </x:c>
      <x:c r="F151" s="56" t="str">
        <x:v>待专家填写</x:v>
      </x:c>
      <x:c r="G151" s="56" t="str">
        <x:v>待专家填写</x:v>
      </x:c>
      <x:c r="H151" s="56" t="str">
        <x:v>待专家确认</x:v>
      </x:c>
      <x:c r="I151" s="56" t="str">
        <x:v>原始病例/训练扩写</x:v>
      </x:c>
      <x:c r="J151" s="56" t="str"/>
      <x:c r="K151" s="59" t="str">
        <x:v>待专家确认</x:v>
      </x:c>
    </x:row>
    <x:row r="152">
      <x:c r="A152" s="56" t="str">
        <x:v>P038</x:v>
      </x:c>
      <x:c r="B152" s="56" t="str">
        <x:v>HX-ADD-026</x:v>
      </x:c>
      <x:c r="C152" s="56" t="str">
        <x:v>肾挫伤/泌尿系外伤</x:v>
      </x:c>
      <x:c r="D152" s="56" t="str">
        <x:v>肾挫伤/泌尿系外伤</x:v>
      </x:c>
      <x:c r="E152" s="56" t="str">
        <x:v>肾裂伤</x:v>
      </x:c>
      <x:c r="F152" s="56" t="str">
        <x:v>待专家填写</x:v>
      </x:c>
      <x:c r="G152" s="56" t="str">
        <x:v>待专家填写</x:v>
      </x:c>
      <x:c r="H152" s="56" t="str">
        <x:v>待专家确认</x:v>
      </x:c>
      <x:c r="I152" s="56" t="str">
        <x:v>原始病例/训练扩写</x:v>
      </x:c>
      <x:c r="J152" s="56" t="str"/>
      <x:c r="K152" s="59" t="str">
        <x:v>待专家确认</x:v>
      </x:c>
    </x:row>
    <x:row r="153">
      <x:c r="A153" s="56" t="str">
        <x:v>P038</x:v>
      </x:c>
      <x:c r="B153" s="56" t="str">
        <x:v>HX-ADD-026</x:v>
      </x:c>
      <x:c r="C153" s="56" t="str">
        <x:v>肾挫伤/泌尿系外伤</x:v>
      </x:c>
      <x:c r="D153" s="56" t="str">
        <x:v>肾挫伤/泌尿系外伤</x:v>
      </x:c>
      <x:c r="E153" s="56" t="str">
        <x:v>肾血管损伤</x:v>
      </x:c>
      <x:c r="F153" s="56" t="str">
        <x:v>待专家填写</x:v>
      </x:c>
      <x:c r="G153" s="56" t="str">
        <x:v>待专家填写</x:v>
      </x:c>
      <x:c r="H153" s="56" t="str">
        <x:v>待专家确认</x:v>
      </x:c>
      <x:c r="I153" s="56" t="str">
        <x:v>原始病例/训练扩写</x:v>
      </x:c>
      <x:c r="J153" s="56" t="str"/>
      <x:c r="K153" s="59" t="str">
        <x:v>待专家确认</x:v>
      </x:c>
    </x:row>
    <x:row r="154">
      <x:c r="A154" s="56" t="str">
        <x:v>P038</x:v>
      </x:c>
      <x:c r="B154" s="56" t="str">
        <x:v>HX-ADD-026</x:v>
      </x:c>
      <x:c r="C154" s="56" t="str">
        <x:v>肾挫伤/泌尿系外伤</x:v>
      </x:c>
      <x:c r="D154" s="56" t="str">
        <x:v>肾挫伤/泌尿系外伤</x:v>
      </x:c>
      <x:c r="E154" s="56" t="str">
        <x:v>膀胱破裂</x:v>
      </x:c>
      <x:c r="F154" s="56" t="str">
        <x:v>待专家填写</x:v>
      </x:c>
      <x:c r="G154" s="56" t="str">
        <x:v>待专家填写</x:v>
      </x:c>
      <x:c r="H154" s="56" t="str">
        <x:v>待专家确认</x:v>
      </x:c>
      <x:c r="I154" s="56" t="str">
        <x:v>原始病例/训练扩写</x:v>
      </x:c>
      <x:c r="J154" s="56" t="str"/>
      <x:c r="K154" s="59" t="str">
        <x:v>待专家确认</x:v>
      </x:c>
    </x:row>
    <x:row r="155">
      <x:c r="A155" s="56" t="str">
        <x:v>P038</x:v>
      </x:c>
      <x:c r="B155" s="56" t="str">
        <x:v>HX-ADD-026</x:v>
      </x:c>
      <x:c r="C155" s="56" t="str">
        <x:v>肾挫伤/泌尿系外伤</x:v>
      </x:c>
      <x:c r="D155" s="56" t="str">
        <x:v>肾挫伤/泌尿系外伤</x:v>
      </x:c>
      <x:c r="E155" s="56" t="str">
        <x:v>尿道损伤</x:v>
      </x:c>
      <x:c r="F155" s="56" t="str">
        <x:v>待专家填写</x:v>
      </x:c>
      <x:c r="G155" s="56" t="str">
        <x:v>待专家填写</x:v>
      </x:c>
      <x:c r="H155" s="56" t="str">
        <x:v>待专家确认</x:v>
      </x:c>
      <x:c r="I155" s="56" t="str">
        <x:v>原始病例/训练扩写</x:v>
      </x:c>
      <x:c r="J155" s="56" t="str"/>
      <x:c r="K155" s="59" t="str">
        <x:v>待专家确认</x:v>
      </x:c>
    </x:row>
    <x:row r="156">
      <x:c r="A156" s="56" t="str">
        <x:v>P039</x:v>
      </x:c>
      <x:c r="B156" s="56" t="str">
        <x:v>HX-ADD-027</x:v>
      </x:c>
      <x:c r="C156" s="56" t="str">
        <x:v>肾乳头坏死</x:v>
      </x:c>
      <x:c r="D156" s="56" t="str">
        <x:v>肾乳头坏死</x:v>
      </x:c>
      <x:c r="E156" s="56" t="str">
        <x:v>泌尿系结石</x:v>
      </x:c>
      <x:c r="F156" s="56" t="str">
        <x:v>待专家填写</x:v>
      </x:c>
      <x:c r="G156" s="56" t="str">
        <x:v>待专家填写</x:v>
      </x:c>
      <x:c r="H156" s="56" t="str">
        <x:v>待专家确认</x:v>
      </x:c>
      <x:c r="I156" s="56" t="str">
        <x:v>原始病例/训练扩写</x:v>
      </x:c>
      <x:c r="J156" s="56" t="str"/>
      <x:c r="K156" s="59" t="str">
        <x:v>待专家确认</x:v>
      </x:c>
    </x:row>
    <x:row r="157">
      <x:c r="A157" s="56" t="str">
        <x:v>P039</x:v>
      </x:c>
      <x:c r="B157" s="56" t="str">
        <x:v>HX-ADD-027</x:v>
      </x:c>
      <x:c r="C157" s="56" t="str">
        <x:v>肾乳头坏死</x:v>
      </x:c>
      <x:c r="D157" s="56" t="str">
        <x:v>肾乳头坏死</x:v>
      </x:c>
      <x:c r="E157" s="56" t="str">
        <x:v>急性肾盂肾炎</x:v>
      </x:c>
      <x:c r="F157" s="56" t="str">
        <x:v>待专家填写</x:v>
      </x:c>
      <x:c r="G157" s="56" t="str">
        <x:v>待专家填写</x:v>
      </x:c>
      <x:c r="H157" s="56" t="str">
        <x:v>待专家确认</x:v>
      </x:c>
      <x:c r="I157" s="56" t="str">
        <x:v>原始病例/训练扩写</x:v>
      </x:c>
      <x:c r="J157" s="56" t="str"/>
      <x:c r="K157" s="59" t="str">
        <x:v>待专家确认</x:v>
      </x:c>
    </x:row>
    <x:row r="158">
      <x:c r="A158" s="56" t="str">
        <x:v>P039</x:v>
      </x:c>
      <x:c r="B158" s="56" t="str">
        <x:v>HX-ADD-027</x:v>
      </x:c>
      <x:c r="C158" s="56" t="str">
        <x:v>肾乳头坏死</x:v>
      </x:c>
      <x:c r="D158" s="56" t="str">
        <x:v>肾乳头坏死</x:v>
      </x:c>
      <x:c r="E158" s="56" t="str">
        <x:v>上尿路尿路上皮癌</x:v>
      </x:c>
      <x:c r="F158" s="56" t="str">
        <x:v>待专家填写</x:v>
      </x:c>
      <x:c r="G158" s="56" t="str">
        <x:v>待专家填写</x:v>
      </x:c>
      <x:c r="H158" s="56" t="str">
        <x:v>待专家确认</x:v>
      </x:c>
      <x:c r="I158" s="56" t="str">
        <x:v>原始病例/训练扩写</x:v>
      </x:c>
      <x:c r="J158" s="56" t="str"/>
      <x:c r="K158" s="59" t="str">
        <x:v>待专家确认</x:v>
      </x:c>
    </x:row>
    <x:row r="159">
      <x:c r="A159" s="56" t="str">
        <x:v>P039</x:v>
      </x:c>
      <x:c r="B159" s="56" t="str">
        <x:v>HX-ADD-027</x:v>
      </x:c>
      <x:c r="C159" s="56" t="str">
        <x:v>肾乳头坏死</x:v>
      </x:c>
      <x:c r="D159" s="56" t="str">
        <x:v>肾乳头坏死</x:v>
      </x:c>
      <x:c r="E159" s="56" t="str">
        <x:v>肾结核</x:v>
      </x:c>
      <x:c r="F159" s="56" t="str">
        <x:v>待专家填写</x:v>
      </x:c>
      <x:c r="G159" s="56" t="str">
        <x:v>待专家填写</x:v>
      </x:c>
      <x:c r="H159" s="56" t="str">
        <x:v>待专家确认</x:v>
      </x:c>
      <x:c r="I159" s="56" t="str">
        <x:v>原始病例/训练扩写</x:v>
      </x:c>
      <x:c r="J159" s="56" t="str"/>
      <x:c r="K159" s="59" t="str">
        <x:v>待专家确认</x:v>
      </x:c>
    </x:row>
    <x:row r="160">
      <x:c r="A160" s="56" t="str">
        <x:v>P040</x:v>
      </x:c>
      <x:c r="B160" s="56" t="str">
        <x:v>HX-ADD-028</x:v>
      </x:c>
      <x:c r="C160" s="56" t="str">
        <x:v>多囊肾囊肿出血</x:v>
      </x:c>
      <x:c r="D160" s="56" t="str">
        <x:v>多囊肾囊肿出血</x:v>
      </x:c>
      <x:c r="E160" s="56" t="str">
        <x:v>囊肿感染</x:v>
      </x:c>
      <x:c r="F160" s="56" t="str">
        <x:v>待专家填写</x:v>
      </x:c>
      <x:c r="G160" s="56" t="str">
        <x:v>待专家填写</x:v>
      </x:c>
      <x:c r="H160" s="56" t="str">
        <x:v>待专家确认</x:v>
      </x:c>
      <x:c r="I160" s="56" t="str">
        <x:v>原始病例/训练扩写</x:v>
      </x:c>
      <x:c r="J160" s="56" t="str"/>
      <x:c r="K160" s="59" t="str">
        <x:v>待专家确认</x:v>
      </x:c>
    </x:row>
    <x:row r="161">
      <x:c r="A161" s="56" t="str">
        <x:v>P040</x:v>
      </x:c>
      <x:c r="B161" s="56" t="str">
        <x:v>HX-ADD-028</x:v>
      </x:c>
      <x:c r="C161" s="56" t="str">
        <x:v>多囊肾囊肿出血</x:v>
      </x:c>
      <x:c r="D161" s="56" t="str">
        <x:v>多囊肾囊肿出血</x:v>
      </x:c>
      <x:c r="E161" s="56" t="str">
        <x:v>泌尿系结石</x:v>
      </x:c>
      <x:c r="F161" s="56" t="str">
        <x:v>待专家填写</x:v>
      </x:c>
      <x:c r="G161" s="56" t="str">
        <x:v>待专家填写</x:v>
      </x:c>
      <x:c r="H161" s="56" t="str">
        <x:v>待专家确认</x:v>
      </x:c>
      <x:c r="I161" s="56" t="str">
        <x:v>原始病例/训练扩写</x:v>
      </x:c>
      <x:c r="J161" s="56" t="str"/>
      <x:c r="K161" s="59" t="str">
        <x:v>待专家确认</x:v>
      </x:c>
    </x:row>
    <x:row r="162">
      <x:c r="A162" s="56" t="str">
        <x:v>P040</x:v>
      </x:c>
      <x:c r="B162" s="56" t="str">
        <x:v>HX-ADD-028</x:v>
      </x:c>
      <x:c r="C162" s="56" t="str">
        <x:v>多囊肾囊肿出血</x:v>
      </x:c>
      <x:c r="D162" s="56" t="str">
        <x:v>多囊肾囊肿出血</x:v>
      </x:c>
      <x:c r="E162" s="56" t="str">
        <x:v>肾细胞癌</x:v>
      </x:c>
      <x:c r="F162" s="56" t="str">
        <x:v>待专家填写</x:v>
      </x:c>
      <x:c r="G162" s="56" t="str">
        <x:v>待专家填写</x:v>
      </x:c>
      <x:c r="H162" s="56" t="str">
        <x:v>待专家确认</x:v>
      </x:c>
      <x:c r="I162" s="56" t="str">
        <x:v>原始病例/训练扩写</x:v>
      </x:c>
      <x:c r="J162" s="56" t="str"/>
      <x:c r="K162" s="59" t="str">
        <x:v>待专家确认</x:v>
      </x:c>
    </x:row>
    <x:row r="163">
      <x:c r="A163" s="56" t="str">
        <x:v>P040</x:v>
      </x:c>
      <x:c r="B163" s="56" t="str">
        <x:v>HX-ADD-028</x:v>
      </x:c>
      <x:c r="C163" s="56" t="str">
        <x:v>多囊肾囊肿出血</x:v>
      </x:c>
      <x:c r="D163" s="56" t="str">
        <x:v>多囊肾囊肿出血</x:v>
      </x:c>
      <x:c r="E163" s="56" t="str">
        <x:v>肾梗死</x:v>
      </x:c>
      <x:c r="F163" s="56" t="str">
        <x:v>待专家填写</x:v>
      </x:c>
      <x:c r="G163" s="56" t="str">
        <x:v>待专家填写</x:v>
      </x:c>
      <x:c r="H163" s="56" t="str">
        <x:v>待专家确认</x:v>
      </x:c>
      <x:c r="I163" s="56" t="str">
        <x:v>原始病例/训练扩写</x:v>
      </x:c>
      <x:c r="J163" s="56" t="str"/>
      <x:c r="K163" s="59" t="str">
        <x:v>待专家确认</x:v>
      </x:c>
    </x:row>
    <x:row r="164">
      <x:c r="A164" s="56" t="str">
        <x:v>P041</x:v>
      </x:c>
      <x:c r="B164" s="56" t="str">
        <x:v>HX-ADD-029</x:v>
      </x:c>
      <x:c r="C164" s="56" t="str">
        <x:v>胡桃夹综合征</x:v>
      </x:c>
      <x:c r="D164" s="56" t="str">
        <x:v>胡桃夹综合征</x:v>
      </x:c>
      <x:c r="E164" s="56" t="str">
        <x:v>IgA肾病</x:v>
      </x:c>
      <x:c r="F164" s="56" t="str">
        <x:v>待专家填写</x:v>
      </x:c>
      <x:c r="G164" s="56" t="str">
        <x:v>待专家填写</x:v>
      </x:c>
      <x:c r="H164" s="56" t="str">
        <x:v>待专家确认</x:v>
      </x:c>
      <x:c r="I164" s="56" t="str">
        <x:v>原始病例/训练扩写</x:v>
      </x:c>
      <x:c r="J164" s="56" t="str"/>
      <x:c r="K164" s="59" t="str">
        <x:v>待专家确认</x:v>
      </x:c>
    </x:row>
    <x:row r="165">
      <x:c r="A165" s="56" t="str">
        <x:v>P041</x:v>
      </x:c>
      <x:c r="B165" s="56" t="str">
        <x:v>HX-ADD-029</x:v>
      </x:c>
      <x:c r="C165" s="56" t="str">
        <x:v>胡桃夹综合征</x:v>
      </x:c>
      <x:c r="D165" s="56" t="str">
        <x:v>胡桃夹综合征</x:v>
      </x:c>
      <x:c r="E165" s="56" t="str">
        <x:v>泌尿系结石</x:v>
      </x:c>
      <x:c r="F165" s="56" t="str">
        <x:v>待专家填写</x:v>
      </x:c>
      <x:c r="G165" s="56" t="str">
        <x:v>待专家填写</x:v>
      </x:c>
      <x:c r="H165" s="56" t="str">
        <x:v>待专家确认</x:v>
      </x:c>
      <x:c r="I165" s="56" t="str">
        <x:v>原始病例/训练扩写</x:v>
      </x:c>
      <x:c r="J165" s="56" t="str"/>
      <x:c r="K165" s="59" t="str">
        <x:v>待专家确认</x:v>
      </x:c>
    </x:row>
    <x:row r="166">
      <x:c r="A166" s="56" t="str">
        <x:v>P041</x:v>
      </x:c>
      <x:c r="B166" s="56" t="str">
        <x:v>HX-ADD-029</x:v>
      </x:c>
      <x:c r="C166" s="56" t="str">
        <x:v>胡桃夹综合征</x:v>
      </x:c>
      <x:c r="D166" s="56" t="str">
        <x:v>胡桃夹综合征</x:v>
      </x:c>
      <x:c r="E166" s="56" t="str">
        <x:v>子宫内膜异位症</x:v>
      </x:c>
      <x:c r="F166" s="56" t="str">
        <x:v>待专家填写</x:v>
      </x:c>
      <x:c r="G166" s="56" t="str">
        <x:v>待专家填写</x:v>
      </x:c>
      <x:c r="H166" s="56" t="str">
        <x:v>待专家确认</x:v>
      </x:c>
      <x:c r="I166" s="56" t="str">
        <x:v>原始病例/训练扩写</x:v>
      </x:c>
      <x:c r="J166" s="56" t="str"/>
      <x:c r="K166" s="59" t="str">
        <x:v>待专家确认</x:v>
      </x:c>
    </x:row>
    <x:row r="167">
      <x:c r="A167" s="56" t="str">
        <x:v>P041</x:v>
      </x:c>
      <x:c r="B167" s="56" t="str">
        <x:v>HX-ADD-029</x:v>
      </x:c>
      <x:c r="C167" s="56" t="str">
        <x:v>胡桃夹综合征</x:v>
      </x:c>
      <x:c r="D167" s="56" t="str">
        <x:v>胡桃夹综合征</x:v>
      </x:c>
      <x:c r="E167" s="56" t="str">
        <x:v>左肾静脉血栓</x:v>
      </x:c>
      <x:c r="F167" s="56" t="str">
        <x:v>待专家填写</x:v>
      </x:c>
      <x:c r="G167" s="56" t="str">
        <x:v>待专家填写</x:v>
      </x:c>
      <x:c r="H167" s="56" t="str">
        <x:v>待专家确认</x:v>
      </x:c>
      <x:c r="I167" s="56" t="str">
        <x:v>原始病例/训练扩写</x:v>
      </x:c>
      <x:c r="J167" s="56" t="str"/>
      <x:c r="K167" s="59" t="str">
        <x:v>待专家确认</x:v>
      </x:c>
    </x:row>
    <x:row r="168">
      <x:c r="A168" s="56" t="str">
        <x:v>P042</x:v>
      </x:c>
      <x:c r="B168" s="56" t="str">
        <x:v>HX-ADD-030</x:v>
      </x:c>
      <x:c r="C168" s="56" t="str">
        <x:v>高危无症状镜下血尿需肿瘤筛查</x:v>
      </x:c>
      <x:c r="D168" s="56" t="str">
        <x:v>高危无症状镜下血尿，待风险分层和病因评估（非已确诊肿瘤）</x:v>
      </x:c>
      <x:c r="E168" s="56" t="str">
        <x:v>膀胱肿瘤</x:v>
      </x:c>
      <x:c r="F168" s="56" t="str">
        <x:v>待专家填写</x:v>
      </x:c>
      <x:c r="G168" s="56" t="str">
        <x:v>待专家填写</x:v>
      </x:c>
      <x:c r="H168" s="56" t="str">
        <x:v>待专家确认</x:v>
      </x:c>
      <x:c r="I168" s="56" t="str">
        <x:v>原始病例/训练扩写</x:v>
      </x:c>
      <x:c r="J168" s="56" t="str"/>
      <x:c r="K168" s="59" t="str">
        <x:v>待专家确认</x:v>
      </x:c>
    </x:row>
    <x:row r="169">
      <x:c r="A169" s="56" t="str">
        <x:v>P042</x:v>
      </x:c>
      <x:c r="B169" s="56" t="str">
        <x:v>HX-ADD-030</x:v>
      </x:c>
      <x:c r="C169" s="56" t="str">
        <x:v>高危无症状镜下血尿需肿瘤筛查</x:v>
      </x:c>
      <x:c r="D169" s="56" t="str">
        <x:v>高危无症状镜下血尿，待风险分层和病因评估（非已确诊肿瘤）</x:v>
      </x:c>
      <x:c r="E169" s="56" t="str">
        <x:v>上尿路尿路上皮癌</x:v>
      </x:c>
      <x:c r="F169" s="56" t="str">
        <x:v>待专家填写</x:v>
      </x:c>
      <x:c r="G169" s="56" t="str">
        <x:v>待专家填写</x:v>
      </x:c>
      <x:c r="H169" s="56" t="str">
        <x:v>待专家确认</x:v>
      </x:c>
      <x:c r="I169" s="56" t="str">
        <x:v>原始病例/训练扩写</x:v>
      </x:c>
      <x:c r="J169" s="56" t="str"/>
      <x:c r="K169" s="59" t="str">
        <x:v>待专家确认</x:v>
      </x:c>
    </x:row>
    <x:row r="170">
      <x:c r="A170" s="56" t="str">
        <x:v>P042</x:v>
      </x:c>
      <x:c r="B170" s="56" t="str">
        <x:v>HX-ADD-030</x:v>
      </x:c>
      <x:c r="C170" s="56" t="str">
        <x:v>高危无症状镜下血尿需肿瘤筛查</x:v>
      </x:c>
      <x:c r="D170" s="56" t="str">
        <x:v>高危无症状镜下血尿，待风险分层和病因评估（非已确诊肿瘤）</x:v>
      </x:c>
      <x:c r="E170" s="56" t="str">
        <x:v>肾小球性血尿</x:v>
      </x:c>
      <x:c r="F170" s="56" t="str">
        <x:v>待专家填写</x:v>
      </x:c>
      <x:c r="G170" s="56" t="str">
        <x:v>待专家填写</x:v>
      </x:c>
      <x:c r="H170" s="56" t="str">
        <x:v>待专家确认</x:v>
      </x:c>
      <x:c r="I170" s="56" t="str">
        <x:v>原始病例/训练扩写</x:v>
      </x:c>
      <x:c r="J170" s="56" t="str"/>
      <x:c r="K170" s="59" t="str">
        <x:v>待专家确认</x:v>
      </x:c>
    </x:row>
    <x:row r="171">
      <x:c r="A171" s="57" t="str">
        <x:v>P042</x:v>
      </x:c>
      <x:c r="B171" s="57" t="str">
        <x:v>HX-ADD-030</x:v>
      </x:c>
      <x:c r="C171" s="57" t="str">
        <x:v>高危无症状镜下血尿需肿瘤筛查</x:v>
      </x:c>
      <x:c r="D171" s="57" t="str">
        <x:v>高危无症状镜下血尿，待风险分层和病因评估（非已确诊肿瘤）</x:v>
      </x:c>
      <x:c r="E171" s="57" t="str">
        <x:v>泌尿系结石</x:v>
      </x:c>
      <x:c r="F171" s="57" t="str">
        <x:v>待专家填写</x:v>
      </x:c>
      <x:c r="G171" s="57" t="str">
        <x:v>待专家填写</x:v>
      </x:c>
      <x:c r="H171" s="57" t="str">
        <x:v>待专家确认</x:v>
      </x:c>
      <x:c r="I171" s="57" t="str">
        <x:v>原始病例/训练扩写</x:v>
      </x:c>
      <x:c r="J171" s="57" t="str"/>
      <x:c r="K171" s="60" t="str">
        <x:v>待专家确认</x:v>
      </x:c>
    </x:row>
  </x:sheetData>
  <x:mergeCells>
    <x:mergeCell ref="A1:K1"/>
  </x:mergeCells>
  <x:conditionalFormatting sqref="H4:K171">
    <x:cfRule type="containsText" dxfId="6" priority="1" operator="containsText" text="待"/>
    <x:cfRule type="containsText" dxfId="7" priority="2" operator="containsText" text="禁忌"/>
    <x:cfRule type="containsText" dxfId="8" priority="3" operator="containsText" text="重大"/>
    <x:cfRule type="containsText" dxfId="9" priority="4" operator="containsText" text="已复核"/>
  </x:conditionalFormatting>
  <x:dataValidations count="1">
    <x:dataValidation type="list" sqref="K4:K171">
      <x:formula1>"待专家确认,审核中,需修改,已复核"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de41670ce2c4e1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3.130000114440918" hidden="0" customWidth="1"/>
    <x:col min="3" max="3" width="23.75" hidden="0" customWidth="1"/>
    <x:col min="4" max="4" width="13.75" hidden="0" customWidth="1"/>
    <x:col min="5" max="5" width="14.380000114440918" hidden="0" customWidth="1"/>
    <x:col min="6" max="6" width="27.5" hidden="0" customWidth="1"/>
    <x:col min="7" max="7" width="26.25" hidden="0" customWidth="1"/>
    <x:col min="8" max="8" width="23.75" hidden="0" customWidth="1"/>
    <x:col min="9" max="9" width="11.25" hidden="0" customWidth="1"/>
    <x:col min="10" max="10" width="11.25" hidden="0" customWidth="1"/>
    <x:col min="11" max="11" width="13.130000114440918" hidden="0" customWidth="1"/>
    <x:col min="12" max="12" width="12.5" hidden="0" customWidth="1"/>
    <x:col min="13" max="13" width="15.630000114440918" hidden="0" customWidth="1"/>
    <x:col min="14" max="14" width="33.75" hidden="0" customWidth="1"/>
    <x:col min="15" max="15" width="21.25" hidden="0" customWidth="1"/>
    <x:col min="16" max="16" width="13.75" hidden="0" customWidth="1"/>
  </x:cols>
  <x:sheetData>
    <x:row r="1" ht="30" customHeight="1">
      <x:c r="A1" s="42" t="str">
        <x:v>检查项目审核</x:v>
      </x:c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  <x:c r="N1" s="42"/>
      <x:c r="O1" s="42"/>
      <x:c r="P1" s="42"/>
    </x:row>
    <x:row r="2">
      <x:c r="A2" t="str">
        <x:v>检查条目数</x:v>
      </x:c>
      <x:c r="B2" t="n">
        <x:f>COUNTA(A4:A214)</x:f>
        <x:v>211</x:v>
      </x:c>
    </x:row>
    <x:row r="3" ht="36" customHeight="1">
      <x:c r="A3" s="47" t="str">
        <x:v>caseId</x:v>
      </x:c>
      <x:c r="B3" s="47" t="str">
        <x:v>originalCaseId</x:v>
      </x:c>
      <x:c r="C3" s="47" t="str">
        <x:v>检查名称</x:v>
      </x:c>
      <x:c r="D3" s="47" t="str">
        <x:v>当前分类</x:v>
      </x:c>
      <x:c r="E3" s="47" t="str">
        <x:v>建议分类</x:v>
      </x:c>
      <x:c r="F3" s="47" t="str">
        <x:v>检查目的</x:v>
      </x:c>
      <x:c r="G3" s="47" t="str">
        <x:v>适应证</x:v>
      </x:c>
      <x:c r="H3" s="47" t="str">
        <x:v>前置条件</x:v>
      </x:c>
      <x:c r="I3" s="47" t="str">
        <x:v>是否必须</x:v>
      </x:c>
      <x:c r="J3" s="47" t="str">
        <x:v>是否条件性</x:v>
      </x:c>
      <x:c r="K3" s="47" t="str">
        <x:v>是否过度检查</x:v>
      </x:c>
      <x:c r="L3" s="47" t="str">
        <x:v>是否模板错配</x:v>
      </x:c>
      <x:c r="M3" s="47" t="str">
        <x:v>是否禁忌或不适用</x:v>
      </x:c>
      <x:c r="N3" s="47" t="str">
        <x:v>指南URL</x:v>
      </x:c>
      <x:c r="O3" s="47" t="str">
        <x:v>指南章节</x:v>
      </x:c>
      <x:c r="P3" s="47" t="str">
        <x:v>审核状态</x:v>
      </x:c>
    </x:row>
    <x:row r="4">
      <x:c r="A4" s="55" t="str">
        <x:v>P001</x:v>
      </x:c>
      <x:c r="B4" s="55" t="str">
        <x:v>P001</x:v>
      </x:c>
      <x:c r="C4" s="55" t="str">
        <x:v>尿常规</x:v>
      </x:c>
      <x:c r="D4" s="55" t="str">
        <x:v>必须</x:v>
      </x:c>
      <x:c r="E4" s="58" t="str">
        <x:v>必须</x:v>
      </x:c>
      <x:c r="F4" s="55" t="str">
        <x:v>无痛性全程肉眼血尿；膀胱癌分期；抗血小板药围术期管理；冠心病/糖尿病围术期风险；膀胱全切尿流改道</x:v>
      </x:c>
      <x:c r="G4" s="55" t="str">
        <x:v>无痛性全程肉眼血尿；膀胱癌分期；抗血小板药围术期管理；冠心病/糖尿病围术期风险；膀胱全切尿流改道</x:v>
      </x:c>
      <x:c r="H4" s="55" t="str">
        <x:v>按病例阶段与适应证</x:v>
      </x:c>
      <x:c r="I4" s="55" t="str">
        <x:v>是</x:v>
      </x:c>
      <x:c r="J4" s="55" t="str">
        <x:v>否</x:v>
      </x:c>
      <x:c r="K4" s="55" t="str">
        <x:v>待专家确认</x:v>
      </x:c>
      <x:c r="L4" s="55" t="str">
        <x:v>否</x:v>
      </x:c>
      <x:c r="M4" s="55" t="str">
        <x:v>否</x:v>
      </x:c>
      <x:c r="N4" s="55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4" s="55" t="str">
        <x:v>待专家核对</x:v>
      </x:c>
      <x:c r="P4" s="58" t="str">
        <x:v>待专家确认</x:v>
      </x:c>
    </x:row>
    <x:row r="5">
      <x:c r="A5" s="56" t="str">
        <x:v>P001</x:v>
      </x:c>
      <x:c r="B5" s="56" t="str">
        <x:v>P001</x:v>
      </x:c>
      <x:c r="C5" s="56" t="str">
        <x:v>尿沉渣镜检</x:v>
      </x:c>
      <x:c r="D5" s="56" t="str">
        <x:v>必须</x:v>
      </x:c>
      <x:c r="E5" s="59" t="str">
        <x:v>必须</x:v>
      </x:c>
      <x:c r="F5" s="56" t="str">
        <x:v>无痛性全程肉眼血尿；膀胱癌分期；抗血小板药围术期管理；冠心病/糖尿病围术期风险；膀胱全切尿流改道</x:v>
      </x:c>
      <x:c r="G5" s="56" t="str">
        <x:v>无痛性全程肉眼血尿；膀胱癌分期；抗血小板药围术期管理；冠心病/糖尿病围术期风险；膀胱全切尿流改道</x:v>
      </x:c>
      <x:c r="H5" s="56" t="str">
        <x:v>按病例阶段与适应证</x:v>
      </x:c>
      <x:c r="I5" s="56" t="str">
        <x:v>是</x:v>
      </x:c>
      <x:c r="J5" s="56" t="str">
        <x:v>否</x:v>
      </x:c>
      <x:c r="K5" s="56" t="str">
        <x:v>待专家确认</x:v>
      </x:c>
      <x:c r="L5" s="56" t="str">
        <x:v>否</x:v>
      </x:c>
      <x:c r="M5" s="56" t="str">
        <x:v>否</x:v>
      </x:c>
      <x:c r="N5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5" s="56" t="str">
        <x:v>待专家核对</x:v>
      </x:c>
      <x:c r="P5" s="59" t="str">
        <x:v>待专家确认</x:v>
      </x:c>
    </x:row>
    <x:row r="6">
      <x:c r="A6" s="56" t="str">
        <x:v>P001</x:v>
      </x:c>
      <x:c r="B6" s="56" t="str">
        <x:v>P001</x:v>
      </x:c>
      <x:c r="C6" s="56" t="str">
        <x:v>尿脱落细胞学</x:v>
      </x:c>
      <x:c r="D6" s="56" t="str">
        <x:v>条件性</x:v>
      </x:c>
      <x:c r="E6" s="59" t="str">
        <x:v>条件性</x:v>
      </x:c>
      <x:c r="F6" s="56" t="str">
        <x:v>无痛性全程肉眼血尿；膀胱癌分期；抗血小板药围术期管理；冠心病/糖尿病围术期风险；膀胱全切尿流改道</x:v>
      </x:c>
      <x:c r="G6" s="56" t="str">
        <x:v>无痛性全程肉眼血尿；膀胱癌分期；抗血小板药围术期管理；冠心病/糖尿病围术期风险；膀胱全切尿流改道</x:v>
      </x:c>
      <x:c r="H6" s="56" t="str">
        <x:v>按病例阶段与适应证</x:v>
      </x:c>
      <x:c r="I6" s="56" t="str">
        <x:v>否</x:v>
      </x:c>
      <x:c r="J6" s="56" t="str">
        <x:v>是</x:v>
      </x:c>
      <x:c r="K6" s="56" t="str">
        <x:v>待专家确认</x:v>
      </x:c>
      <x:c r="L6" s="56" t="str">
        <x:v>否</x:v>
      </x:c>
      <x:c r="M6" s="56" t="str">
        <x:v>否</x:v>
      </x:c>
      <x:c r="N6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6" s="56" t="str">
        <x:v>待专家核对</x:v>
      </x:c>
      <x:c r="P6" s="59" t="str">
        <x:v>待专家确认</x:v>
      </x:c>
    </x:row>
    <x:row r="7">
      <x:c r="A7" s="56" t="str">
        <x:v>P001</x:v>
      </x:c>
      <x:c r="B7" s="56" t="str">
        <x:v>P001</x:v>
      </x:c>
      <x:c r="C7" s="56" t="str">
        <x:v>肾功能/eGFR</x:v>
      </x:c>
      <x:c r="D7" s="56" t="str">
        <x:v>必须</x:v>
      </x:c>
      <x:c r="E7" s="59" t="str">
        <x:v>必须</x:v>
      </x:c>
      <x:c r="F7" s="56" t="str">
        <x:v>无痛性全程肉眼血尿；膀胱癌分期；抗血小板药围术期管理；冠心病/糖尿病围术期风险；膀胱全切尿流改道</x:v>
      </x:c>
      <x:c r="G7" s="56" t="str">
        <x:v>无痛性全程肉眼血尿；膀胱癌分期；抗血小板药围术期管理；冠心病/糖尿病围术期风险；膀胱全切尿流改道</x:v>
      </x:c>
      <x:c r="H7" s="56" t="str">
        <x:v>按病例阶段与适应证</x:v>
      </x:c>
      <x:c r="I7" s="56" t="str">
        <x:v>是</x:v>
      </x:c>
      <x:c r="J7" s="56" t="str">
        <x:v>否</x:v>
      </x:c>
      <x:c r="K7" s="56" t="str">
        <x:v>待专家确认</x:v>
      </x:c>
      <x:c r="L7" s="56" t="str">
        <x:v>否</x:v>
      </x:c>
      <x:c r="M7" s="56" t="str">
        <x:v>否</x:v>
      </x:c>
      <x:c r="N7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7" s="56" t="str">
        <x:v>待专家核对</x:v>
      </x:c>
      <x:c r="P7" s="59" t="str">
        <x:v>待专家确认</x:v>
      </x:c>
    </x:row>
    <x:row r="8">
      <x:c r="A8" s="56" t="str">
        <x:v>P001</x:v>
      </x:c>
      <x:c r="B8" s="56" t="str">
        <x:v>P001</x:v>
      </x:c>
      <x:c r="C8" s="56" t="str">
        <x:v>CTU评估上尿路</x:v>
      </x:c>
      <x:c r="D8" s="56" t="str">
        <x:v>条件性</x:v>
      </x:c>
      <x:c r="E8" s="59" t="str">
        <x:v>条件性</x:v>
      </x:c>
      <x:c r="F8" s="56" t="str">
        <x:v>无痛性全程肉眼血尿；膀胱癌分期；抗血小板药围术期管理；冠心病/糖尿病围术期风险；膀胱全切尿流改道</x:v>
      </x:c>
      <x:c r="G8" s="56" t="str">
        <x:v>无痛性全程肉眼血尿；膀胱癌分期；抗血小板药围术期管理；冠心病/糖尿病围术期风险；膀胱全切尿流改道</x:v>
      </x:c>
      <x:c r="H8" s="56" t="str">
        <x:v>按病例阶段与适应证</x:v>
      </x:c>
      <x:c r="I8" s="56" t="str">
        <x:v>否</x:v>
      </x:c>
      <x:c r="J8" s="56" t="str">
        <x:v>是</x:v>
      </x:c>
      <x:c r="K8" s="56" t="str">
        <x:v>待专家确认</x:v>
      </x:c>
      <x:c r="L8" s="56" t="str">
        <x:v>否</x:v>
      </x:c>
      <x:c r="M8" s="56" t="str">
        <x:v>否</x:v>
      </x:c>
      <x:c r="N8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8" s="56" t="str">
        <x:v>待专家核对</x:v>
      </x:c>
      <x:c r="P8" s="59" t="str">
        <x:v>待专家确认</x:v>
      </x:c>
    </x:row>
    <x:row r="9">
      <x:c r="A9" s="56" t="str">
        <x:v>P001</x:v>
      </x:c>
      <x:c r="B9" s="56" t="str">
        <x:v>P001</x:v>
      </x:c>
      <x:c r="C9" s="56" t="str">
        <x:v>膀胱镜</x:v>
      </x:c>
      <x:c r="D9" s="56" t="str">
        <x:v>条件性</x:v>
      </x:c>
      <x:c r="E9" s="59" t="str">
        <x:v>条件性</x:v>
      </x:c>
      <x:c r="F9" s="56" t="str">
        <x:v>无痛性全程肉眼血尿；膀胱癌分期；抗血小板药围术期管理；冠心病/糖尿病围术期风险；膀胱全切尿流改道</x:v>
      </x:c>
      <x:c r="G9" s="56" t="str">
        <x:v>无痛性全程肉眼血尿；膀胱癌分期；抗血小板药围术期管理；冠心病/糖尿病围术期风险；膀胱全切尿流改道</x:v>
      </x:c>
      <x:c r="H9" s="56" t="str">
        <x:v>按病例阶段与适应证</x:v>
      </x:c>
      <x:c r="I9" s="56" t="str">
        <x:v>否</x:v>
      </x:c>
      <x:c r="J9" s="56" t="str">
        <x:v>是</x:v>
      </x:c>
      <x:c r="K9" s="56" t="str">
        <x:v>待专家确认</x:v>
      </x:c>
      <x:c r="L9" s="56" t="str">
        <x:v>否</x:v>
      </x:c>
      <x:c r="M9" s="56" t="str">
        <x:v>否</x:v>
      </x:c>
      <x:c r="N9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9" s="56" t="str">
        <x:v>待专家核对</x:v>
      </x:c>
      <x:c r="P9" s="59" t="str">
        <x:v>待专家确认</x:v>
      </x:c>
    </x:row>
    <x:row r="10">
      <x:c r="A10" s="56" t="str">
        <x:v>P002</x:v>
      </x:c>
      <x:c r="B10" s="56" t="str">
        <x:v>P002</x:v>
      </x:c>
      <x:c r="C10" s="56" t="str">
        <x:v>尿常规</x:v>
      </x:c>
      <x:c r="D10" s="56" t="str">
        <x:v>必须</x:v>
      </x:c>
      <x:c r="E10" s="59" t="str">
        <x:v>必须</x:v>
      </x:c>
      <x:c r="F10" s="56" t="str">
        <x:v>全程肉眼血尿伴腰痛；上尿路尿路上皮癌；机械瓣膜华法林抗凝；肾输尿管全长切除围术期风险</x:v>
      </x:c>
      <x:c r="G10" s="56" t="str">
        <x:v>全程肉眼血尿伴腰痛；上尿路尿路上皮癌；机械瓣膜华法林抗凝；肾输尿管全长切除围术期风险</x:v>
      </x:c>
      <x:c r="H10" s="56" t="str">
        <x:v>按病例阶段与适应证</x:v>
      </x:c>
      <x:c r="I10" s="56" t="str">
        <x:v>是</x:v>
      </x:c>
      <x:c r="J10" s="56" t="str">
        <x:v>否</x:v>
      </x:c>
      <x:c r="K10" s="56" t="str">
        <x:v>待专家确认</x:v>
      </x:c>
      <x:c r="L10" s="56" t="str">
        <x:v>否</x:v>
      </x:c>
      <x:c r="M10" s="56" t="str">
        <x:v>否</x:v>
      </x:c>
      <x:c r="N10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0" s="56" t="str">
        <x:v>待专家核对</x:v>
      </x:c>
      <x:c r="P10" s="59" t="str">
        <x:v>待专家确认</x:v>
      </x:c>
    </x:row>
    <x:row r="11">
      <x:c r="A11" s="56" t="str">
        <x:v>P002</x:v>
      </x:c>
      <x:c r="B11" s="56" t="str">
        <x:v>P002</x:v>
      </x:c>
      <x:c r="C11" s="56" t="str">
        <x:v>尿沉渣镜检</x:v>
      </x:c>
      <x:c r="D11" s="56" t="str">
        <x:v>必须</x:v>
      </x:c>
      <x:c r="E11" s="59" t="str">
        <x:v>必须</x:v>
      </x:c>
      <x:c r="F11" s="56" t="str">
        <x:v>全程肉眼血尿伴腰痛；上尿路尿路上皮癌；机械瓣膜华法林抗凝；肾输尿管全长切除围术期风险</x:v>
      </x:c>
      <x:c r="G11" s="56" t="str">
        <x:v>全程肉眼血尿伴腰痛；上尿路尿路上皮癌；机械瓣膜华法林抗凝；肾输尿管全长切除围术期风险</x:v>
      </x:c>
      <x:c r="H11" s="56" t="str">
        <x:v>按病例阶段与适应证</x:v>
      </x:c>
      <x:c r="I11" s="56" t="str">
        <x:v>是</x:v>
      </x:c>
      <x:c r="J11" s="56" t="str">
        <x:v>否</x:v>
      </x:c>
      <x:c r="K11" s="56" t="str">
        <x:v>待专家确认</x:v>
      </x:c>
      <x:c r="L11" s="56" t="str">
        <x:v>否</x:v>
      </x:c>
      <x:c r="M11" s="56" t="str">
        <x:v>否</x:v>
      </x:c>
      <x:c r="N11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1" s="56" t="str">
        <x:v>待专家核对</x:v>
      </x:c>
      <x:c r="P11" s="59" t="str">
        <x:v>待专家确认</x:v>
      </x:c>
    </x:row>
    <x:row r="12">
      <x:c r="A12" s="56" t="str">
        <x:v>P002</x:v>
      </x:c>
      <x:c r="B12" s="56" t="str">
        <x:v>P002</x:v>
      </x:c>
      <x:c r="C12" s="56" t="str">
        <x:v>尿脱落细胞学</x:v>
      </x:c>
      <x:c r="D12" s="56" t="str">
        <x:v>条件性</x:v>
      </x:c>
      <x:c r="E12" s="59" t="str">
        <x:v>条件性</x:v>
      </x:c>
      <x:c r="F12" s="56" t="str">
        <x:v>全程肉眼血尿伴腰痛；上尿路尿路上皮癌；机械瓣膜华法林抗凝；肾输尿管全长切除围术期风险</x:v>
      </x:c>
      <x:c r="G12" s="56" t="str">
        <x:v>全程肉眼血尿伴腰痛；上尿路尿路上皮癌；机械瓣膜华法林抗凝；肾输尿管全长切除围术期风险</x:v>
      </x:c>
      <x:c r="H12" s="56" t="str">
        <x:v>按病例阶段与适应证</x:v>
      </x:c>
      <x:c r="I12" s="56" t="str">
        <x:v>否</x:v>
      </x:c>
      <x:c r="J12" s="56" t="str">
        <x:v>是</x:v>
      </x:c>
      <x:c r="K12" s="56" t="str">
        <x:v>待专家确认</x:v>
      </x:c>
      <x:c r="L12" s="56" t="str">
        <x:v>否</x:v>
      </x:c>
      <x:c r="M12" s="56" t="str">
        <x:v>否</x:v>
      </x:c>
      <x:c r="N12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2" s="56" t="str">
        <x:v>待专家核对</x:v>
      </x:c>
      <x:c r="P12" s="59" t="str">
        <x:v>待专家确认</x:v>
      </x:c>
    </x:row>
    <x:row r="13">
      <x:c r="A13" s="56" t="str">
        <x:v>P002</x:v>
      </x:c>
      <x:c r="B13" s="56" t="str">
        <x:v>P002</x:v>
      </x:c>
      <x:c r="C13" s="56" t="str">
        <x:v>肾功能/eGFR</x:v>
      </x:c>
      <x:c r="D13" s="56" t="str">
        <x:v>必须</x:v>
      </x:c>
      <x:c r="E13" s="59" t="str">
        <x:v>必须</x:v>
      </x:c>
      <x:c r="F13" s="56" t="str">
        <x:v>全程肉眼血尿伴腰痛；上尿路尿路上皮癌；机械瓣膜华法林抗凝；肾输尿管全长切除围术期风险</x:v>
      </x:c>
      <x:c r="G13" s="56" t="str">
        <x:v>全程肉眼血尿伴腰痛；上尿路尿路上皮癌；机械瓣膜华法林抗凝；肾输尿管全长切除围术期风险</x:v>
      </x:c>
      <x:c r="H13" s="56" t="str">
        <x:v>按病例阶段与适应证</x:v>
      </x:c>
      <x:c r="I13" s="56" t="str">
        <x:v>是</x:v>
      </x:c>
      <x:c r="J13" s="56" t="str">
        <x:v>否</x:v>
      </x:c>
      <x:c r="K13" s="56" t="str">
        <x:v>待专家确认</x:v>
      </x:c>
      <x:c r="L13" s="56" t="str">
        <x:v>否</x:v>
      </x:c>
      <x:c r="M13" s="56" t="str">
        <x:v>否</x:v>
      </x:c>
      <x:c r="N13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3" s="56" t="str">
        <x:v>待专家核对</x:v>
      </x:c>
      <x:c r="P13" s="59" t="str">
        <x:v>待专家确认</x:v>
      </x:c>
    </x:row>
    <x:row r="14">
      <x:c r="A14" s="56" t="str">
        <x:v>P002</x:v>
      </x:c>
      <x:c r="B14" s="56" t="str">
        <x:v>P002</x:v>
      </x:c>
      <x:c r="C14" s="56" t="str">
        <x:v>CTU评估上尿路</x:v>
      </x:c>
      <x:c r="D14" s="56" t="str">
        <x:v>条件性</x:v>
      </x:c>
      <x:c r="E14" s="59" t="str">
        <x:v>条件性</x:v>
      </x:c>
      <x:c r="F14" s="56" t="str">
        <x:v>全程肉眼血尿伴腰痛；上尿路尿路上皮癌；机械瓣膜华法林抗凝；肾输尿管全长切除围术期风险</x:v>
      </x:c>
      <x:c r="G14" s="56" t="str">
        <x:v>全程肉眼血尿伴腰痛；上尿路尿路上皮癌；机械瓣膜华法林抗凝；肾输尿管全长切除围术期风险</x:v>
      </x:c>
      <x:c r="H14" s="56" t="str">
        <x:v>按病例阶段与适应证</x:v>
      </x:c>
      <x:c r="I14" s="56" t="str">
        <x:v>否</x:v>
      </x:c>
      <x:c r="J14" s="56" t="str">
        <x:v>是</x:v>
      </x:c>
      <x:c r="K14" s="56" t="str">
        <x:v>待专家确认</x:v>
      </x:c>
      <x:c r="L14" s="56" t="str">
        <x:v>否</x:v>
      </x:c>
      <x:c r="M14" s="56" t="str">
        <x:v>否</x:v>
      </x:c>
      <x:c r="N14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4" s="56" t="str">
        <x:v>待专家核对</x:v>
      </x:c>
      <x:c r="P14" s="59" t="str">
        <x:v>待专家确认</x:v>
      </x:c>
    </x:row>
    <x:row r="15">
      <x:c r="A15" s="56" t="str">
        <x:v>P002</x:v>
      </x:c>
      <x:c r="B15" s="56" t="str">
        <x:v>P002</x:v>
      </x:c>
      <x:c r="C15" s="56" t="str">
        <x:v>膀胱镜</x:v>
      </x:c>
      <x:c r="D15" s="56" t="str">
        <x:v>条件性</x:v>
      </x:c>
      <x:c r="E15" s="59" t="str">
        <x:v>条件性</x:v>
      </x:c>
      <x:c r="F15" s="56" t="str">
        <x:v>全程肉眼血尿伴腰痛；上尿路尿路上皮癌；机械瓣膜华法林抗凝；肾输尿管全长切除围术期风险</x:v>
      </x:c>
      <x:c r="G15" s="56" t="str">
        <x:v>全程肉眼血尿伴腰痛；上尿路尿路上皮癌；机械瓣膜华法林抗凝；肾输尿管全长切除围术期风险</x:v>
      </x:c>
      <x:c r="H15" s="56" t="str">
        <x:v>按病例阶段与适应证</x:v>
      </x:c>
      <x:c r="I15" s="56" t="str">
        <x:v>否</x:v>
      </x:c>
      <x:c r="J15" s="56" t="str">
        <x:v>是</x:v>
      </x:c>
      <x:c r="K15" s="56" t="str">
        <x:v>待专家确认</x:v>
      </x:c>
      <x:c r="L15" s="56" t="str">
        <x:v>否</x:v>
      </x:c>
      <x:c r="M15" s="56" t="str">
        <x:v>否</x:v>
      </x:c>
      <x:c r="N15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5" s="56" t="str">
        <x:v>待专家核对</x:v>
      </x:c>
      <x:c r="P15" s="59" t="str">
        <x:v>待专家确认</x:v>
      </x:c>
    </x:row>
    <x:row r="16">
      <x:c r="A16" s="56" t="str">
        <x:v>P003</x:v>
      </x:c>
      <x:c r="B16" s="56" t="str">
        <x:v>P003</x:v>
      </x:c>
      <x:c r="C16" s="56" t="str">
        <x:v>尿常规</x:v>
      </x:c>
      <x:c r="D16" s="56" t="str">
        <x:v>必须</x:v>
      </x:c>
      <x:c r="E16" s="59" t="str">
        <x:v>必须</x:v>
      </x:c>
      <x:c r="F16" s="56" t="str">
        <x:v>高龄吸烟者无痛性全程肉眼血尿；右肾盂癌；COPD和冠脉重度狭窄围术期评估；新辅助治疗可能</x:v>
      </x:c>
      <x:c r="G16" s="56" t="str">
        <x:v>高龄吸烟者无痛性全程肉眼血尿；右肾盂癌；COPD和冠脉重度狭窄围术期评估；新辅助治疗可能</x:v>
      </x:c>
      <x:c r="H16" s="56" t="str">
        <x:v>按病例阶段与适应证</x:v>
      </x:c>
      <x:c r="I16" s="56" t="str">
        <x:v>是</x:v>
      </x:c>
      <x:c r="J16" s="56" t="str">
        <x:v>否</x:v>
      </x:c>
      <x:c r="K16" s="56" t="str">
        <x:v>待专家确认</x:v>
      </x:c>
      <x:c r="L16" s="56" t="str">
        <x:v>否</x:v>
      </x:c>
      <x:c r="M16" s="56" t="str">
        <x:v>否</x:v>
      </x:c>
      <x:c r="N16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6" s="56" t="str">
        <x:v>待专家核对</x:v>
      </x:c>
      <x:c r="P16" s="59" t="str">
        <x:v>待专家确认</x:v>
      </x:c>
    </x:row>
    <x:row r="17">
      <x:c r="A17" s="56" t="str">
        <x:v>P003</x:v>
      </x:c>
      <x:c r="B17" s="56" t="str">
        <x:v>P003</x:v>
      </x:c>
      <x:c r="C17" s="56" t="str">
        <x:v>尿沉渣镜检</x:v>
      </x:c>
      <x:c r="D17" s="56" t="str">
        <x:v>必须</x:v>
      </x:c>
      <x:c r="E17" s="59" t="str">
        <x:v>必须</x:v>
      </x:c>
      <x:c r="F17" s="56" t="str">
        <x:v>高龄吸烟者无痛性全程肉眼血尿；右肾盂癌；COPD和冠脉重度狭窄围术期评估；新辅助治疗可能</x:v>
      </x:c>
      <x:c r="G17" s="56" t="str">
        <x:v>高龄吸烟者无痛性全程肉眼血尿；右肾盂癌；COPD和冠脉重度狭窄围术期评估；新辅助治疗可能</x:v>
      </x:c>
      <x:c r="H17" s="56" t="str">
        <x:v>按病例阶段与适应证</x:v>
      </x:c>
      <x:c r="I17" s="56" t="str">
        <x:v>是</x:v>
      </x:c>
      <x:c r="J17" s="56" t="str">
        <x:v>否</x:v>
      </x:c>
      <x:c r="K17" s="56" t="str">
        <x:v>待专家确认</x:v>
      </x:c>
      <x:c r="L17" s="56" t="str">
        <x:v>否</x:v>
      </x:c>
      <x:c r="M17" s="56" t="str">
        <x:v>否</x:v>
      </x:c>
      <x:c r="N17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7" s="56" t="str">
        <x:v>待专家核对</x:v>
      </x:c>
      <x:c r="P17" s="59" t="str">
        <x:v>待专家确认</x:v>
      </x:c>
    </x:row>
    <x:row r="18">
      <x:c r="A18" s="56" t="str">
        <x:v>P003</x:v>
      </x:c>
      <x:c r="B18" s="56" t="str">
        <x:v>P003</x:v>
      </x:c>
      <x:c r="C18" s="56" t="str">
        <x:v>尿脱落细胞学</x:v>
      </x:c>
      <x:c r="D18" s="56" t="str">
        <x:v>条件性</x:v>
      </x:c>
      <x:c r="E18" s="59" t="str">
        <x:v>条件性</x:v>
      </x:c>
      <x:c r="F18" s="56" t="str">
        <x:v>高龄吸烟者无痛性全程肉眼血尿；右肾盂癌；COPD和冠脉重度狭窄围术期评估；新辅助治疗可能</x:v>
      </x:c>
      <x:c r="G18" s="56" t="str">
        <x:v>高龄吸烟者无痛性全程肉眼血尿；右肾盂癌；COPD和冠脉重度狭窄围术期评估；新辅助治疗可能</x:v>
      </x:c>
      <x:c r="H18" s="56" t="str">
        <x:v>按病例阶段与适应证</x:v>
      </x:c>
      <x:c r="I18" s="56" t="str">
        <x:v>否</x:v>
      </x:c>
      <x:c r="J18" s="56" t="str">
        <x:v>是</x:v>
      </x:c>
      <x:c r="K18" s="56" t="str">
        <x:v>待专家确认</x:v>
      </x:c>
      <x:c r="L18" s="56" t="str">
        <x:v>否</x:v>
      </x:c>
      <x:c r="M18" s="56" t="str">
        <x:v>否</x:v>
      </x:c>
      <x:c r="N18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8" s="56" t="str">
        <x:v>待专家核对</x:v>
      </x:c>
      <x:c r="P18" s="59" t="str">
        <x:v>待专家确认</x:v>
      </x:c>
    </x:row>
    <x:row r="19">
      <x:c r="A19" s="56" t="str">
        <x:v>P003</x:v>
      </x:c>
      <x:c r="B19" s="56" t="str">
        <x:v>P003</x:v>
      </x:c>
      <x:c r="C19" s="56" t="str">
        <x:v>肾功能/eGFR</x:v>
      </x:c>
      <x:c r="D19" s="56" t="str">
        <x:v>必须</x:v>
      </x:c>
      <x:c r="E19" s="59" t="str">
        <x:v>必须</x:v>
      </x:c>
      <x:c r="F19" s="56" t="str">
        <x:v>高龄吸烟者无痛性全程肉眼血尿；右肾盂癌；COPD和冠脉重度狭窄围术期评估；新辅助治疗可能</x:v>
      </x:c>
      <x:c r="G19" s="56" t="str">
        <x:v>高龄吸烟者无痛性全程肉眼血尿；右肾盂癌；COPD和冠脉重度狭窄围术期评估；新辅助治疗可能</x:v>
      </x:c>
      <x:c r="H19" s="56" t="str">
        <x:v>按病例阶段与适应证</x:v>
      </x:c>
      <x:c r="I19" s="56" t="str">
        <x:v>是</x:v>
      </x:c>
      <x:c r="J19" s="56" t="str">
        <x:v>否</x:v>
      </x:c>
      <x:c r="K19" s="56" t="str">
        <x:v>待专家确认</x:v>
      </x:c>
      <x:c r="L19" s="56" t="str">
        <x:v>否</x:v>
      </x:c>
      <x:c r="M19" s="56" t="str">
        <x:v>否</x:v>
      </x:c>
      <x:c r="N19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9" s="56" t="str">
        <x:v>待专家核对</x:v>
      </x:c>
      <x:c r="P19" s="59" t="str">
        <x:v>待专家确认</x:v>
      </x:c>
    </x:row>
    <x:row r="20">
      <x:c r="A20" s="56" t="str">
        <x:v>P003</x:v>
      </x:c>
      <x:c r="B20" s="56" t="str">
        <x:v>P003</x:v>
      </x:c>
      <x:c r="C20" s="56" t="str">
        <x:v>CTU评估上尿路</x:v>
      </x:c>
      <x:c r="D20" s="56" t="str">
        <x:v>条件性</x:v>
      </x:c>
      <x:c r="E20" s="59" t="str">
        <x:v>条件性</x:v>
      </x:c>
      <x:c r="F20" s="56" t="str">
        <x:v>高龄吸烟者无痛性全程肉眼血尿；右肾盂癌；COPD和冠脉重度狭窄围术期评估；新辅助治疗可能</x:v>
      </x:c>
      <x:c r="G20" s="56" t="str">
        <x:v>高龄吸烟者无痛性全程肉眼血尿；右肾盂癌；COPD和冠脉重度狭窄围术期评估；新辅助治疗可能</x:v>
      </x:c>
      <x:c r="H20" s="56" t="str">
        <x:v>按病例阶段与适应证</x:v>
      </x:c>
      <x:c r="I20" s="56" t="str">
        <x:v>否</x:v>
      </x:c>
      <x:c r="J20" s="56" t="str">
        <x:v>是</x:v>
      </x:c>
      <x:c r="K20" s="56" t="str">
        <x:v>待专家确认</x:v>
      </x:c>
      <x:c r="L20" s="56" t="str">
        <x:v>否</x:v>
      </x:c>
      <x:c r="M20" s="56" t="str">
        <x:v>否</x:v>
      </x:c>
      <x:c r="N20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20" s="56" t="str">
        <x:v>待专家核对</x:v>
      </x:c>
      <x:c r="P20" s="59" t="str">
        <x:v>待专家确认</x:v>
      </x:c>
    </x:row>
    <x:row r="21">
      <x:c r="A21" s="56" t="str">
        <x:v>P003</x:v>
      </x:c>
      <x:c r="B21" s="56" t="str">
        <x:v>P003</x:v>
      </x:c>
      <x:c r="C21" s="56" t="str">
        <x:v>膀胱镜</x:v>
      </x:c>
      <x:c r="D21" s="56" t="str">
        <x:v>条件性</x:v>
      </x:c>
      <x:c r="E21" s="59" t="str">
        <x:v>条件性</x:v>
      </x:c>
      <x:c r="F21" s="56" t="str">
        <x:v>高龄吸烟者无痛性全程肉眼血尿；右肾盂癌；COPD和冠脉重度狭窄围术期评估；新辅助治疗可能</x:v>
      </x:c>
      <x:c r="G21" s="56" t="str">
        <x:v>高龄吸烟者无痛性全程肉眼血尿；右肾盂癌；COPD和冠脉重度狭窄围术期评估；新辅助治疗可能</x:v>
      </x:c>
      <x:c r="H21" s="56" t="str">
        <x:v>按病例阶段与适应证</x:v>
      </x:c>
      <x:c r="I21" s="56" t="str">
        <x:v>否</x:v>
      </x:c>
      <x:c r="J21" s="56" t="str">
        <x:v>是</x:v>
      </x:c>
      <x:c r="K21" s="56" t="str">
        <x:v>待专家确认</x:v>
      </x:c>
      <x:c r="L21" s="56" t="str">
        <x:v>否</x:v>
      </x:c>
      <x:c r="M21" s="56" t="str">
        <x:v>否</x:v>
      </x:c>
      <x:c r="N21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21" s="56" t="str">
        <x:v>待专家核对</x:v>
      </x:c>
      <x:c r="P21" s="59" t="str">
        <x:v>待专家确认</x:v>
      </x:c>
    </x:row>
    <x:row r="22">
      <x:c r="A22" s="56" t="str">
        <x:v>P004</x:v>
      </x:c>
      <x:c r="B22" s="56" t="str">
        <x:v>P004</x:v>
      </x:c>
      <x:c r="C22" s="56" t="str">
        <x:v>尿常规+尿沉渣镜检</x:v>
      </x:c>
      <x:c r="D22" s="56" t="str">
        <x:v>原表模板/现有规则</x:v>
      </x:c>
      <x:c r="E22" s="59" t="str">
        <x:v>必须</x:v>
      </x:c>
      <x:c r="F22" s="56" t="str">
        <x:v>确认真性血尿及蛋白尿/感染线索</x:v>
      </x:c>
      <x:c r="G22" s="56" t="str">
        <x:v>确认真性血尿及蛋白尿/感染线索</x:v>
      </x:c>
      <x:c r="H22" s="56" t="str">
        <x:v>无</x:v>
      </x:c>
      <x:c r="I22" s="56" t="str">
        <x:v>是</x:v>
      </x:c>
      <x:c r="J22" s="56" t="str">
        <x:v>否</x:v>
      </x:c>
      <x:c r="K22" s="56" t="str">
        <x:v>否</x:v>
      </x:c>
      <x:c r="L22" s="56" t="str">
        <x:v>否</x:v>
      </x:c>
      <x:c r="M22" s="56" t="str">
        <x:v>否</x:v>
      </x:c>
      <x:c r="N22" s="56" t="str">
        <x:v>https://uroweb.org/guidelines/renal-cell-carcinoma</x:v>
      </x:c>
      <x:c r="O22" s="56" t="str">
        <x:v>Diagnostic evaluation</x:v>
      </x:c>
      <x:c r="P22" s="59" t="str">
        <x:v>待专家确认</x:v>
      </x:c>
    </x:row>
    <x:row r="23">
      <x:c r="A23" s="56" t="str">
        <x:v>P004</x:v>
      </x:c>
      <x:c r="B23" s="56" t="str">
        <x:v>P004</x:v>
      </x:c>
      <x:c r="C23" s="56" t="str">
        <x:v>肾功能/eGFR</x:v>
      </x:c>
      <x:c r="D23" s="56" t="str">
        <x:v>原表模板/现有规则</x:v>
      </x:c>
      <x:c r="E23" s="59" t="str">
        <x:v>必须</x:v>
      </x:c>
      <x:c r="F23" s="56" t="str">
        <x:v>造影及肾功能评估</x:v>
      </x:c>
      <x:c r="G23" s="56" t="str">
        <x:v>造影及肾功能评估</x:v>
      </x:c>
      <x:c r="H23" s="56" t="str">
        <x:v>无</x:v>
      </x:c>
      <x:c r="I23" s="56" t="str">
        <x:v>是</x:v>
      </x:c>
      <x:c r="J23" s="56" t="str">
        <x:v>否</x:v>
      </x:c>
      <x:c r="K23" s="56" t="str">
        <x:v>否</x:v>
      </x:c>
      <x:c r="L23" s="56" t="str">
        <x:v>否</x:v>
      </x:c>
      <x:c r="M23" s="56" t="str">
        <x:v>否</x:v>
      </x:c>
      <x:c r="N23" s="56" t="str">
        <x:v>https://uroweb.org/guidelines/renal-cell-carcinoma</x:v>
      </x:c>
      <x:c r="O23" s="56" t="str">
        <x:v>Diagnostic evaluation</x:v>
      </x:c>
      <x:c r="P23" s="59" t="str">
        <x:v>待专家确认</x:v>
      </x:c>
    </x:row>
    <x:row r="24">
      <x:c r="A24" s="56" t="str">
        <x:v>P004</x:v>
      </x:c>
      <x:c r="B24" s="56" t="str">
        <x:v>P004</x:v>
      </x:c>
      <x:c r="C24" s="56" t="str">
        <x:v>肾脏多期增强CT</x:v>
      </x:c>
      <x:c r="D24" s="56" t="str">
        <x:v>原表模板/现有规则</x:v>
      </x:c>
      <x:c r="E24" s="59" t="str">
        <x:v>必须</x:v>
      </x:c>
      <x:c r="F24" s="56" t="str">
        <x:v>评估肾实质肿块、局部分期及静脉瘤栓</x:v>
      </x:c>
      <x:c r="G24" s="56" t="str">
        <x:v>评估肾实质肿块、局部分期及静脉瘤栓</x:v>
      </x:c>
      <x:c r="H24" s="56" t="str">
        <x:v>评估造影禁忌</x:v>
      </x:c>
      <x:c r="I24" s="56" t="str">
        <x:v>是</x:v>
      </x:c>
      <x:c r="J24" s="56" t="str">
        <x:v>否</x:v>
      </x:c>
      <x:c r="K24" s="56" t="str">
        <x:v>否</x:v>
      </x:c>
      <x:c r="L24" s="56" t="str">
        <x:v>否</x:v>
      </x:c>
      <x:c r="M24" s="56" t="str">
        <x:v>否</x:v>
      </x:c>
      <x:c r="N24" s="56" t="str">
        <x:v>https://uroweb.org/guidelines/renal-cell-carcinoma</x:v>
      </x:c>
      <x:c r="O24" s="56" t="str">
        <x:v>Diagnostic evaluation and staging</x:v>
      </x:c>
      <x:c r="P24" s="59" t="str">
        <x:v>待专家确认</x:v>
      </x:c>
    </x:row>
    <x:row r="25">
      <x:c r="A25" s="56" t="str">
        <x:v>P004</x:v>
      </x:c>
      <x:c r="B25" s="56" t="str">
        <x:v>P004</x:v>
      </x:c>
      <x:c r="C25" s="56" t="str">
        <x:v>肾脏MRI</x:v>
      </x:c>
      <x:c r="D25" s="56" t="str">
        <x:v>原表模板/现有规则</x:v>
      </x:c>
      <x:c r="E25" s="59" t="str">
        <x:v>条件性</x:v>
      </x:c>
      <x:c r="F25" s="56" t="str">
        <x:v>CT禁忌或需进一步评估静脉受侵</x:v>
      </x:c>
      <x:c r="G25" s="56" t="str">
        <x:v>CT禁忌或需进一步评估静脉受侵</x:v>
      </x:c>
      <x:c r="H25" s="56" t="str">
        <x:v>按MRI适应证</x:v>
      </x:c>
      <x:c r="I25" s="56" t="str">
        <x:v>否</x:v>
      </x:c>
      <x:c r="J25" s="56" t="str">
        <x:v>是</x:v>
      </x:c>
      <x:c r="K25" s="56" t="str">
        <x:v>否</x:v>
      </x:c>
      <x:c r="L25" s="56" t="str">
        <x:v>否</x:v>
      </x:c>
      <x:c r="M25" s="56" t="str">
        <x:v>否</x:v>
      </x:c>
      <x:c r="N25" s="56" t="str">
        <x:v>https://uroweb.org/guidelines/renal-cell-carcinoma</x:v>
      </x:c>
      <x:c r="O25" s="56" t="str">
        <x:v>Diagnostic evaluation and staging</x:v>
      </x:c>
      <x:c r="P25" s="59" t="str">
        <x:v>待专家确认</x:v>
      </x:c>
    </x:row>
    <x:row r="26">
      <x:c r="A26" s="56" t="str">
        <x:v>P004</x:v>
      </x:c>
      <x:c r="B26" s="56" t="str">
        <x:v>P004</x:v>
      </x:c>
      <x:c r="C26" s="56" t="str">
        <x:v>胸部影像</x:v>
      </x:c>
      <x:c r="D26" s="56" t="str">
        <x:v>原表模板/现有规则</x:v>
      </x:c>
      <x:c r="E26" s="59" t="str">
        <x:v>条件性</x:v>
      </x:c>
      <x:c r="F26" s="56" t="str">
        <x:v>按肿瘤分期风险评估胸部转移</x:v>
      </x:c>
      <x:c r="G26" s="56" t="str">
        <x:v>按肿瘤分期风险评估胸部转移</x:v>
      </x:c>
      <x:c r="H26" s="56" t="str">
        <x:v>结合分期风险</x:v>
      </x:c>
      <x:c r="I26" s="56" t="str">
        <x:v>否</x:v>
      </x:c>
      <x:c r="J26" s="56" t="str">
        <x:v>是</x:v>
      </x:c>
      <x:c r="K26" s="56" t="str">
        <x:v>否</x:v>
      </x:c>
      <x:c r="L26" s="56" t="str">
        <x:v>否</x:v>
      </x:c>
      <x:c r="M26" s="56" t="str">
        <x:v>否</x:v>
      </x:c>
      <x:c r="N26" s="56" t="str">
        <x:v>https://uroweb.org/guidelines/renal-cell-carcinoma</x:v>
      </x:c>
      <x:c r="O26" s="56" t="str">
        <x:v>Staging</x:v>
      </x:c>
      <x:c r="P26" s="59" t="str">
        <x:v>待专家确认</x:v>
      </x:c>
    </x:row>
    <x:row r="27">
      <x:c r="A27" s="56" t="str">
        <x:v>P004</x:v>
      </x:c>
      <x:c r="B27" s="56" t="str">
        <x:v>P004</x:v>
      </x:c>
      <x:c r="C27" s="56" t="str">
        <x:v>骨扫描/脑影像/PET-CT</x:v>
      </x:c>
      <x:c r="D27" s="56" t="str">
        <x:v>原表模板/现有规则</x:v>
      </x:c>
      <x:c r="E27" s="59" t="str">
        <x:v>不常规推荐</x:v>
      </x:c>
      <x:c r="F27" s="56" t="str">
        <x:v>仅症状或分期提示时选择</x:v>
      </x:c>
      <x:c r="G27" s="56" t="str">
        <x:v>仅症状或分期提示时选择</x:v>
      </x:c>
      <x:c r="H27" s="56" t="str">
        <x:v>存在相应症状或高风险</x:v>
      </x:c>
      <x:c r="I27" s="56" t="str">
        <x:v>否</x:v>
      </x:c>
      <x:c r="J27" s="56" t="str">
        <x:v>否</x:v>
      </x:c>
      <x:c r="K27" s="56" t="str">
        <x:v>是</x:v>
      </x:c>
      <x:c r="L27" s="56" t="str">
        <x:v>否</x:v>
      </x:c>
      <x:c r="M27" s="56" t="str">
        <x:v>否</x:v>
      </x:c>
      <x:c r="N27" s="56" t="str">
        <x:v>https://uroweb.org/guidelines/renal-cell-carcinoma</x:v>
      </x:c>
      <x:c r="O27" s="56" t="str">
        <x:v>Staging</x:v>
      </x:c>
      <x:c r="P27" s="59" t="str">
        <x:v>待专家确认</x:v>
      </x:c>
    </x:row>
    <x:row r="28">
      <x:c r="A28" s="56" t="str">
        <x:v>P004</x:v>
      </x:c>
      <x:c r="B28" s="56" t="str">
        <x:v>P004</x:v>
      </x:c>
      <x:c r="C28" s="56" t="str">
        <x:v>肾肿瘤穿刺活检</x:v>
      </x:c>
      <x:c r="D28" s="56" t="str">
        <x:v>原表模板/现有规则</x:v>
      </x:c>
      <x:c r="E28" s="59" t="str">
        <x:v>条件性</x:v>
      </x:c>
      <x:c r="F28" s="56" t="str">
        <x:v>仅结果会改变消融、系统治疗或主动监测决策时考虑</x:v>
      </x:c>
      <x:c r="G28" s="56" t="str">
        <x:v>仅结果会改变消融、系统治疗或主动监测决策时考虑</x:v>
      </x:c>
      <x:c r="H28" s="56" t="str">
        <x:v>结果将改变治疗</x:v>
      </x:c>
      <x:c r="I28" s="56" t="str">
        <x:v>否</x:v>
      </x:c>
      <x:c r="J28" s="56" t="str">
        <x:v>是</x:v>
      </x:c>
      <x:c r="K28" s="56" t="str">
        <x:v>否</x:v>
      </x:c>
      <x:c r="L28" s="56" t="str">
        <x:v>否</x:v>
      </x:c>
      <x:c r="M28" s="56" t="str">
        <x:v>否</x:v>
      </x:c>
      <x:c r="N28" s="56" t="str">
        <x:v>https://uroweb.org/guidelines/renal-cell-carcinoma</x:v>
      </x:c>
      <x:c r="O28" s="56" t="str">
        <x:v>Renal tumour biopsy</x:v>
      </x:c>
      <x:c r="P28" s="59" t="str">
        <x:v>待专家确认</x:v>
      </x:c>
    </x:row>
    <x:row r="29">
      <x:c r="A29" s="56" t="str">
        <x:v>P004</x:v>
      </x:c>
      <x:c r="B29" s="56" t="str">
        <x:v>P004</x:v>
      </x:c>
      <x:c r="C29" s="56" t="str">
        <x:v>尿脱落细胞学/CTU/膀胱镜</x:v>
      </x:c>
      <x:c r="D29" s="56" t="str">
        <x:v>原表模板/现有规则</x:v>
      </x:c>
      <x:c r="E29" s="59" t="str">
        <x:v>不常规推荐</x:v>
      </x:c>
      <x:c r="F29" s="56" t="str">
        <x:v>RCC不应默认套用尿路上皮癌模板</x:v>
      </x:c>
      <x:c r="G29" s="56" t="str">
        <x:v>RCC不应默认套用尿路上皮癌模板</x:v>
      </x:c>
      <x:c r="H29" s="56" t="str">
        <x:v>仅另有尿路上皮病变指征</x:v>
      </x:c>
      <x:c r="I29" s="56" t="str">
        <x:v>否</x:v>
      </x:c>
      <x:c r="J29" s="56" t="str">
        <x:v>否</x:v>
      </x:c>
      <x:c r="K29" s="56" t="str">
        <x:v>是</x:v>
      </x:c>
      <x:c r="L29" s="56" t="str">
        <x:v>是</x:v>
      </x:c>
      <x:c r="M29" s="56" t="str">
        <x:v>否</x:v>
      </x:c>
      <x:c r="N29" s="56" t="str">
        <x:v>https://uroweb.org/guidelines/renal-cell-carcinoma</x:v>
      </x:c>
      <x:c r="O29" s="56" t="str">
        <x:v>Differential diagnosis</x:v>
      </x:c>
      <x:c r="P29" s="59" t="str">
        <x:v>待专家确认</x:v>
      </x:c>
    </x:row>
    <x:row r="30">
      <x:c r="A30" s="56" t="str">
        <x:v>P005</x:v>
      </x:c>
      <x:c r="B30" s="56" t="str">
        <x:v>P005</x:v>
      </x:c>
      <x:c r="C30" s="56" t="str">
        <x:v>尿常规</x:v>
      </x:c>
      <x:c r="D30" s="56" t="str">
        <x:v>必须</x:v>
      </x:c>
      <x:c r="E30" s="59" t="str">
        <x:v>必须</x:v>
      </x:c>
      <x:c r="F30" s="56" t="str">
        <x:v>LUTS伴血尿；前列腺癌筛查；冠脉支架双抗管理；糖尿病控制；穿刺活检与根治治疗路径</x:v>
      </x:c>
      <x:c r="G30" s="56" t="str">
        <x:v>LUTS伴血尿；前列腺癌筛查；冠脉支架双抗管理；糖尿病控制；穿刺活检与根治治疗路径</x:v>
      </x:c>
      <x:c r="H30" s="56" t="str">
        <x:v>按病例阶段与适应证</x:v>
      </x:c>
      <x:c r="I30" s="56" t="str">
        <x:v>是</x:v>
      </x:c>
      <x:c r="J30" s="56" t="str">
        <x:v>否</x:v>
      </x:c>
      <x:c r="K30" s="56" t="str">
        <x:v>待专家确认</x:v>
      </x:c>
      <x:c r="L30" s="56" t="str">
        <x:v>否</x:v>
      </x:c>
      <x:c r="M30" s="56" t="str">
        <x:v>否</x:v>
      </x:c>
      <x:c r="N30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30" s="56" t="str">
        <x:v>待专家核对</x:v>
      </x:c>
      <x:c r="P30" s="59" t="str">
        <x:v>待专家确认</x:v>
      </x:c>
    </x:row>
    <x:row r="31">
      <x:c r="A31" s="56" t="str">
        <x:v>P005</x:v>
      </x:c>
      <x:c r="B31" s="56" t="str">
        <x:v>P005</x:v>
      </x:c>
      <x:c r="C31" s="56" t="str">
        <x:v>肾功能/eGFR</x:v>
      </x:c>
      <x:c r="D31" s="56" t="str">
        <x:v>必须</x:v>
      </x:c>
      <x:c r="E31" s="59" t="str">
        <x:v>必须</x:v>
      </x:c>
      <x:c r="F31" s="56" t="str">
        <x:v>LUTS伴血尿；前列腺癌筛查；冠脉支架双抗管理；糖尿病控制；穿刺活检与根治治疗路径</x:v>
      </x:c>
      <x:c r="G31" s="56" t="str">
        <x:v>LUTS伴血尿；前列腺癌筛查；冠脉支架双抗管理；糖尿病控制；穿刺活检与根治治疗路径</x:v>
      </x:c>
      <x:c r="H31" s="56" t="str">
        <x:v>按病例阶段与适应证</x:v>
      </x:c>
      <x:c r="I31" s="56" t="str">
        <x:v>是</x:v>
      </x:c>
      <x:c r="J31" s="56" t="str">
        <x:v>否</x:v>
      </x:c>
      <x:c r="K31" s="56" t="str">
        <x:v>待专家确认</x:v>
      </x:c>
      <x:c r="L31" s="56" t="str">
        <x:v>否</x:v>
      </x:c>
      <x:c r="M31" s="56" t="str">
        <x:v>否</x:v>
      </x:c>
      <x:c r="N31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31" s="56" t="str">
        <x:v>待专家核对</x:v>
      </x:c>
      <x:c r="P31" s="59" t="str">
        <x:v>待专家确认</x:v>
      </x:c>
    </x:row>
    <x:row r="32">
      <x:c r="A32" s="56" t="str">
        <x:v>P005</x:v>
      </x:c>
      <x:c r="B32" s="56" t="str">
        <x:v>P005</x:v>
      </x:c>
      <x:c r="C32" s="56" t="str">
        <x:v>泌尿系超声+残余尿</x:v>
      </x:c>
      <x:c r="D32" s="56" t="str">
        <x:v>待专家确认</x:v>
      </x:c>
      <x:c r="E32" s="59" t="str">
        <x:v>待专家确认</x:v>
      </x:c>
      <x:c r="F32" s="56" t="str">
        <x:v>LUTS伴血尿；前列腺癌筛查；冠脉支架双抗管理；糖尿病控制；穿刺活检与根治治疗路径</x:v>
      </x:c>
      <x:c r="G32" s="56" t="str">
        <x:v>LUTS伴血尿；前列腺癌筛查；冠脉支架双抗管理；糖尿病控制；穿刺活检与根治治疗路径</x:v>
      </x:c>
      <x:c r="H32" s="56" t="str">
        <x:v>按病例阶段与适应证</x:v>
      </x:c>
      <x:c r="I32" s="56" t="str">
        <x:v>否</x:v>
      </x:c>
      <x:c r="J32" s="56" t="str">
        <x:v>否</x:v>
      </x:c>
      <x:c r="K32" s="56" t="str">
        <x:v>待专家确认</x:v>
      </x:c>
      <x:c r="L32" s="56" t="str">
        <x:v>否</x:v>
      </x:c>
      <x:c r="M32" s="56" t="str">
        <x:v>否</x:v>
      </x:c>
      <x:c r="N32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32" s="56" t="str">
        <x:v>待专家核对</x:v>
      </x:c>
      <x:c r="P32" s="59" t="str">
        <x:v>待专家确认</x:v>
      </x:c>
    </x:row>
    <x:row r="33">
      <x:c r="A33" s="56" t="str">
        <x:v>P005</x:v>
      </x:c>
      <x:c r="B33" s="56" t="str">
        <x:v>P005</x:v>
      </x:c>
      <x:c r="C33" s="56" t="str">
        <x:v>尿流率+残余尿</x:v>
      </x:c>
      <x:c r="D33" s="56" t="str">
        <x:v>待专家确认</x:v>
      </x:c>
      <x:c r="E33" s="59" t="str">
        <x:v>待专家确认</x:v>
      </x:c>
      <x:c r="F33" s="56" t="str">
        <x:v>LUTS伴血尿；前列腺癌筛查；冠脉支架双抗管理；糖尿病控制；穿刺活检与根治治疗路径</x:v>
      </x:c>
      <x:c r="G33" s="56" t="str">
        <x:v>LUTS伴血尿；前列腺癌筛查；冠脉支架双抗管理；糖尿病控制；穿刺活检与根治治疗路径</x:v>
      </x:c>
      <x:c r="H33" s="56" t="str">
        <x:v>按病例阶段与适应证</x:v>
      </x:c>
      <x:c r="I33" s="56" t="str">
        <x:v>否</x:v>
      </x:c>
      <x:c r="J33" s="56" t="str">
        <x:v>否</x:v>
      </x:c>
      <x:c r="K33" s="56" t="str">
        <x:v>待专家确认</x:v>
      </x:c>
      <x:c r="L33" s="56" t="str">
        <x:v>否</x:v>
      </x:c>
      <x:c r="M33" s="56" t="str">
        <x:v>否</x:v>
      </x:c>
      <x:c r="N33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33" s="56" t="str">
        <x:v>待专家核对</x:v>
      </x:c>
      <x:c r="P33" s="59" t="str">
        <x:v>待专家确认</x:v>
      </x:c>
    </x:row>
    <x:row r="34">
      <x:c r="A34" s="56" t="str">
        <x:v>P005</x:v>
      </x:c>
      <x:c r="B34" s="56" t="str">
        <x:v>P005</x:v>
      </x:c>
      <x:c r="C34" s="56" t="str">
        <x:v>PSA</x:v>
      </x:c>
      <x:c r="D34" s="56" t="str">
        <x:v>待专家确认</x:v>
      </x:c>
      <x:c r="E34" s="59" t="str">
        <x:v>待专家确认</x:v>
      </x:c>
      <x:c r="F34" s="56" t="str">
        <x:v>LUTS伴血尿；前列腺癌筛查；冠脉支架双抗管理；糖尿病控制；穿刺活检与根治治疗路径</x:v>
      </x:c>
      <x:c r="G34" s="56" t="str">
        <x:v>LUTS伴血尿；前列腺癌筛查；冠脉支架双抗管理；糖尿病控制；穿刺活检与根治治疗路径</x:v>
      </x:c>
      <x:c r="H34" s="56" t="str">
        <x:v>按病例阶段与适应证</x:v>
      </x:c>
      <x:c r="I34" s="56" t="str">
        <x:v>否</x:v>
      </x:c>
      <x:c r="J34" s="56" t="str">
        <x:v>否</x:v>
      </x:c>
      <x:c r="K34" s="56" t="str">
        <x:v>待专家确认</x:v>
      </x:c>
      <x:c r="L34" s="56" t="str">
        <x:v>否</x:v>
      </x:c>
      <x:c r="M34" s="56" t="str">
        <x:v>否</x:v>
      </x:c>
      <x:c r="N34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34" s="56" t="str">
        <x:v>待专家核对</x:v>
      </x:c>
      <x:c r="P34" s="59" t="str">
        <x:v>待专家确认</x:v>
      </x:c>
    </x:row>
    <x:row r="35">
      <x:c r="A35" s="56" t="str">
        <x:v>P006</x:v>
      </x:c>
      <x:c r="B35" s="56" t="str">
        <x:v>P006</x:v>
      </x:c>
      <x:c r="C35" s="56" t="str">
        <x:v>尿常规</x:v>
      </x:c>
      <x:c r="D35" s="56" t="str">
        <x:v>必须</x:v>
      </x:c>
      <x:c r="E35" s="59" t="str">
        <x:v>必须</x:v>
      </x:c>
      <x:c r="F35" s="56" t="str">
        <x:v>年轻女性尿频尿急尿痛伴粉红色尿；局限性膀胱炎；月经/阴道出血污染鉴别；尿培养和复查</x:v>
      </x:c>
      <x:c r="G35" s="56" t="str">
        <x:v>年轻女性尿频尿急尿痛伴粉红色尿；局限性膀胱炎；月经/阴道出血污染鉴别；尿培养和复查</x:v>
      </x:c>
      <x:c r="H35" s="56" t="str">
        <x:v>按病例阶段与适应证</x:v>
      </x:c>
      <x:c r="I35" s="56" t="str">
        <x:v>是</x:v>
      </x:c>
      <x:c r="J35" s="56" t="str">
        <x:v>否</x:v>
      </x:c>
      <x:c r="K35" s="56" t="str">
        <x:v>待专家确认</x:v>
      </x:c>
      <x:c r="L35" s="56" t="str">
        <x:v>否</x:v>
      </x:c>
      <x:c r="M35" s="56" t="str">
        <x:v>否</x:v>
      </x:c>
      <x:c r="N35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35" s="56" t="str">
        <x:v>待专家核对</x:v>
      </x:c>
      <x:c r="P35" s="59" t="str">
        <x:v>待专家确认</x:v>
      </x:c>
    </x:row>
    <x:row r="36">
      <x:c r="A36" s="56" t="str">
        <x:v>P006</x:v>
      </x:c>
      <x:c r="B36" s="56" t="str">
        <x:v>P006</x:v>
      </x:c>
      <x:c r="C36" s="56" t="str">
        <x:v>尿沉渣镜检</x:v>
      </x:c>
      <x:c r="D36" s="56" t="str">
        <x:v>必须</x:v>
      </x:c>
      <x:c r="E36" s="59" t="str">
        <x:v>必须</x:v>
      </x:c>
      <x:c r="F36" s="56" t="str">
        <x:v>年轻女性尿频尿急尿痛伴粉红色尿；局限性膀胱炎；月经/阴道出血污染鉴别；尿培养和复查</x:v>
      </x:c>
      <x:c r="G36" s="56" t="str">
        <x:v>年轻女性尿频尿急尿痛伴粉红色尿；局限性膀胱炎；月经/阴道出血污染鉴别；尿培养和复查</x:v>
      </x:c>
      <x:c r="H36" s="56" t="str">
        <x:v>按病例阶段与适应证</x:v>
      </x:c>
      <x:c r="I36" s="56" t="str">
        <x:v>是</x:v>
      </x:c>
      <x:c r="J36" s="56" t="str">
        <x:v>否</x:v>
      </x:c>
      <x:c r="K36" s="56" t="str">
        <x:v>待专家确认</x:v>
      </x:c>
      <x:c r="L36" s="56" t="str">
        <x:v>否</x:v>
      </x:c>
      <x:c r="M36" s="56" t="str">
        <x:v>否</x:v>
      </x:c>
      <x:c r="N36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36" s="56" t="str">
        <x:v>待专家核对</x:v>
      </x:c>
      <x:c r="P36" s="59" t="str">
        <x:v>待专家确认</x:v>
      </x:c>
    </x:row>
    <x:row r="37">
      <x:c r="A37" s="56" t="str">
        <x:v>P006</x:v>
      </x:c>
      <x:c r="B37" s="56" t="str">
        <x:v>P006</x:v>
      </x:c>
      <x:c r="C37" s="56" t="str">
        <x:v>中段尿培养+药敏</x:v>
      </x:c>
      <x:c r="D37" s="56" t="str">
        <x:v>条件性</x:v>
      </x:c>
      <x:c r="E37" s="59" t="str">
        <x:v>条件性</x:v>
      </x:c>
      <x:c r="F37" s="56" t="str">
        <x:v>年轻女性尿频尿急尿痛伴粉红色尿；局限性膀胱炎；月经/阴道出血污染鉴别；尿培养和复查</x:v>
      </x:c>
      <x:c r="G37" s="56" t="str">
        <x:v>年轻女性尿频尿急尿痛伴粉红色尿；局限性膀胱炎；月经/阴道出血污染鉴别；尿培养和复查</x:v>
      </x:c>
      <x:c r="H37" s="56" t="str">
        <x:v>按病例阶段与适应证</x:v>
      </x:c>
      <x:c r="I37" s="56" t="str">
        <x:v>否</x:v>
      </x:c>
      <x:c r="J37" s="56" t="str">
        <x:v>是</x:v>
      </x:c>
      <x:c r="K37" s="56" t="str">
        <x:v>待专家确认</x:v>
      </x:c>
      <x:c r="L37" s="56" t="str">
        <x:v>否</x:v>
      </x:c>
      <x:c r="M37" s="56" t="str">
        <x:v>否</x:v>
      </x:c>
      <x:c r="N37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37" s="56" t="str">
        <x:v>待专家核对</x:v>
      </x:c>
      <x:c r="P37" s="59" t="str">
        <x:v>待专家确认</x:v>
      </x:c>
    </x:row>
    <x:row r="38">
      <x:c r="A38" s="56" t="str">
        <x:v>P006</x:v>
      </x:c>
      <x:c r="B38" s="56" t="str">
        <x:v>P006</x:v>
      </x:c>
      <x:c r="C38" s="56" t="str">
        <x:v>血常规</x:v>
      </x:c>
      <x:c r="D38" s="56" t="str">
        <x:v>必须</x:v>
      </x:c>
      <x:c r="E38" s="59" t="str">
        <x:v>必须</x:v>
      </x:c>
      <x:c r="F38" s="56" t="str">
        <x:v>年轻女性尿频尿急尿痛伴粉红色尿；局限性膀胱炎；月经/阴道出血污染鉴别；尿培养和复查</x:v>
      </x:c>
      <x:c r="G38" s="56" t="str">
        <x:v>年轻女性尿频尿急尿痛伴粉红色尿；局限性膀胱炎；月经/阴道出血污染鉴别；尿培养和复查</x:v>
      </x:c>
      <x:c r="H38" s="56" t="str">
        <x:v>按病例阶段与适应证</x:v>
      </x:c>
      <x:c r="I38" s="56" t="str">
        <x:v>是</x:v>
      </x:c>
      <x:c r="J38" s="56" t="str">
        <x:v>否</x:v>
      </x:c>
      <x:c r="K38" s="56" t="str">
        <x:v>待专家确认</x:v>
      </x:c>
      <x:c r="L38" s="56" t="str">
        <x:v>否</x:v>
      </x:c>
      <x:c r="M38" s="56" t="str">
        <x:v>否</x:v>
      </x:c>
      <x:c r="N38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38" s="56" t="str">
        <x:v>待专家核对</x:v>
      </x:c>
      <x:c r="P38" s="59" t="str">
        <x:v>待专家确认</x:v>
      </x:c>
    </x:row>
    <x:row r="39">
      <x:c r="A39" s="56" t="str">
        <x:v>P006</x:v>
      </x:c>
      <x:c r="B39" s="56" t="str">
        <x:v>P006</x:v>
      </x:c>
      <x:c r="C39" s="56" t="str">
        <x:v>CRP/降钙素原</x:v>
      </x:c>
      <x:c r="D39" s="56" t="str">
        <x:v>条件性</x:v>
      </x:c>
      <x:c r="E39" s="59" t="str">
        <x:v>条件性</x:v>
      </x:c>
      <x:c r="F39" s="56" t="str">
        <x:v>年轻女性尿频尿急尿痛伴粉红色尿；局限性膀胱炎；月经/阴道出血污染鉴别；尿培养和复查</x:v>
      </x:c>
      <x:c r="G39" s="56" t="str">
        <x:v>年轻女性尿频尿急尿痛伴粉红色尿；局限性膀胱炎；月经/阴道出血污染鉴别；尿培养和复查</x:v>
      </x:c>
      <x:c r="H39" s="56" t="str">
        <x:v>按病例阶段与适应证</x:v>
      </x:c>
      <x:c r="I39" s="56" t="str">
        <x:v>否</x:v>
      </x:c>
      <x:c r="J39" s="56" t="str">
        <x:v>是</x:v>
      </x:c>
      <x:c r="K39" s="56" t="str">
        <x:v>待专家确认</x:v>
      </x:c>
      <x:c r="L39" s="56" t="str">
        <x:v>否</x:v>
      </x:c>
      <x:c r="M39" s="56" t="str">
        <x:v>否</x:v>
      </x:c>
      <x:c r="N39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39" s="56" t="str">
        <x:v>待专家核对</x:v>
      </x:c>
      <x:c r="P39" s="59" t="str">
        <x:v>待专家确认</x:v>
      </x:c>
    </x:row>
    <x:row r="40">
      <x:c r="A40" s="56" t="str">
        <x:v>P006</x:v>
      </x:c>
      <x:c r="B40" s="56" t="str">
        <x:v>P006</x:v>
      </x:c>
      <x:c r="C40" s="56" t="str">
        <x:v>肾功能/eGFR</x:v>
      </x:c>
      <x:c r="D40" s="56" t="str">
        <x:v>必须</x:v>
      </x:c>
      <x:c r="E40" s="59" t="str">
        <x:v>必须</x:v>
      </x:c>
      <x:c r="F40" s="56" t="str">
        <x:v>年轻女性尿频尿急尿痛伴粉红色尿；局限性膀胱炎；月经/阴道出血污染鉴别；尿培养和复查</x:v>
      </x:c>
      <x:c r="G40" s="56" t="str">
        <x:v>年轻女性尿频尿急尿痛伴粉红色尿；局限性膀胱炎；月经/阴道出血污染鉴别；尿培养和复查</x:v>
      </x:c>
      <x:c r="H40" s="56" t="str">
        <x:v>按病例阶段与适应证</x:v>
      </x:c>
      <x:c r="I40" s="56" t="str">
        <x:v>是</x:v>
      </x:c>
      <x:c r="J40" s="56" t="str">
        <x:v>否</x:v>
      </x:c>
      <x:c r="K40" s="56" t="str">
        <x:v>待专家确认</x:v>
      </x:c>
      <x:c r="L40" s="56" t="str">
        <x:v>否</x:v>
      </x:c>
      <x:c r="M40" s="56" t="str">
        <x:v>否</x:v>
      </x:c>
      <x:c r="N40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40" s="56" t="str">
        <x:v>待专家核对</x:v>
      </x:c>
      <x:c r="P40" s="59" t="str">
        <x:v>待专家确认</x:v>
      </x:c>
    </x:row>
    <x:row r="41">
      <x:c r="A41" s="56" t="str">
        <x:v>P007</x:v>
      </x:c>
      <x:c r="B41" s="56" t="str">
        <x:v>P007</x:v>
      </x:c>
      <x:c r="C41" s="56" t="str">
        <x:v>尿常规</x:v>
      </x:c>
      <x:c r="D41" s="56" t="str">
        <x:v>必须</x:v>
      </x:c>
      <x:c r="E41" s="59" t="str">
        <x:v>必须</x:v>
      </x:c>
      <x:c r="F41" s="56" t="str">
        <x:v>BPH长期LUTS、急性尿潴留、导尿后淡红尿；PSA轻度升高与前列腺癌鉴别；手术适应证</x:v>
      </x:c>
      <x:c r="G41" s="56" t="str">
        <x:v>BPH长期LUTS、急性尿潴留、导尿后淡红尿；PSA轻度升高与前列腺癌鉴别；手术适应证</x:v>
      </x:c>
      <x:c r="H41" s="56" t="str">
        <x:v>按病例阶段与适应证</x:v>
      </x:c>
      <x:c r="I41" s="56" t="str">
        <x:v>是</x:v>
      </x:c>
      <x:c r="J41" s="56" t="str">
        <x:v>否</x:v>
      </x:c>
      <x:c r="K41" s="56" t="str">
        <x:v>待专家确认</x:v>
      </x:c>
      <x:c r="L41" s="56" t="str">
        <x:v>否</x:v>
      </x:c>
      <x:c r="M41" s="56" t="str">
        <x:v>否</x:v>
      </x:c>
      <x:c r="N41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41" s="56" t="str">
        <x:v>待专家核对</x:v>
      </x:c>
      <x:c r="P41" s="59" t="str">
        <x:v>待专家确认</x:v>
      </x:c>
    </x:row>
    <x:row r="42">
      <x:c r="A42" s="56" t="str">
        <x:v>P007</x:v>
      </x:c>
      <x:c r="B42" s="56" t="str">
        <x:v>P007</x:v>
      </x:c>
      <x:c r="C42" s="56" t="str">
        <x:v>肾功能/eGFR</x:v>
      </x:c>
      <x:c r="D42" s="56" t="str">
        <x:v>必须</x:v>
      </x:c>
      <x:c r="E42" s="59" t="str">
        <x:v>必须</x:v>
      </x:c>
      <x:c r="F42" s="56" t="str">
        <x:v>BPH长期LUTS、急性尿潴留、导尿后淡红尿；PSA轻度升高与前列腺癌鉴别；手术适应证</x:v>
      </x:c>
      <x:c r="G42" s="56" t="str">
        <x:v>BPH长期LUTS、急性尿潴留、导尿后淡红尿；PSA轻度升高与前列腺癌鉴别；手术适应证</x:v>
      </x:c>
      <x:c r="H42" s="56" t="str">
        <x:v>按病例阶段与适应证</x:v>
      </x:c>
      <x:c r="I42" s="56" t="str">
        <x:v>是</x:v>
      </x:c>
      <x:c r="J42" s="56" t="str">
        <x:v>否</x:v>
      </x:c>
      <x:c r="K42" s="56" t="str">
        <x:v>待专家确认</x:v>
      </x:c>
      <x:c r="L42" s="56" t="str">
        <x:v>否</x:v>
      </x:c>
      <x:c r="M42" s="56" t="str">
        <x:v>否</x:v>
      </x:c>
      <x:c r="N42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42" s="56" t="str">
        <x:v>待专家核对</x:v>
      </x:c>
      <x:c r="P42" s="59" t="str">
        <x:v>待专家确认</x:v>
      </x:c>
    </x:row>
    <x:row r="43">
      <x:c r="A43" s="56" t="str">
        <x:v>P007</x:v>
      </x:c>
      <x:c r="B43" s="56" t="str">
        <x:v>P007</x:v>
      </x:c>
      <x:c r="C43" s="56" t="str">
        <x:v>泌尿系超声+残余尿</x:v>
      </x:c>
      <x:c r="D43" s="56" t="str">
        <x:v>待专家确认</x:v>
      </x:c>
      <x:c r="E43" s="59" t="str">
        <x:v>待专家确认</x:v>
      </x:c>
      <x:c r="F43" s="56" t="str">
        <x:v>BPH长期LUTS、急性尿潴留、导尿后淡红尿；PSA轻度升高与前列腺癌鉴别；手术适应证</x:v>
      </x:c>
      <x:c r="G43" s="56" t="str">
        <x:v>BPH长期LUTS、急性尿潴留、导尿后淡红尿；PSA轻度升高与前列腺癌鉴别；手术适应证</x:v>
      </x:c>
      <x:c r="H43" s="56" t="str">
        <x:v>按病例阶段与适应证</x:v>
      </x:c>
      <x:c r="I43" s="56" t="str">
        <x:v>否</x:v>
      </x:c>
      <x:c r="J43" s="56" t="str">
        <x:v>否</x:v>
      </x:c>
      <x:c r="K43" s="56" t="str">
        <x:v>待专家确认</x:v>
      </x:c>
      <x:c r="L43" s="56" t="str">
        <x:v>否</x:v>
      </x:c>
      <x:c r="M43" s="56" t="str">
        <x:v>否</x:v>
      </x:c>
      <x:c r="N43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43" s="56" t="str">
        <x:v>待专家核对</x:v>
      </x:c>
      <x:c r="P43" s="59" t="str">
        <x:v>待专家确认</x:v>
      </x:c>
    </x:row>
    <x:row r="44">
      <x:c r="A44" s="56" t="str">
        <x:v>P007</x:v>
      </x:c>
      <x:c r="B44" s="56" t="str">
        <x:v>P007</x:v>
      </x:c>
      <x:c r="C44" s="56" t="str">
        <x:v>尿流率+残余尿</x:v>
      </x:c>
      <x:c r="D44" s="56" t="str">
        <x:v>待专家确认</x:v>
      </x:c>
      <x:c r="E44" s="59" t="str">
        <x:v>待专家确认</x:v>
      </x:c>
      <x:c r="F44" s="56" t="str">
        <x:v>BPH长期LUTS、急性尿潴留、导尿后淡红尿；PSA轻度升高与前列腺癌鉴别；手术适应证</x:v>
      </x:c>
      <x:c r="G44" s="56" t="str">
        <x:v>BPH长期LUTS、急性尿潴留、导尿后淡红尿；PSA轻度升高与前列腺癌鉴别；手术适应证</x:v>
      </x:c>
      <x:c r="H44" s="56" t="str">
        <x:v>按病例阶段与适应证</x:v>
      </x:c>
      <x:c r="I44" s="56" t="str">
        <x:v>否</x:v>
      </x:c>
      <x:c r="J44" s="56" t="str">
        <x:v>否</x:v>
      </x:c>
      <x:c r="K44" s="56" t="str">
        <x:v>待专家确认</x:v>
      </x:c>
      <x:c r="L44" s="56" t="str">
        <x:v>否</x:v>
      </x:c>
      <x:c r="M44" s="56" t="str">
        <x:v>否</x:v>
      </x:c>
      <x:c r="N44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44" s="56" t="str">
        <x:v>待专家核对</x:v>
      </x:c>
      <x:c r="P44" s="59" t="str">
        <x:v>待专家确认</x:v>
      </x:c>
    </x:row>
    <x:row r="45">
      <x:c r="A45" s="56" t="str">
        <x:v>P007</x:v>
      </x:c>
      <x:c r="B45" s="56" t="str">
        <x:v>P007</x:v>
      </x:c>
      <x:c r="C45" s="56" t="str">
        <x:v>PSA</x:v>
      </x:c>
      <x:c r="D45" s="56" t="str">
        <x:v>待专家确认</x:v>
      </x:c>
      <x:c r="E45" s="59" t="str">
        <x:v>待专家确认</x:v>
      </x:c>
      <x:c r="F45" s="56" t="str">
        <x:v>BPH长期LUTS、急性尿潴留、导尿后淡红尿；PSA轻度升高与前列腺癌鉴别；手术适应证</x:v>
      </x:c>
      <x:c r="G45" s="56" t="str">
        <x:v>BPH长期LUTS、急性尿潴留、导尿后淡红尿；PSA轻度升高与前列腺癌鉴别；手术适应证</x:v>
      </x:c>
      <x:c r="H45" s="56" t="str">
        <x:v>按病例阶段与适应证</x:v>
      </x:c>
      <x:c r="I45" s="56" t="str">
        <x:v>否</x:v>
      </x:c>
      <x:c r="J45" s="56" t="str">
        <x:v>否</x:v>
      </x:c>
      <x:c r="K45" s="56" t="str">
        <x:v>待专家确认</x:v>
      </x:c>
      <x:c r="L45" s="56" t="str">
        <x:v>否</x:v>
      </x:c>
      <x:c r="M45" s="56" t="str">
        <x:v>否</x:v>
      </x:c>
      <x:c r="N45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45" s="56" t="str">
        <x:v>待专家核对</x:v>
      </x:c>
      <x:c r="P45" s="59" t="str">
        <x:v>待专家确认</x:v>
      </x:c>
    </x:row>
    <x:row r="46">
      <x:c r="A46" s="56" t="str">
        <x:v>P008</x:v>
      </x:c>
      <x:c r="B46" s="56" t="str">
        <x:v>P008</x:v>
      </x:c>
      <x:c r="C46" s="56" t="str">
        <x:v>尿常规+尿沉渣镜检</x:v>
      </x:c>
      <x:c r="D46" s="56" t="str">
        <x:v>原表模板/现有规则</x:v>
      </x:c>
      <x:c r="E46" s="59" t="str">
        <x:v>必须</x:v>
      </x:c>
      <x:c r="F46" s="56" t="str">
        <x:v>评估血尿、感染及结晶</x:v>
      </x:c>
      <x:c r="G46" s="56" t="str">
        <x:v>评估血尿、感染及结晶</x:v>
      </x:c>
      <x:c r="H46" s="56" t="str">
        <x:v>无</x:v>
      </x:c>
      <x:c r="I46" s="56" t="str">
        <x:v>是</x:v>
      </x:c>
      <x:c r="J46" s="56" t="str">
        <x:v>否</x:v>
      </x:c>
      <x:c r="K46" s="56" t="str">
        <x:v>否</x:v>
      </x:c>
      <x:c r="L46" s="56" t="str">
        <x:v>否</x:v>
      </x:c>
      <x:c r="M46" s="56" t="str">
        <x:v>否</x:v>
      </x:c>
      <x:c r="N46" s="56" t="str">
        <x:v>https://uroweb.org/guidelines/urolithiasis</x:v>
      </x:c>
      <x:c r="O46" s="56" t="str">
        <x:v>Bladder stones</x:v>
      </x:c>
      <x:c r="P46" s="59" t="str">
        <x:v>待专家确认</x:v>
      </x:c>
    </x:row>
    <x:row r="47">
      <x:c r="A47" s="56" t="str">
        <x:v>P008</x:v>
      </x:c>
      <x:c r="B47" s="56" t="str">
        <x:v>P008</x:v>
      </x:c>
      <x:c r="C47" s="56" t="str">
        <x:v>中段尿培养+药敏</x:v>
      </x:c>
      <x:c r="D47" s="56" t="str">
        <x:v>原表模板/现有规则</x:v>
      </x:c>
      <x:c r="E47" s="59" t="str">
        <x:v>条件性</x:v>
      </x:c>
      <x:c r="F47" s="56" t="str">
        <x:v>有感染症状、脓尿或术前感染风险时</x:v>
      </x:c>
      <x:c r="G47" s="56" t="str">
        <x:v>有感染症状、脓尿或术前感染风险时</x:v>
      </x:c>
      <x:c r="H47" s="56" t="str">
        <x:v>留取规范标本</x:v>
      </x:c>
      <x:c r="I47" s="56" t="str">
        <x:v>否</x:v>
      </x:c>
      <x:c r="J47" s="56" t="str">
        <x:v>是</x:v>
      </x:c>
      <x:c r="K47" s="56" t="str">
        <x:v>否</x:v>
      </x:c>
      <x:c r="L47" s="56" t="str">
        <x:v>否</x:v>
      </x:c>
      <x:c r="M47" s="56" t="str">
        <x:v>否</x:v>
      </x:c>
      <x:c r="N47" s="56" t="str">
        <x:v>https://uroweb.org/guidelines/urolithiasis</x:v>
      </x:c>
      <x:c r="O47" s="56" t="str">
        <x:v>Bladder stones</x:v>
      </x:c>
      <x:c r="P47" s="59" t="str">
        <x:v>待专家确认</x:v>
      </x:c>
    </x:row>
    <x:row r="48">
      <x:c r="A48" s="56" t="str">
        <x:v>P008</x:v>
      </x:c>
      <x:c r="B48" s="56" t="str">
        <x:v>P008</x:v>
      </x:c>
      <x:c r="C48" s="56" t="str">
        <x:v>泌尿系/膀胱超声</x:v>
      </x:c>
      <x:c r="D48" s="56" t="str">
        <x:v>原表模板/现有规则</x:v>
      </x:c>
      <x:c r="E48" s="59" t="str">
        <x:v>必须</x:v>
      </x:c>
      <x:c r="F48" s="56" t="str">
        <x:v>识别膀胱结石、前列腺及残余尿</x:v>
      </x:c>
      <x:c r="G48" s="56" t="str">
        <x:v>识别膀胱结石、前列腺及残余尿</x:v>
      </x:c>
      <x:c r="H48" s="56" t="str">
        <x:v>无</x:v>
      </x:c>
      <x:c r="I48" s="56" t="str">
        <x:v>是</x:v>
      </x:c>
      <x:c r="J48" s="56" t="str">
        <x:v>否</x:v>
      </x:c>
      <x:c r="K48" s="56" t="str">
        <x:v>否</x:v>
      </x:c>
      <x:c r="L48" s="56" t="str">
        <x:v>否</x:v>
      </x:c>
      <x:c r="M48" s="56" t="str">
        <x:v>否</x:v>
      </x:c>
      <x:c r="N48" s="56" t="str">
        <x:v>https://uroweb.org/guidelines/urolithiasis</x:v>
      </x:c>
      <x:c r="O48" s="56" t="str">
        <x:v>Bladder stones</x:v>
      </x:c>
      <x:c r="P48" s="59" t="str">
        <x:v>待专家确认</x:v>
      </x:c>
    </x:row>
    <x:row r="49">
      <x:c r="A49" s="56" t="str">
        <x:v>P008</x:v>
      </x:c>
      <x:c r="B49" s="56" t="str">
        <x:v>P008</x:v>
      </x:c>
      <x:c r="C49" s="56" t="str">
        <x:v>排尿后残余尿</x:v>
      </x:c>
      <x:c r="D49" s="56" t="str">
        <x:v>原表模板/现有规则</x:v>
      </x:c>
      <x:c r="E49" s="59" t="str">
        <x:v>必须</x:v>
      </x:c>
      <x:c r="F49" s="56" t="str">
        <x:v>评估膀胱出口梗阻</x:v>
      </x:c>
      <x:c r="G49" s="56" t="str">
        <x:v>评估膀胱出口梗阻</x:v>
      </x:c>
      <x:c r="H49" s="56" t="str">
        <x:v>完成排尿</x:v>
      </x:c>
      <x:c r="I49" s="56" t="str">
        <x:v>是</x:v>
      </x:c>
      <x:c r="J49" s="56" t="str">
        <x:v>否</x:v>
      </x:c>
      <x:c r="K49" s="56" t="str">
        <x:v>否</x:v>
      </x:c>
      <x:c r="L49" s="56" t="str">
        <x:v>否</x:v>
      </x:c>
      <x:c r="M49" s="56" t="str">
        <x:v>否</x:v>
      </x:c>
      <x:c r="N49" s="56" t="str">
        <x:v>https://uroweb.org/guidelines/urolithiasis</x:v>
      </x:c>
      <x:c r="O49" s="56" t="str">
        <x:v>Bladder stones</x:v>
      </x:c>
      <x:c r="P49" s="59" t="str">
        <x:v>待专家确认</x:v>
      </x:c>
    </x:row>
    <x:row r="50">
      <x:c r="A50" s="56" t="str">
        <x:v>P008</x:v>
      </x:c>
      <x:c r="B50" s="56" t="str">
        <x:v>P008</x:v>
      </x:c>
      <x:c r="C50" s="56" t="str">
        <x:v>尿流率</x:v>
      </x:c>
      <x:c r="D50" s="56" t="str">
        <x:v>原表模板/现有规则</x:v>
      </x:c>
      <x:c r="E50" s="59" t="str">
        <x:v>条件性</x:v>
      </x:c>
      <x:c r="F50" s="56" t="str">
        <x:v>评估BPH/出口梗阻严重度</x:v>
      </x:c>
      <x:c r="G50" s="56" t="str">
        <x:v>评估BPH/出口梗阻严重度</x:v>
      </x:c>
      <x:c r="H50" s="56" t="str">
        <x:v>能够自主排尿</x:v>
      </x:c>
      <x:c r="I50" s="56" t="str">
        <x:v>否</x:v>
      </x:c>
      <x:c r="J50" s="56" t="str">
        <x:v>是</x:v>
      </x:c>
      <x:c r="K50" s="56" t="str">
        <x:v>否</x:v>
      </x:c>
      <x:c r="L50" s="56" t="str">
        <x:v>否</x:v>
      </x:c>
      <x:c r="M50" s="56" t="str">
        <x:v>否</x:v>
      </x:c>
      <x:c r="N50" s="56" t="str">
        <x:v>https://uroweb.org/guidelines/urolithiasis</x:v>
      </x:c>
      <x:c r="O50" s="56" t="str">
        <x:v>Bladder outlet obstruction</x:v>
      </x:c>
      <x:c r="P50" s="59" t="str">
        <x:v>待专家确认</x:v>
      </x:c>
    </x:row>
    <x:row r="51">
      <x:c r="A51" s="56" t="str">
        <x:v>P008</x:v>
      </x:c>
      <x:c r="B51" s="56" t="str">
        <x:v>P008</x:v>
      </x:c>
      <x:c r="C51" s="56" t="str">
        <x:v>KUB或非增强CT</x:v>
      </x:c>
      <x:c r="D51" s="56" t="str">
        <x:v>原表模板/现有规则</x:v>
      </x:c>
      <x:c r="E51" s="59" t="str">
        <x:v>条件性</x:v>
      </x:c>
      <x:c r="F51" s="56" t="str">
        <x:v>超声不明确或需评估结石负荷/上尿路</x:v>
      </x:c>
      <x:c r="G51" s="56" t="str">
        <x:v>超声不明确或需评估结石负荷/上尿路</x:v>
      </x:c>
      <x:c r="H51" s="56" t="str">
        <x:v>按辐射适应证</x:v>
      </x:c>
      <x:c r="I51" s="56" t="str">
        <x:v>否</x:v>
      </x:c>
      <x:c r="J51" s="56" t="str">
        <x:v>是</x:v>
      </x:c>
      <x:c r="K51" s="56" t="str">
        <x:v>否</x:v>
      </x:c>
      <x:c r="L51" s="56" t="str">
        <x:v>否</x:v>
      </x:c>
      <x:c r="M51" s="56" t="str">
        <x:v>否</x:v>
      </x:c>
      <x:c r="N51" s="56" t="str">
        <x:v>https://uroweb.org/guidelines/urolithiasis</x:v>
      </x:c>
      <x:c r="O51" s="56" t="str">
        <x:v>Bladder stones</x:v>
      </x:c>
      <x:c r="P51" s="59" t="str">
        <x:v>待专家确认</x:v>
      </x:c>
    </x:row>
    <x:row r="52">
      <x:c r="A52" s="56" t="str">
        <x:v>P009</x:v>
      </x:c>
      <x:c r="B52" s="56" t="str">
        <x:v>P009</x:v>
      </x:c>
      <x:c r="C52" s="56" t="str">
        <x:v>尿常规</x:v>
      </x:c>
      <x:c r="D52" s="56" t="str">
        <x:v>必须</x:v>
      </x:c>
      <x:c r="E52" s="59" t="str">
        <x:v>必须</x:v>
      </x:c>
      <x:c r="F52" s="56" t="str">
        <x:v>典型肾绞痛、输尿管上段结石、血尿、轻度感染；镇痛抗感染和术前评估</x:v>
      </x:c>
      <x:c r="G52" s="56" t="str">
        <x:v>典型肾绞痛、输尿管上段结石、血尿、轻度感染；镇痛抗感染和术前评估</x:v>
      </x:c>
      <x:c r="H52" s="56" t="str">
        <x:v>按病例阶段与适应证</x:v>
      </x:c>
      <x:c r="I52" s="56" t="str">
        <x:v>是</x:v>
      </x:c>
      <x:c r="J52" s="56" t="str">
        <x:v>否</x:v>
      </x:c>
      <x:c r="K52" s="56" t="str">
        <x:v>待专家确认</x:v>
      </x:c>
      <x:c r="L52" s="56" t="str">
        <x:v>否</x:v>
      </x:c>
      <x:c r="M52" s="56" t="str">
        <x:v>否</x:v>
      </x:c>
      <x:c r="N52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52" s="56" t="str">
        <x:v>待专家核对</x:v>
      </x:c>
      <x:c r="P52" s="59" t="str">
        <x:v>待专家确认</x:v>
      </x:c>
    </x:row>
    <x:row r="53">
      <x:c r="A53" s="56" t="str">
        <x:v>P009</x:v>
      </x:c>
      <x:c r="B53" s="56" t="str">
        <x:v>P009</x:v>
      </x:c>
      <x:c r="C53" s="56" t="str">
        <x:v>尿沉渣镜检</x:v>
      </x:c>
      <x:c r="D53" s="56" t="str">
        <x:v>必须</x:v>
      </x:c>
      <x:c r="E53" s="59" t="str">
        <x:v>必须</x:v>
      </x:c>
      <x:c r="F53" s="56" t="str">
        <x:v>典型肾绞痛、输尿管上段结石、血尿、轻度感染；镇痛抗感染和术前评估</x:v>
      </x:c>
      <x:c r="G53" s="56" t="str">
        <x:v>典型肾绞痛、输尿管上段结石、血尿、轻度感染；镇痛抗感染和术前评估</x:v>
      </x:c>
      <x:c r="H53" s="56" t="str">
        <x:v>按病例阶段与适应证</x:v>
      </x:c>
      <x:c r="I53" s="56" t="str">
        <x:v>是</x:v>
      </x:c>
      <x:c r="J53" s="56" t="str">
        <x:v>否</x:v>
      </x:c>
      <x:c r="K53" s="56" t="str">
        <x:v>待专家确认</x:v>
      </x:c>
      <x:c r="L53" s="56" t="str">
        <x:v>否</x:v>
      </x:c>
      <x:c r="M53" s="56" t="str">
        <x:v>否</x:v>
      </x:c>
      <x:c r="N53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53" s="56" t="str">
        <x:v>待专家核对</x:v>
      </x:c>
      <x:c r="P53" s="59" t="str">
        <x:v>待专家确认</x:v>
      </x:c>
    </x:row>
    <x:row r="54">
      <x:c r="A54" s="56" t="str">
        <x:v>P009</x:v>
      </x:c>
      <x:c r="B54" s="56" t="str">
        <x:v>P009</x:v>
      </x:c>
      <x:c r="C54" s="56" t="str">
        <x:v>中段尿培养+药敏</x:v>
      </x:c>
      <x:c r="D54" s="56" t="str">
        <x:v>条件性</x:v>
      </x:c>
      <x:c r="E54" s="59" t="str">
        <x:v>条件性</x:v>
      </x:c>
      <x:c r="F54" s="56" t="str">
        <x:v>典型肾绞痛、输尿管上段结石、血尿、轻度感染；镇痛抗感染和术前评估</x:v>
      </x:c>
      <x:c r="G54" s="56" t="str">
        <x:v>典型肾绞痛、输尿管上段结石、血尿、轻度感染；镇痛抗感染和术前评估</x:v>
      </x:c>
      <x:c r="H54" s="56" t="str">
        <x:v>按病例阶段与适应证</x:v>
      </x:c>
      <x:c r="I54" s="56" t="str">
        <x:v>否</x:v>
      </x:c>
      <x:c r="J54" s="56" t="str">
        <x:v>是</x:v>
      </x:c>
      <x:c r="K54" s="56" t="str">
        <x:v>待专家确认</x:v>
      </x:c>
      <x:c r="L54" s="56" t="str">
        <x:v>否</x:v>
      </x:c>
      <x:c r="M54" s="56" t="str">
        <x:v>否</x:v>
      </x:c>
      <x:c r="N54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54" s="56" t="str">
        <x:v>待专家核对</x:v>
      </x:c>
      <x:c r="P54" s="59" t="str">
        <x:v>待专家确认</x:v>
      </x:c>
    </x:row>
    <x:row r="55">
      <x:c r="A55" s="56" t="str">
        <x:v>P009</x:v>
      </x:c>
      <x:c r="B55" s="56" t="str">
        <x:v>P009</x:v>
      </x:c>
      <x:c r="C55" s="56" t="str">
        <x:v>血常规</x:v>
      </x:c>
      <x:c r="D55" s="56" t="str">
        <x:v>必须</x:v>
      </x:c>
      <x:c r="E55" s="59" t="str">
        <x:v>必须</x:v>
      </x:c>
      <x:c r="F55" s="56" t="str">
        <x:v>典型肾绞痛、输尿管上段结石、血尿、轻度感染；镇痛抗感染和术前评估</x:v>
      </x:c>
      <x:c r="G55" s="56" t="str">
        <x:v>典型肾绞痛、输尿管上段结石、血尿、轻度感染；镇痛抗感染和术前评估</x:v>
      </x:c>
      <x:c r="H55" s="56" t="str">
        <x:v>按病例阶段与适应证</x:v>
      </x:c>
      <x:c r="I55" s="56" t="str">
        <x:v>是</x:v>
      </x:c>
      <x:c r="J55" s="56" t="str">
        <x:v>否</x:v>
      </x:c>
      <x:c r="K55" s="56" t="str">
        <x:v>待专家确认</x:v>
      </x:c>
      <x:c r="L55" s="56" t="str">
        <x:v>否</x:v>
      </x:c>
      <x:c r="M55" s="56" t="str">
        <x:v>否</x:v>
      </x:c>
      <x:c r="N55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55" s="56" t="str">
        <x:v>待专家核对</x:v>
      </x:c>
      <x:c r="P55" s="59" t="str">
        <x:v>待专家确认</x:v>
      </x:c>
    </x:row>
    <x:row r="56">
      <x:c r="A56" s="56" t="str">
        <x:v>P009</x:v>
      </x:c>
      <x:c r="B56" s="56" t="str">
        <x:v>P009</x:v>
      </x:c>
      <x:c r="C56" s="56" t="str">
        <x:v>CRP/降钙素原</x:v>
      </x:c>
      <x:c r="D56" s="56" t="str">
        <x:v>条件性</x:v>
      </x:c>
      <x:c r="E56" s="59" t="str">
        <x:v>条件性</x:v>
      </x:c>
      <x:c r="F56" s="56" t="str">
        <x:v>典型肾绞痛、输尿管上段结石、血尿、轻度感染；镇痛抗感染和术前评估</x:v>
      </x:c>
      <x:c r="G56" s="56" t="str">
        <x:v>典型肾绞痛、输尿管上段结石、血尿、轻度感染；镇痛抗感染和术前评估</x:v>
      </x:c>
      <x:c r="H56" s="56" t="str">
        <x:v>按病例阶段与适应证</x:v>
      </x:c>
      <x:c r="I56" s="56" t="str">
        <x:v>否</x:v>
      </x:c>
      <x:c r="J56" s="56" t="str">
        <x:v>是</x:v>
      </x:c>
      <x:c r="K56" s="56" t="str">
        <x:v>待专家确认</x:v>
      </x:c>
      <x:c r="L56" s="56" t="str">
        <x:v>否</x:v>
      </x:c>
      <x:c r="M56" s="56" t="str">
        <x:v>否</x:v>
      </x:c>
      <x:c r="N56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56" s="56" t="str">
        <x:v>待专家核对</x:v>
      </x:c>
      <x:c r="P56" s="59" t="str">
        <x:v>待专家确认</x:v>
      </x:c>
    </x:row>
    <x:row r="57">
      <x:c r="A57" s="56" t="str">
        <x:v>P009</x:v>
      </x:c>
      <x:c r="B57" s="56" t="str">
        <x:v>P009</x:v>
      </x:c>
      <x:c r="C57" s="56" t="str">
        <x:v>肾功能/eGFR</x:v>
      </x:c>
      <x:c r="D57" s="56" t="str">
        <x:v>必须</x:v>
      </x:c>
      <x:c r="E57" s="59" t="str">
        <x:v>必须</x:v>
      </x:c>
      <x:c r="F57" s="56" t="str">
        <x:v>典型肾绞痛、输尿管上段结石、血尿、轻度感染；镇痛抗感染和术前评估</x:v>
      </x:c>
      <x:c r="G57" s="56" t="str">
        <x:v>典型肾绞痛、输尿管上段结石、血尿、轻度感染；镇痛抗感染和术前评估</x:v>
      </x:c>
      <x:c r="H57" s="56" t="str">
        <x:v>按病例阶段与适应证</x:v>
      </x:c>
      <x:c r="I57" s="56" t="str">
        <x:v>是</x:v>
      </x:c>
      <x:c r="J57" s="56" t="str">
        <x:v>否</x:v>
      </x:c>
      <x:c r="K57" s="56" t="str">
        <x:v>待专家确认</x:v>
      </x:c>
      <x:c r="L57" s="56" t="str">
        <x:v>否</x:v>
      </x:c>
      <x:c r="M57" s="56" t="str">
        <x:v>否</x:v>
      </x:c>
      <x:c r="N57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57" s="56" t="str">
        <x:v>待专家核对</x:v>
      </x:c>
      <x:c r="P57" s="59" t="str">
        <x:v>待专家确认</x:v>
      </x:c>
    </x:row>
    <x:row r="58">
      <x:c r="A58" s="56" t="str">
        <x:v>P010</x:v>
      </x:c>
      <x:c r="B58" s="56" t="str">
        <x:v>P010</x:v>
      </x:c>
      <x:c r="C58" s="56" t="str">
        <x:v>尿常规</x:v>
      </x:c>
      <x:c r="D58" s="56" t="str">
        <x:v>必须</x:v>
      </x:c>
      <x:c r="E58" s="59" t="str">
        <x:v>必须</x:v>
      </x:c>
      <x:c r="F58" s="56" t="str">
        <x:v>运动后血尿、左肾铸型结石、感染风险、PCNL术前准备</x:v>
      </x:c>
      <x:c r="G58" s="56" t="str">
        <x:v>运动后血尿、左肾铸型结石、感染风险、PCNL术前准备</x:v>
      </x:c>
      <x:c r="H58" s="56" t="str">
        <x:v>按病例阶段与适应证</x:v>
      </x:c>
      <x:c r="I58" s="56" t="str">
        <x:v>是</x:v>
      </x:c>
      <x:c r="J58" s="56" t="str">
        <x:v>否</x:v>
      </x:c>
      <x:c r="K58" s="56" t="str">
        <x:v>待专家确认</x:v>
      </x:c>
      <x:c r="L58" s="56" t="str">
        <x:v>否</x:v>
      </x:c>
      <x:c r="M58" s="56" t="str">
        <x:v>否</x:v>
      </x:c>
      <x:c r="N58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58" s="56" t="str">
        <x:v>待专家核对</x:v>
      </x:c>
      <x:c r="P58" s="59" t="str">
        <x:v>待专家确认</x:v>
      </x:c>
    </x:row>
    <x:row r="59">
      <x:c r="A59" s="56" t="str">
        <x:v>P010</x:v>
      </x:c>
      <x:c r="B59" s="56" t="str">
        <x:v>P010</x:v>
      </x:c>
      <x:c r="C59" s="56" t="str">
        <x:v>尿沉渣镜检</x:v>
      </x:c>
      <x:c r="D59" s="56" t="str">
        <x:v>必须</x:v>
      </x:c>
      <x:c r="E59" s="59" t="str">
        <x:v>必须</x:v>
      </x:c>
      <x:c r="F59" s="56" t="str">
        <x:v>运动后血尿、左肾铸型结石、感染风险、PCNL术前准备</x:v>
      </x:c>
      <x:c r="G59" s="56" t="str">
        <x:v>运动后血尿、左肾铸型结石、感染风险、PCNL术前准备</x:v>
      </x:c>
      <x:c r="H59" s="56" t="str">
        <x:v>按病例阶段与适应证</x:v>
      </x:c>
      <x:c r="I59" s="56" t="str">
        <x:v>是</x:v>
      </x:c>
      <x:c r="J59" s="56" t="str">
        <x:v>否</x:v>
      </x:c>
      <x:c r="K59" s="56" t="str">
        <x:v>待专家确认</x:v>
      </x:c>
      <x:c r="L59" s="56" t="str">
        <x:v>否</x:v>
      </x:c>
      <x:c r="M59" s="56" t="str">
        <x:v>否</x:v>
      </x:c>
      <x:c r="N59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59" s="56" t="str">
        <x:v>待专家核对</x:v>
      </x:c>
      <x:c r="P59" s="59" t="str">
        <x:v>待专家确认</x:v>
      </x:c>
    </x:row>
    <x:row r="60">
      <x:c r="A60" s="56" t="str">
        <x:v>P010</x:v>
      </x:c>
      <x:c r="B60" s="56" t="str">
        <x:v>P010</x:v>
      </x:c>
      <x:c r="C60" s="56" t="str">
        <x:v>肾功能/eGFR</x:v>
      </x:c>
      <x:c r="D60" s="56" t="str">
        <x:v>必须</x:v>
      </x:c>
      <x:c r="E60" s="59" t="str">
        <x:v>必须</x:v>
      </x:c>
      <x:c r="F60" s="56" t="str">
        <x:v>运动后血尿、左肾铸型结石、感染风险、PCNL术前准备</x:v>
      </x:c>
      <x:c r="G60" s="56" t="str">
        <x:v>运动后血尿、左肾铸型结石、感染风险、PCNL术前准备</x:v>
      </x:c>
      <x:c r="H60" s="56" t="str">
        <x:v>按病例阶段与适应证</x:v>
      </x:c>
      <x:c r="I60" s="56" t="str">
        <x:v>是</x:v>
      </x:c>
      <x:c r="J60" s="56" t="str">
        <x:v>否</x:v>
      </x:c>
      <x:c r="K60" s="56" t="str">
        <x:v>待专家确认</x:v>
      </x:c>
      <x:c r="L60" s="56" t="str">
        <x:v>否</x:v>
      </x:c>
      <x:c r="M60" s="56" t="str">
        <x:v>否</x:v>
      </x:c>
      <x:c r="N60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60" s="56" t="str">
        <x:v>待专家核对</x:v>
      </x:c>
      <x:c r="P60" s="59" t="str">
        <x:v>待专家确认</x:v>
      </x:c>
    </x:row>
    <x:row r="61">
      <x:c r="A61" s="56" t="str">
        <x:v>P010</x:v>
      </x:c>
      <x:c r="B61" s="56" t="str">
        <x:v>P010</x:v>
      </x:c>
      <x:c r="C61" s="56" t="str">
        <x:v>泌尿系CT平扫/低剂量NCCT KUB</x:v>
      </x:c>
      <x:c r="D61" s="56" t="str">
        <x:v>条件性</x:v>
      </x:c>
      <x:c r="E61" s="59" t="str">
        <x:v>条件性</x:v>
      </x:c>
      <x:c r="F61" s="56" t="str">
        <x:v>运动后血尿、左肾铸型结石、感染风险、PCNL术前准备</x:v>
      </x:c>
      <x:c r="G61" s="56" t="str">
        <x:v>运动后血尿、左肾铸型结石、感染风险、PCNL术前准备</x:v>
      </x:c>
      <x:c r="H61" s="56" t="str">
        <x:v>按病例阶段与适应证</x:v>
      </x:c>
      <x:c r="I61" s="56" t="str">
        <x:v>否</x:v>
      </x:c>
      <x:c r="J61" s="56" t="str">
        <x:v>是</x:v>
      </x:c>
      <x:c r="K61" s="56" t="str">
        <x:v>待专家确认</x:v>
      </x:c>
      <x:c r="L61" s="56" t="str">
        <x:v>否</x:v>
      </x:c>
      <x:c r="M61" s="56" t="str">
        <x:v>否</x:v>
      </x:c>
      <x:c r="N61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61" s="56" t="str">
        <x:v>待专家核对</x:v>
      </x:c>
      <x:c r="P61" s="59" t="str">
        <x:v>待专家确认</x:v>
      </x:c>
    </x:row>
    <x:row r="62">
      <x:c r="A62" s="56" t="str">
        <x:v>P010</x:v>
      </x:c>
      <x:c r="B62" s="56" t="str">
        <x:v>P010</x:v>
      </x:c>
      <x:c r="C62" s="56" t="str">
        <x:v>泌尿系超声+残余尿</x:v>
      </x:c>
      <x:c r="D62" s="56" t="str">
        <x:v>待专家确认</x:v>
      </x:c>
      <x:c r="E62" s="59" t="str">
        <x:v>待专家确认</x:v>
      </x:c>
      <x:c r="F62" s="56" t="str">
        <x:v>运动后血尿、左肾铸型结石、感染风险、PCNL术前准备</x:v>
      </x:c>
      <x:c r="G62" s="56" t="str">
        <x:v>运动后血尿、左肾铸型结石、感染风险、PCNL术前准备</x:v>
      </x:c>
      <x:c r="H62" s="56" t="str">
        <x:v>按病例阶段与适应证</x:v>
      </x:c>
      <x:c r="I62" s="56" t="str">
        <x:v>否</x:v>
      </x:c>
      <x:c r="J62" s="56" t="str">
        <x:v>否</x:v>
      </x:c>
      <x:c r="K62" s="56" t="str">
        <x:v>待专家确认</x:v>
      </x:c>
      <x:c r="L62" s="56" t="str">
        <x:v>否</x:v>
      </x:c>
      <x:c r="M62" s="56" t="str">
        <x:v>否</x:v>
      </x:c>
      <x:c r="N62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62" s="56" t="str">
        <x:v>待专家核对</x:v>
      </x:c>
      <x:c r="P62" s="59" t="str">
        <x:v>待专家确认</x:v>
      </x:c>
    </x:row>
    <x:row r="63">
      <x:c r="A63" s="56" t="str">
        <x:v>P011</x:v>
      </x:c>
      <x:c r="B63" s="56" t="str">
        <x:v>P011</x:v>
      </x:c>
      <x:c r="C63" s="56" t="str">
        <x:v>尿沉渣镜检</x:v>
      </x:c>
      <x:c r="D63" s="56" t="str">
        <x:v>必须</x:v>
      </x:c>
      <x:c r="E63" s="59" t="str">
        <x:v>必须</x:v>
      </x:c>
      <x:c r="F63" s="56" t="str">
        <x:v>儿童/青少年上感后血尿、眼睑水肿、蛋白尿、畸形红细胞和管型；肾内科安全网</x:v>
      </x:c>
      <x:c r="G63" s="56" t="str">
        <x:v>儿童/青少年上感后血尿、眼睑水肿、蛋白尿、畸形红细胞和管型；肾内科安全网</x:v>
      </x:c>
      <x:c r="H63" s="56" t="str">
        <x:v>按病例阶段与适应证</x:v>
      </x:c>
      <x:c r="I63" s="56" t="str">
        <x:v>是</x:v>
      </x:c>
      <x:c r="J63" s="56" t="str">
        <x:v>否</x:v>
      </x:c>
      <x:c r="K63" s="56" t="str">
        <x:v>待专家确认</x:v>
      </x:c>
      <x:c r="L63" s="56" t="str">
        <x:v>否</x:v>
      </x:c>
      <x:c r="M63" s="56" t="str">
        <x:v>否</x:v>
      </x:c>
      <x:c r="N63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63" s="56" t="str">
        <x:v>待专家核对</x:v>
      </x:c>
      <x:c r="P63" s="59" t="str">
        <x:v>待专家确认</x:v>
      </x:c>
    </x:row>
    <x:row r="64">
      <x:c r="A64" s="56" t="str">
        <x:v>P011</x:v>
      </x:c>
      <x:c r="B64" s="56" t="str">
        <x:v>P011</x:v>
      </x:c>
      <x:c r="C64" s="56" t="str">
        <x:v>尿红细胞形态/相差显微镜</x:v>
      </x:c>
      <x:c r="D64" s="56" t="str">
        <x:v>条件性</x:v>
      </x:c>
      <x:c r="E64" s="59" t="str">
        <x:v>条件性</x:v>
      </x:c>
      <x:c r="F64" s="56" t="str">
        <x:v>儿童/青少年上感后血尿、眼睑水肿、蛋白尿、畸形红细胞和管型；肾内科安全网</x:v>
      </x:c>
      <x:c r="G64" s="56" t="str">
        <x:v>儿童/青少年上感后血尿、眼睑水肿、蛋白尿、畸形红细胞和管型；肾内科安全网</x:v>
      </x:c>
      <x:c r="H64" s="56" t="str">
        <x:v>按病例阶段与适应证</x:v>
      </x:c>
      <x:c r="I64" s="56" t="str">
        <x:v>否</x:v>
      </x:c>
      <x:c r="J64" s="56" t="str">
        <x:v>是</x:v>
      </x:c>
      <x:c r="K64" s="56" t="str">
        <x:v>待专家确认</x:v>
      </x:c>
      <x:c r="L64" s="56" t="str">
        <x:v>否</x:v>
      </x:c>
      <x:c r="M64" s="56" t="str">
        <x:v>否</x:v>
      </x:c>
      <x:c r="N64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64" s="56" t="str">
        <x:v>待专家核对</x:v>
      </x:c>
      <x:c r="P64" s="59" t="str">
        <x:v>待专家确认</x:v>
      </x:c>
    </x:row>
    <x:row r="65">
      <x:c r="A65" s="56" t="str">
        <x:v>P011</x:v>
      </x:c>
      <x:c r="B65" s="56" t="str">
        <x:v>P011</x:v>
      </x:c>
      <x:c r="C65" s="56" t="str">
        <x:v>尿蛋白定性/尿蛋白肌酐比</x:v>
      </x:c>
      <x:c r="D65" s="56" t="str">
        <x:v>条件性</x:v>
      </x:c>
      <x:c r="E65" s="59" t="str">
        <x:v>条件性</x:v>
      </x:c>
      <x:c r="F65" s="56" t="str">
        <x:v>儿童/青少年上感后血尿、眼睑水肿、蛋白尿、畸形红细胞和管型；肾内科安全网</x:v>
      </x:c>
      <x:c r="G65" s="56" t="str">
        <x:v>儿童/青少年上感后血尿、眼睑水肿、蛋白尿、畸形红细胞和管型；肾内科安全网</x:v>
      </x:c>
      <x:c r="H65" s="56" t="str">
        <x:v>按病例阶段与适应证</x:v>
      </x:c>
      <x:c r="I65" s="56" t="str">
        <x:v>否</x:v>
      </x:c>
      <x:c r="J65" s="56" t="str">
        <x:v>是</x:v>
      </x:c>
      <x:c r="K65" s="56" t="str">
        <x:v>待专家确认</x:v>
      </x:c>
      <x:c r="L65" s="56" t="str">
        <x:v>否</x:v>
      </x:c>
      <x:c r="M65" s="56" t="str">
        <x:v>否</x:v>
      </x:c>
      <x:c r="N65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65" s="56" t="str">
        <x:v>待专家核对</x:v>
      </x:c>
      <x:c r="P65" s="59" t="str">
        <x:v>待专家确认</x:v>
      </x:c>
    </x:row>
    <x:row r="66">
      <x:c r="A66" s="56" t="str">
        <x:v>P011</x:v>
      </x:c>
      <x:c r="B66" s="56" t="str">
        <x:v>P011</x:v>
      </x:c>
      <x:c r="C66" s="56" t="str">
        <x:v>肾功能/eGFR</x:v>
      </x:c>
      <x:c r="D66" s="56" t="str">
        <x:v>必须</x:v>
      </x:c>
      <x:c r="E66" s="59" t="str">
        <x:v>必须</x:v>
      </x:c>
      <x:c r="F66" s="56" t="str">
        <x:v>儿童/青少年上感后血尿、眼睑水肿、蛋白尿、畸形红细胞和管型；肾内科安全网</x:v>
      </x:c>
      <x:c r="G66" s="56" t="str">
        <x:v>儿童/青少年上感后血尿、眼睑水肿、蛋白尿、畸形红细胞和管型；肾内科安全网</x:v>
      </x:c>
      <x:c r="H66" s="56" t="str">
        <x:v>按病例阶段与适应证</x:v>
      </x:c>
      <x:c r="I66" s="56" t="str">
        <x:v>是</x:v>
      </x:c>
      <x:c r="J66" s="56" t="str">
        <x:v>否</x:v>
      </x:c>
      <x:c r="K66" s="56" t="str">
        <x:v>待专家确认</x:v>
      </x:c>
      <x:c r="L66" s="56" t="str">
        <x:v>否</x:v>
      </x:c>
      <x:c r="M66" s="56" t="str">
        <x:v>否</x:v>
      </x:c>
      <x:c r="N66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66" s="56" t="str">
        <x:v>待专家核对</x:v>
      </x:c>
      <x:c r="P66" s="59" t="str">
        <x:v>待专家确认</x:v>
      </x:c>
    </x:row>
    <x:row r="67">
      <x:c r="A67" s="56" t="str">
        <x:v>P011</x:v>
      </x:c>
      <x:c r="B67" s="56" t="str">
        <x:v>P011</x:v>
      </x:c>
      <x:c r="C67" s="56" t="str">
        <x:v>补体C3/C4</x:v>
      </x:c>
      <x:c r="D67" s="56" t="str">
        <x:v>条件性</x:v>
      </x:c>
      <x:c r="E67" s="59" t="str">
        <x:v>条件性</x:v>
      </x:c>
      <x:c r="F67" s="56" t="str">
        <x:v>儿童/青少年上感后血尿、眼睑水肿、蛋白尿、畸形红细胞和管型；肾内科安全网</x:v>
      </x:c>
      <x:c r="G67" s="56" t="str">
        <x:v>儿童/青少年上感后血尿、眼睑水肿、蛋白尿、畸形红细胞和管型；肾内科安全网</x:v>
      </x:c>
      <x:c r="H67" s="56" t="str">
        <x:v>按病例阶段与适应证</x:v>
      </x:c>
      <x:c r="I67" s="56" t="str">
        <x:v>否</x:v>
      </x:c>
      <x:c r="J67" s="56" t="str">
        <x:v>是</x:v>
      </x:c>
      <x:c r="K67" s="56" t="str">
        <x:v>待专家确认</x:v>
      </x:c>
      <x:c r="L67" s="56" t="str">
        <x:v>否</x:v>
      </x:c>
      <x:c r="M67" s="56" t="str">
        <x:v>否</x:v>
      </x:c>
      <x:c r="N67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67" s="56" t="str">
        <x:v>待专家核对</x:v>
      </x:c>
      <x:c r="P67" s="59" t="str">
        <x:v>待专家确认</x:v>
      </x:c>
    </x:row>
    <x:row r="68">
      <x:c r="A68" s="56" t="str">
        <x:v>P011</x:v>
      </x:c>
      <x:c r="B68" s="56" t="str">
        <x:v>P011</x:v>
      </x:c>
      <x:c r="C68" s="56" t="str">
        <x:v>肾活检病理</x:v>
      </x:c>
      <x:c r="D68" s="56" t="str">
        <x:v>条件性</x:v>
      </x:c>
      <x:c r="E68" s="59" t="str">
        <x:v>条件性</x:v>
      </x:c>
      <x:c r="F68" s="56" t="str">
        <x:v>儿童/青少年上感后血尿、眼睑水肿、蛋白尿、畸形红细胞和管型；肾内科安全网</x:v>
      </x:c>
      <x:c r="G68" s="56" t="str">
        <x:v>儿童/青少年上感后血尿、眼睑水肿、蛋白尿、畸形红细胞和管型；肾内科安全网</x:v>
      </x:c>
      <x:c r="H68" s="56" t="str">
        <x:v>按病例阶段与适应证</x:v>
      </x:c>
      <x:c r="I68" s="56" t="str">
        <x:v>否</x:v>
      </x:c>
      <x:c r="J68" s="56" t="str">
        <x:v>是</x:v>
      </x:c>
      <x:c r="K68" s="56" t="str">
        <x:v>待专家确认</x:v>
      </x:c>
      <x:c r="L68" s="56" t="str">
        <x:v>否</x:v>
      </x:c>
      <x:c r="M68" s="56" t="str">
        <x:v>否</x:v>
      </x:c>
      <x:c r="N68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68" s="56" t="str">
        <x:v>待专家核对</x:v>
      </x:c>
      <x:c r="P68" s="59" t="str">
        <x:v>待专家确认</x:v>
      </x:c>
    </x:row>
    <x:row r="69">
      <x:c r="A69" s="56" t="str">
        <x:v>P012</x:v>
      </x:c>
      <x:c r="B69" s="56" t="str">
        <x:v>P012</x:v>
      </x:c>
      <x:c r="C69" s="56" t="str">
        <x:v>尿沉渣镜检</x:v>
      </x:c>
      <x:c r="D69" s="56" t="str">
        <x:v>必须</x:v>
      </x:c>
      <x:c r="E69" s="59" t="str">
        <x:v>必须</x:v>
      </x:c>
      <x:c r="F69" s="56" t="str">
        <x:v>反复感冒后血尿、泡沫尿、蛋白尿加重；IgA肾病；肾活检与肾内科管理</x:v>
      </x:c>
      <x:c r="G69" s="56" t="str">
        <x:v>反复感冒后血尿、泡沫尿、蛋白尿加重；IgA肾病；肾活检与肾内科管理</x:v>
      </x:c>
      <x:c r="H69" s="56" t="str">
        <x:v>按病例阶段与适应证</x:v>
      </x:c>
      <x:c r="I69" s="56" t="str">
        <x:v>是</x:v>
      </x:c>
      <x:c r="J69" s="56" t="str">
        <x:v>否</x:v>
      </x:c>
      <x:c r="K69" s="56" t="str">
        <x:v>待专家确认</x:v>
      </x:c>
      <x:c r="L69" s="56" t="str">
        <x:v>否</x:v>
      </x:c>
      <x:c r="M69" s="56" t="str">
        <x:v>否</x:v>
      </x:c>
      <x:c r="N69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69" s="56" t="str">
        <x:v>待专家核对</x:v>
      </x:c>
      <x:c r="P69" s="59" t="str">
        <x:v>待专家确认</x:v>
      </x:c>
    </x:row>
    <x:row r="70">
      <x:c r="A70" s="56" t="str">
        <x:v>P012</x:v>
      </x:c>
      <x:c r="B70" s="56" t="str">
        <x:v>P012</x:v>
      </x:c>
      <x:c r="C70" s="56" t="str">
        <x:v>尿红细胞形态/相差显微镜</x:v>
      </x:c>
      <x:c r="D70" s="56" t="str">
        <x:v>条件性</x:v>
      </x:c>
      <x:c r="E70" s="59" t="str">
        <x:v>条件性</x:v>
      </x:c>
      <x:c r="F70" s="56" t="str">
        <x:v>反复感冒后血尿、泡沫尿、蛋白尿加重；IgA肾病；肾活检与肾内科管理</x:v>
      </x:c>
      <x:c r="G70" s="56" t="str">
        <x:v>反复感冒后血尿、泡沫尿、蛋白尿加重；IgA肾病；肾活检与肾内科管理</x:v>
      </x:c>
      <x:c r="H70" s="56" t="str">
        <x:v>按病例阶段与适应证</x:v>
      </x:c>
      <x:c r="I70" s="56" t="str">
        <x:v>否</x:v>
      </x:c>
      <x:c r="J70" s="56" t="str">
        <x:v>是</x:v>
      </x:c>
      <x:c r="K70" s="56" t="str">
        <x:v>待专家确认</x:v>
      </x:c>
      <x:c r="L70" s="56" t="str">
        <x:v>否</x:v>
      </x:c>
      <x:c r="M70" s="56" t="str">
        <x:v>否</x:v>
      </x:c>
      <x:c r="N70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70" s="56" t="str">
        <x:v>待专家核对</x:v>
      </x:c>
      <x:c r="P70" s="59" t="str">
        <x:v>待专家确认</x:v>
      </x:c>
    </x:row>
    <x:row r="71">
      <x:c r="A71" s="56" t="str">
        <x:v>P012</x:v>
      </x:c>
      <x:c r="B71" s="56" t="str">
        <x:v>P012</x:v>
      </x:c>
      <x:c r="C71" s="56" t="str">
        <x:v>尿蛋白定性/尿蛋白肌酐比</x:v>
      </x:c>
      <x:c r="D71" s="56" t="str">
        <x:v>条件性</x:v>
      </x:c>
      <x:c r="E71" s="59" t="str">
        <x:v>条件性</x:v>
      </x:c>
      <x:c r="F71" s="56" t="str">
        <x:v>反复感冒后血尿、泡沫尿、蛋白尿加重；IgA肾病；肾活检与肾内科管理</x:v>
      </x:c>
      <x:c r="G71" s="56" t="str">
        <x:v>反复感冒后血尿、泡沫尿、蛋白尿加重；IgA肾病；肾活检与肾内科管理</x:v>
      </x:c>
      <x:c r="H71" s="56" t="str">
        <x:v>按病例阶段与适应证</x:v>
      </x:c>
      <x:c r="I71" s="56" t="str">
        <x:v>否</x:v>
      </x:c>
      <x:c r="J71" s="56" t="str">
        <x:v>是</x:v>
      </x:c>
      <x:c r="K71" s="56" t="str">
        <x:v>待专家确认</x:v>
      </x:c>
      <x:c r="L71" s="56" t="str">
        <x:v>否</x:v>
      </x:c>
      <x:c r="M71" s="56" t="str">
        <x:v>否</x:v>
      </x:c>
      <x:c r="N71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71" s="56" t="str">
        <x:v>待专家核对</x:v>
      </x:c>
      <x:c r="P71" s="59" t="str">
        <x:v>待专家确认</x:v>
      </x:c>
    </x:row>
    <x:row r="72">
      <x:c r="A72" s="56" t="str">
        <x:v>P012</x:v>
      </x:c>
      <x:c r="B72" s="56" t="str">
        <x:v>P012</x:v>
      </x:c>
      <x:c r="C72" s="56" t="str">
        <x:v>肾功能/eGFR</x:v>
      </x:c>
      <x:c r="D72" s="56" t="str">
        <x:v>必须</x:v>
      </x:c>
      <x:c r="E72" s="59" t="str">
        <x:v>必须</x:v>
      </x:c>
      <x:c r="F72" s="56" t="str">
        <x:v>反复感冒后血尿、泡沫尿、蛋白尿加重；IgA肾病；肾活检与肾内科管理</x:v>
      </x:c>
      <x:c r="G72" s="56" t="str">
        <x:v>反复感冒后血尿、泡沫尿、蛋白尿加重；IgA肾病；肾活检与肾内科管理</x:v>
      </x:c>
      <x:c r="H72" s="56" t="str">
        <x:v>按病例阶段与适应证</x:v>
      </x:c>
      <x:c r="I72" s="56" t="str">
        <x:v>是</x:v>
      </x:c>
      <x:c r="J72" s="56" t="str">
        <x:v>否</x:v>
      </x:c>
      <x:c r="K72" s="56" t="str">
        <x:v>待专家确认</x:v>
      </x:c>
      <x:c r="L72" s="56" t="str">
        <x:v>否</x:v>
      </x:c>
      <x:c r="M72" s="56" t="str">
        <x:v>否</x:v>
      </x:c>
      <x:c r="N72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72" s="56" t="str">
        <x:v>待专家核对</x:v>
      </x:c>
      <x:c r="P72" s="59" t="str">
        <x:v>待专家确认</x:v>
      </x:c>
    </x:row>
    <x:row r="73">
      <x:c r="A73" s="56" t="str">
        <x:v>P012</x:v>
      </x:c>
      <x:c r="B73" s="56" t="str">
        <x:v>P012</x:v>
      </x:c>
      <x:c r="C73" s="56" t="str">
        <x:v>补体C3/C4</x:v>
      </x:c>
      <x:c r="D73" s="56" t="str">
        <x:v>条件性</x:v>
      </x:c>
      <x:c r="E73" s="59" t="str">
        <x:v>条件性</x:v>
      </x:c>
      <x:c r="F73" s="56" t="str">
        <x:v>反复感冒后血尿、泡沫尿、蛋白尿加重；IgA肾病；肾活检与肾内科管理</x:v>
      </x:c>
      <x:c r="G73" s="56" t="str">
        <x:v>反复感冒后血尿、泡沫尿、蛋白尿加重；IgA肾病；肾活检与肾内科管理</x:v>
      </x:c>
      <x:c r="H73" s="56" t="str">
        <x:v>按病例阶段与适应证</x:v>
      </x:c>
      <x:c r="I73" s="56" t="str">
        <x:v>否</x:v>
      </x:c>
      <x:c r="J73" s="56" t="str">
        <x:v>是</x:v>
      </x:c>
      <x:c r="K73" s="56" t="str">
        <x:v>待专家确认</x:v>
      </x:c>
      <x:c r="L73" s="56" t="str">
        <x:v>否</x:v>
      </x:c>
      <x:c r="M73" s="56" t="str">
        <x:v>否</x:v>
      </x:c>
      <x:c r="N73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73" s="56" t="str">
        <x:v>待专家核对</x:v>
      </x:c>
      <x:c r="P73" s="59" t="str">
        <x:v>待专家确认</x:v>
      </x:c>
    </x:row>
    <x:row r="74">
      <x:c r="A74" s="56" t="str">
        <x:v>P012</x:v>
      </x:c>
      <x:c r="B74" s="56" t="str">
        <x:v>P012</x:v>
      </x:c>
      <x:c r="C74" s="56" t="str">
        <x:v>肾活检病理</x:v>
      </x:c>
      <x:c r="D74" s="56" t="str">
        <x:v>条件性</x:v>
      </x:c>
      <x:c r="E74" s="59" t="str">
        <x:v>条件性</x:v>
      </x:c>
      <x:c r="F74" s="56" t="str">
        <x:v>反复感冒后血尿、泡沫尿、蛋白尿加重；IgA肾病；肾活检与肾内科管理</x:v>
      </x:c>
      <x:c r="G74" s="56" t="str">
        <x:v>反复感冒后血尿、泡沫尿、蛋白尿加重；IgA肾病；肾活检与肾内科管理</x:v>
      </x:c>
      <x:c r="H74" s="56" t="str">
        <x:v>按病例阶段与适应证</x:v>
      </x:c>
      <x:c r="I74" s="56" t="str">
        <x:v>否</x:v>
      </x:c>
      <x:c r="J74" s="56" t="str">
        <x:v>是</x:v>
      </x:c>
      <x:c r="K74" s="56" t="str">
        <x:v>待专家确认</x:v>
      </x:c>
      <x:c r="L74" s="56" t="str">
        <x:v>否</x:v>
      </x:c>
      <x:c r="M74" s="56" t="str">
        <x:v>否</x:v>
      </x:c>
      <x:c r="N74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74" s="56" t="str">
        <x:v>待专家核对</x:v>
      </x:c>
      <x:c r="P74" s="59" t="str">
        <x:v>待专家确认</x:v>
      </x:c>
    </x:row>
    <x:row r="75">
      <x:c r="A75" s="56" t="str">
        <x:v>P013</x:v>
      </x:c>
      <x:c r="B75" s="56" t="str">
        <x:v>HX-ADD-001</x:v>
      </x:c>
      <x:c r="C75" s="56" t="str">
        <x:v>尿常规</x:v>
      </x:c>
      <x:c r="D75" s="56" t="str">
        <x:v>必须</x:v>
      </x:c>
      <x:c r="E75" s="59" t="str">
        <x:v>必须</x:v>
      </x:c>
      <x:c r="F75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75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H75" s="56" t="str">
        <x:v>按病例阶段与适应证</x:v>
      </x:c>
      <x:c r="I75" s="56" t="str">
        <x:v>是</x:v>
      </x:c>
      <x:c r="J75" s="56" t="str">
        <x:v>否</x:v>
      </x:c>
      <x:c r="K75" s="56" t="str">
        <x:v>待专家确认</x:v>
      </x:c>
      <x:c r="L75" s="56" t="str">
        <x:v>否</x:v>
      </x:c>
      <x:c r="M75" s="56" t="str">
        <x:v>否</x:v>
      </x:c>
      <x:c r="N75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75" s="56" t="str">
        <x:v>待专家核对</x:v>
      </x:c>
      <x:c r="P75" s="59" t="str">
        <x:v>待专家确认</x:v>
      </x:c>
    </x:row>
    <x:row r="76">
      <x:c r="A76" s="56" t="str">
        <x:v>P013</x:v>
      </x:c>
      <x:c r="B76" s="56" t="str">
        <x:v>HX-ADD-001</x:v>
      </x:c>
      <x:c r="C76" s="56" t="str">
        <x:v>尿沉渣镜检</x:v>
      </x:c>
      <x:c r="D76" s="56" t="str">
        <x:v>必须</x:v>
      </x:c>
      <x:c r="E76" s="59" t="str">
        <x:v>必须</x:v>
      </x:c>
      <x:c r="F76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76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H76" s="56" t="str">
        <x:v>按病例阶段与适应证</x:v>
      </x:c>
      <x:c r="I76" s="56" t="str">
        <x:v>是</x:v>
      </x:c>
      <x:c r="J76" s="56" t="str">
        <x:v>否</x:v>
      </x:c>
      <x:c r="K76" s="56" t="str">
        <x:v>待专家确认</x:v>
      </x:c>
      <x:c r="L76" s="56" t="str">
        <x:v>否</x:v>
      </x:c>
      <x:c r="M76" s="56" t="str">
        <x:v>否</x:v>
      </x:c>
      <x:c r="N76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76" s="56" t="str">
        <x:v>待专家核对</x:v>
      </x:c>
      <x:c r="P76" s="59" t="str">
        <x:v>待专家确认</x:v>
      </x:c>
    </x:row>
    <x:row r="77">
      <x:c r="A77" s="56" t="str">
        <x:v>P013</x:v>
      </x:c>
      <x:c r="B77" s="56" t="str">
        <x:v>HX-ADD-001</x:v>
      </x:c>
      <x:c r="C77" s="56" t="str">
        <x:v>尿脱落细胞学</x:v>
      </x:c>
      <x:c r="D77" s="56" t="str">
        <x:v>条件性</x:v>
      </x:c>
      <x:c r="E77" s="59" t="str">
        <x:v>条件性</x:v>
      </x:c>
      <x:c r="F77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77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H77" s="56" t="str">
        <x:v>按病例阶段与适应证</x:v>
      </x:c>
      <x:c r="I77" s="56" t="str">
        <x:v>否</x:v>
      </x:c>
      <x:c r="J77" s="56" t="str">
        <x:v>是</x:v>
      </x:c>
      <x:c r="K77" s="56" t="str">
        <x:v>待专家确认</x:v>
      </x:c>
      <x:c r="L77" s="56" t="str">
        <x:v>否</x:v>
      </x:c>
      <x:c r="M77" s="56" t="str">
        <x:v>否</x:v>
      </x:c>
      <x:c r="N77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77" s="56" t="str">
        <x:v>待专家核对</x:v>
      </x:c>
      <x:c r="P77" s="59" t="str">
        <x:v>待专家确认</x:v>
      </x:c>
    </x:row>
    <x:row r="78">
      <x:c r="A78" s="56" t="str">
        <x:v>P013</x:v>
      </x:c>
      <x:c r="B78" s="56" t="str">
        <x:v>HX-ADD-001</x:v>
      </x:c>
      <x:c r="C78" s="56" t="str">
        <x:v>肾功能/eGFR</x:v>
      </x:c>
      <x:c r="D78" s="56" t="str">
        <x:v>必须</x:v>
      </x:c>
      <x:c r="E78" s="59" t="str">
        <x:v>必须</x:v>
      </x:c>
      <x:c r="F78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78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H78" s="56" t="str">
        <x:v>按病例阶段与适应证</x:v>
      </x:c>
      <x:c r="I78" s="56" t="str">
        <x:v>是</x:v>
      </x:c>
      <x:c r="J78" s="56" t="str">
        <x:v>否</x:v>
      </x:c>
      <x:c r="K78" s="56" t="str">
        <x:v>待专家确认</x:v>
      </x:c>
      <x:c r="L78" s="56" t="str">
        <x:v>否</x:v>
      </x:c>
      <x:c r="M78" s="56" t="str">
        <x:v>否</x:v>
      </x:c>
      <x:c r="N78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78" s="56" t="str">
        <x:v>待专家核对</x:v>
      </x:c>
      <x:c r="P78" s="59" t="str">
        <x:v>待专家确认</x:v>
      </x:c>
    </x:row>
    <x:row r="79">
      <x:c r="A79" s="56" t="str">
        <x:v>P013</x:v>
      </x:c>
      <x:c r="B79" s="56" t="str">
        <x:v>HX-ADD-001</x:v>
      </x:c>
      <x:c r="C79" s="56" t="str">
        <x:v>CTU评估上尿路</x:v>
      </x:c>
      <x:c r="D79" s="56" t="str">
        <x:v>条件性</x:v>
      </x:c>
      <x:c r="E79" s="59" t="str">
        <x:v>条件性</x:v>
      </x:c>
      <x:c r="F79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79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H79" s="56" t="str">
        <x:v>按病例阶段与适应证</x:v>
      </x:c>
      <x:c r="I79" s="56" t="str">
        <x:v>否</x:v>
      </x:c>
      <x:c r="J79" s="56" t="str">
        <x:v>是</x:v>
      </x:c>
      <x:c r="K79" s="56" t="str">
        <x:v>待专家确认</x:v>
      </x:c>
      <x:c r="L79" s="56" t="str">
        <x:v>否</x:v>
      </x:c>
      <x:c r="M79" s="56" t="str">
        <x:v>否</x:v>
      </x:c>
      <x:c r="N79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79" s="56" t="str">
        <x:v>待专家核对</x:v>
      </x:c>
      <x:c r="P79" s="59" t="str">
        <x:v>待专家确认</x:v>
      </x:c>
    </x:row>
    <x:row r="80">
      <x:c r="A80" s="56" t="str">
        <x:v>P013</x:v>
      </x:c>
      <x:c r="B80" s="56" t="str">
        <x:v>HX-ADD-001</x:v>
      </x:c>
      <x:c r="C80" s="56" t="str">
        <x:v>膀胱镜</x:v>
      </x:c>
      <x:c r="D80" s="56" t="str">
        <x:v>条件性</x:v>
      </x:c>
      <x:c r="E80" s="59" t="str">
        <x:v>条件性</x:v>
      </x:c>
      <x:c r="F80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80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H80" s="56" t="str">
        <x:v>按病例阶段与适应证</x:v>
      </x:c>
      <x:c r="I80" s="56" t="str">
        <x:v>否</x:v>
      </x:c>
      <x:c r="J80" s="56" t="str">
        <x:v>是</x:v>
      </x:c>
      <x:c r="K80" s="56" t="str">
        <x:v>待专家确认</x:v>
      </x:c>
      <x:c r="L80" s="56" t="str">
        <x:v>否</x:v>
      </x:c>
      <x:c r="M80" s="56" t="str">
        <x:v>否</x:v>
      </x:c>
      <x:c r="N80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80" s="56" t="str">
        <x:v>待专家核对</x:v>
      </x:c>
      <x:c r="P80" s="59" t="str">
        <x:v>待专家确认</x:v>
      </x:c>
    </x:row>
    <x:row r="81">
      <x:c r="A81" s="56" t="str">
        <x:v>P014</x:v>
      </x:c>
      <x:c r="B81" s="56" t="str">
        <x:v>HX-ADD-002</x:v>
      </x:c>
      <x:c r="C81" s="56" t="str">
        <x:v>尿常规</x:v>
      </x:c>
      <x:c r="D81" s="56" t="str">
        <x:v>必须</x:v>
      </x:c>
      <x:c r="E81" s="59" t="str">
        <x:v>必须</x:v>
      </x:c>
      <x:c r="F81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81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H81" s="56" t="str">
        <x:v>按病例阶段与适应证</x:v>
      </x:c>
      <x:c r="I81" s="56" t="str">
        <x:v>是</x:v>
      </x:c>
      <x:c r="J81" s="56" t="str">
        <x:v>否</x:v>
      </x:c>
      <x:c r="K81" s="56" t="str">
        <x:v>待专家确认</x:v>
      </x:c>
      <x:c r="L81" s="56" t="str">
        <x:v>否</x:v>
      </x:c>
      <x:c r="M81" s="56" t="str">
        <x:v>否</x:v>
      </x:c>
      <x:c r="N81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81" s="56" t="str">
        <x:v>待专家核对</x:v>
      </x:c>
      <x:c r="P81" s="59" t="str">
        <x:v>待专家确认</x:v>
      </x:c>
    </x:row>
    <x:row r="82">
      <x:c r="A82" s="56" t="str">
        <x:v>P014</x:v>
      </x:c>
      <x:c r="B82" s="56" t="str">
        <x:v>HX-ADD-002</x:v>
      </x:c>
      <x:c r="C82" s="56" t="str">
        <x:v>尿沉渣镜检</x:v>
      </x:c>
      <x:c r="D82" s="56" t="str">
        <x:v>必须</x:v>
      </x:c>
      <x:c r="E82" s="59" t="str">
        <x:v>必须</x:v>
      </x:c>
      <x:c r="F82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82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H82" s="56" t="str">
        <x:v>按病例阶段与适应证</x:v>
      </x:c>
      <x:c r="I82" s="56" t="str">
        <x:v>是</x:v>
      </x:c>
      <x:c r="J82" s="56" t="str">
        <x:v>否</x:v>
      </x:c>
      <x:c r="K82" s="56" t="str">
        <x:v>待专家确认</x:v>
      </x:c>
      <x:c r="L82" s="56" t="str">
        <x:v>否</x:v>
      </x:c>
      <x:c r="M82" s="56" t="str">
        <x:v>否</x:v>
      </x:c>
      <x:c r="N82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82" s="56" t="str">
        <x:v>待专家核对</x:v>
      </x:c>
      <x:c r="P82" s="59" t="str">
        <x:v>待专家确认</x:v>
      </x:c>
    </x:row>
    <x:row r="83">
      <x:c r="A83" s="56" t="str">
        <x:v>P014</x:v>
      </x:c>
      <x:c r="B83" s="56" t="str">
        <x:v>HX-ADD-002</x:v>
      </x:c>
      <x:c r="C83" s="56" t="str">
        <x:v>尿脱落细胞学</x:v>
      </x:c>
      <x:c r="D83" s="56" t="str">
        <x:v>条件性</x:v>
      </x:c>
      <x:c r="E83" s="59" t="str">
        <x:v>条件性</x:v>
      </x:c>
      <x:c r="F83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83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H83" s="56" t="str">
        <x:v>按病例阶段与适应证</x:v>
      </x:c>
      <x:c r="I83" s="56" t="str">
        <x:v>否</x:v>
      </x:c>
      <x:c r="J83" s="56" t="str">
        <x:v>是</x:v>
      </x:c>
      <x:c r="K83" s="56" t="str">
        <x:v>待专家确认</x:v>
      </x:c>
      <x:c r="L83" s="56" t="str">
        <x:v>否</x:v>
      </x:c>
      <x:c r="M83" s="56" t="str">
        <x:v>否</x:v>
      </x:c>
      <x:c r="N83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83" s="56" t="str">
        <x:v>待专家核对</x:v>
      </x:c>
      <x:c r="P83" s="59" t="str">
        <x:v>待专家确认</x:v>
      </x:c>
    </x:row>
    <x:row r="84">
      <x:c r="A84" s="56" t="str">
        <x:v>P014</x:v>
      </x:c>
      <x:c r="B84" s="56" t="str">
        <x:v>HX-ADD-002</x:v>
      </x:c>
      <x:c r="C84" s="56" t="str">
        <x:v>肾功能/eGFR</x:v>
      </x:c>
      <x:c r="D84" s="56" t="str">
        <x:v>必须</x:v>
      </x:c>
      <x:c r="E84" s="59" t="str">
        <x:v>必须</x:v>
      </x:c>
      <x:c r="F84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84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H84" s="56" t="str">
        <x:v>按病例阶段与适应证</x:v>
      </x:c>
      <x:c r="I84" s="56" t="str">
        <x:v>是</x:v>
      </x:c>
      <x:c r="J84" s="56" t="str">
        <x:v>否</x:v>
      </x:c>
      <x:c r="K84" s="56" t="str">
        <x:v>待专家确认</x:v>
      </x:c>
      <x:c r="L84" s="56" t="str">
        <x:v>否</x:v>
      </x:c>
      <x:c r="M84" s="56" t="str">
        <x:v>否</x:v>
      </x:c>
      <x:c r="N84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84" s="56" t="str">
        <x:v>待专家核对</x:v>
      </x:c>
      <x:c r="P84" s="59" t="str">
        <x:v>待专家确认</x:v>
      </x:c>
    </x:row>
    <x:row r="85">
      <x:c r="A85" s="56" t="str">
        <x:v>P014</x:v>
      </x:c>
      <x:c r="B85" s="56" t="str">
        <x:v>HX-ADD-002</x:v>
      </x:c>
      <x:c r="C85" s="56" t="str">
        <x:v>CTU评估上尿路</x:v>
      </x:c>
      <x:c r="D85" s="56" t="str">
        <x:v>条件性</x:v>
      </x:c>
      <x:c r="E85" s="59" t="str">
        <x:v>条件性</x:v>
      </x:c>
      <x:c r="F85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85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H85" s="56" t="str">
        <x:v>按病例阶段与适应证</x:v>
      </x:c>
      <x:c r="I85" s="56" t="str">
        <x:v>否</x:v>
      </x:c>
      <x:c r="J85" s="56" t="str">
        <x:v>是</x:v>
      </x:c>
      <x:c r="K85" s="56" t="str">
        <x:v>待专家确认</x:v>
      </x:c>
      <x:c r="L85" s="56" t="str">
        <x:v>否</x:v>
      </x:c>
      <x:c r="M85" s="56" t="str">
        <x:v>否</x:v>
      </x:c>
      <x:c r="N85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85" s="56" t="str">
        <x:v>待专家核对</x:v>
      </x:c>
      <x:c r="P85" s="59" t="str">
        <x:v>待专家确认</x:v>
      </x:c>
    </x:row>
    <x:row r="86">
      <x:c r="A86" s="56" t="str">
        <x:v>P014</x:v>
      </x:c>
      <x:c r="B86" s="56" t="str">
        <x:v>HX-ADD-002</x:v>
      </x:c>
      <x:c r="C86" s="56" t="str">
        <x:v>膀胱镜</x:v>
      </x:c>
      <x:c r="D86" s="56" t="str">
        <x:v>条件性</x:v>
      </x:c>
      <x:c r="E86" s="59" t="str">
        <x:v>条件性</x:v>
      </x:c>
      <x:c r="F86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86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H86" s="56" t="str">
        <x:v>按病例阶段与适应证</x:v>
      </x:c>
      <x:c r="I86" s="56" t="str">
        <x:v>否</x:v>
      </x:c>
      <x:c r="J86" s="56" t="str">
        <x:v>是</x:v>
      </x:c>
      <x:c r="K86" s="56" t="str">
        <x:v>待专家确认</x:v>
      </x:c>
      <x:c r="L86" s="56" t="str">
        <x:v>否</x:v>
      </x:c>
      <x:c r="M86" s="56" t="str">
        <x:v>否</x:v>
      </x:c>
      <x:c r="N86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86" s="56" t="str">
        <x:v>待专家核对</x:v>
      </x:c>
      <x:c r="P86" s="59" t="str">
        <x:v>待专家确认</x:v>
      </x:c>
    </x:row>
    <x:row r="87">
      <x:c r="A87" s="56" t="str">
        <x:v>P015</x:v>
      </x:c>
      <x:c r="B87" s="56" t="str">
        <x:v>HX-ADD-003</x:v>
      </x:c>
      <x:c r="C87" s="56" t="str">
        <x:v>尿常规</x:v>
      </x:c>
      <x:c r="D87" s="56" t="str">
        <x:v>必须</x:v>
      </x:c>
      <x:c r="E87" s="59" t="str">
        <x:v>必须</x:v>
      </x:c>
      <x:c r="F87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87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H87" s="56" t="str">
        <x:v>按病例阶段与适应证</x:v>
      </x:c>
      <x:c r="I87" s="56" t="str">
        <x:v>是</x:v>
      </x:c>
      <x:c r="J87" s="56" t="str">
        <x:v>否</x:v>
      </x:c>
      <x:c r="K87" s="56" t="str">
        <x:v>待专家确认</x:v>
      </x:c>
      <x:c r="L87" s="56" t="str">
        <x:v>否</x:v>
      </x:c>
      <x:c r="M87" s="56" t="str">
        <x:v>否</x:v>
      </x:c>
      <x:c r="N87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87" s="56" t="str">
        <x:v>待专家核对</x:v>
      </x:c>
      <x:c r="P87" s="59" t="str">
        <x:v>待专家确认</x:v>
      </x:c>
    </x:row>
    <x:row r="88">
      <x:c r="A88" s="56" t="str">
        <x:v>P015</x:v>
      </x:c>
      <x:c r="B88" s="56" t="str">
        <x:v>HX-ADD-003</x:v>
      </x:c>
      <x:c r="C88" s="56" t="str">
        <x:v>尿沉渣镜检</x:v>
      </x:c>
      <x:c r="D88" s="56" t="str">
        <x:v>必须</x:v>
      </x:c>
      <x:c r="E88" s="59" t="str">
        <x:v>必须</x:v>
      </x:c>
      <x:c r="F88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88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H88" s="56" t="str">
        <x:v>按病例阶段与适应证</x:v>
      </x:c>
      <x:c r="I88" s="56" t="str">
        <x:v>是</x:v>
      </x:c>
      <x:c r="J88" s="56" t="str">
        <x:v>否</x:v>
      </x:c>
      <x:c r="K88" s="56" t="str">
        <x:v>待专家确认</x:v>
      </x:c>
      <x:c r="L88" s="56" t="str">
        <x:v>否</x:v>
      </x:c>
      <x:c r="M88" s="56" t="str">
        <x:v>否</x:v>
      </x:c>
      <x:c r="N88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88" s="56" t="str">
        <x:v>待专家核对</x:v>
      </x:c>
      <x:c r="P88" s="59" t="str">
        <x:v>待专家确认</x:v>
      </x:c>
    </x:row>
    <x:row r="89">
      <x:c r="A89" s="56" t="str">
        <x:v>P015</x:v>
      </x:c>
      <x:c r="B89" s="56" t="str">
        <x:v>HX-ADD-003</x:v>
      </x:c>
      <x:c r="C89" s="56" t="str">
        <x:v>尿脱落细胞学</x:v>
      </x:c>
      <x:c r="D89" s="56" t="str">
        <x:v>条件性</x:v>
      </x:c>
      <x:c r="E89" s="59" t="str">
        <x:v>条件性</x:v>
      </x:c>
      <x:c r="F89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89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H89" s="56" t="str">
        <x:v>按病例阶段与适应证</x:v>
      </x:c>
      <x:c r="I89" s="56" t="str">
        <x:v>否</x:v>
      </x:c>
      <x:c r="J89" s="56" t="str">
        <x:v>是</x:v>
      </x:c>
      <x:c r="K89" s="56" t="str">
        <x:v>待专家确认</x:v>
      </x:c>
      <x:c r="L89" s="56" t="str">
        <x:v>否</x:v>
      </x:c>
      <x:c r="M89" s="56" t="str">
        <x:v>否</x:v>
      </x:c>
      <x:c r="N89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89" s="56" t="str">
        <x:v>待专家核对</x:v>
      </x:c>
      <x:c r="P89" s="59" t="str">
        <x:v>待专家确认</x:v>
      </x:c>
    </x:row>
    <x:row r="90">
      <x:c r="A90" s="56" t="str">
        <x:v>P015</x:v>
      </x:c>
      <x:c r="B90" s="56" t="str">
        <x:v>HX-ADD-003</x:v>
      </x:c>
      <x:c r="C90" s="56" t="str">
        <x:v>肾功能/eGFR</x:v>
      </x:c>
      <x:c r="D90" s="56" t="str">
        <x:v>必须</x:v>
      </x:c>
      <x:c r="E90" s="59" t="str">
        <x:v>必须</x:v>
      </x:c>
      <x:c r="F90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90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H90" s="56" t="str">
        <x:v>按病例阶段与适应证</x:v>
      </x:c>
      <x:c r="I90" s="56" t="str">
        <x:v>是</x:v>
      </x:c>
      <x:c r="J90" s="56" t="str">
        <x:v>否</x:v>
      </x:c>
      <x:c r="K90" s="56" t="str">
        <x:v>待专家确认</x:v>
      </x:c>
      <x:c r="L90" s="56" t="str">
        <x:v>否</x:v>
      </x:c>
      <x:c r="M90" s="56" t="str">
        <x:v>否</x:v>
      </x:c>
      <x:c r="N90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90" s="56" t="str">
        <x:v>待专家核对</x:v>
      </x:c>
      <x:c r="P90" s="59" t="str">
        <x:v>待专家确认</x:v>
      </x:c>
    </x:row>
    <x:row r="91">
      <x:c r="A91" s="56" t="str">
        <x:v>P015</x:v>
      </x:c>
      <x:c r="B91" s="56" t="str">
        <x:v>HX-ADD-003</x:v>
      </x:c>
      <x:c r="C91" s="56" t="str">
        <x:v>CTU评估上尿路</x:v>
      </x:c>
      <x:c r="D91" s="56" t="str">
        <x:v>条件性</x:v>
      </x:c>
      <x:c r="E91" s="59" t="str">
        <x:v>条件性</x:v>
      </x:c>
      <x:c r="F91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91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H91" s="56" t="str">
        <x:v>按病例阶段与适应证</x:v>
      </x:c>
      <x:c r="I91" s="56" t="str">
        <x:v>否</x:v>
      </x:c>
      <x:c r="J91" s="56" t="str">
        <x:v>是</x:v>
      </x:c>
      <x:c r="K91" s="56" t="str">
        <x:v>待专家确认</x:v>
      </x:c>
      <x:c r="L91" s="56" t="str">
        <x:v>否</x:v>
      </x:c>
      <x:c r="M91" s="56" t="str">
        <x:v>否</x:v>
      </x:c>
      <x:c r="N91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91" s="56" t="str">
        <x:v>待专家核对</x:v>
      </x:c>
      <x:c r="P91" s="59" t="str">
        <x:v>待专家确认</x:v>
      </x:c>
    </x:row>
    <x:row r="92">
      <x:c r="A92" s="56" t="str">
        <x:v>P015</x:v>
      </x:c>
      <x:c r="B92" s="56" t="str">
        <x:v>HX-ADD-003</x:v>
      </x:c>
      <x:c r="C92" s="56" t="str">
        <x:v>膀胱镜</x:v>
      </x:c>
      <x:c r="D92" s="56" t="str">
        <x:v>条件性</x:v>
      </x:c>
      <x:c r="E92" s="59" t="str">
        <x:v>条件性</x:v>
      </x:c>
      <x:c r="F92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92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H92" s="56" t="str">
        <x:v>按病例阶段与适应证</x:v>
      </x:c>
      <x:c r="I92" s="56" t="str">
        <x:v>否</x:v>
      </x:c>
      <x:c r="J92" s="56" t="str">
        <x:v>是</x:v>
      </x:c>
      <x:c r="K92" s="56" t="str">
        <x:v>待专家确认</x:v>
      </x:c>
      <x:c r="L92" s="56" t="str">
        <x:v>否</x:v>
      </x:c>
      <x:c r="M92" s="56" t="str">
        <x:v>否</x:v>
      </x:c>
      <x:c r="N92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92" s="56" t="str">
        <x:v>待专家核对</x:v>
      </x:c>
      <x:c r="P92" s="59" t="str">
        <x:v>待专家确认</x:v>
      </x:c>
    </x:row>
    <x:row r="93">
      <x:c r="A93" s="56" t="str">
        <x:v>P016</x:v>
      </x:c>
      <x:c r="B93" s="56" t="str">
        <x:v>HX-ADD-004</x:v>
      </x:c>
      <x:c r="C93" s="56" t="str">
        <x:v>尿常规+尿沉渣镜检</x:v>
      </x:c>
      <x:c r="D93" s="56" t="str">
        <x:v>原表模板/现有规则</x:v>
      </x:c>
      <x:c r="E93" s="59" t="str">
        <x:v>必须</x:v>
      </x:c>
      <x:c r="F93" s="56" t="str">
        <x:v>确认真性血尿及蛋白尿/感染线索</x:v>
      </x:c>
      <x:c r="G93" s="56" t="str">
        <x:v>确认真性血尿及蛋白尿/感染线索</x:v>
      </x:c>
      <x:c r="H93" s="56" t="str">
        <x:v>无</x:v>
      </x:c>
      <x:c r="I93" s="56" t="str">
        <x:v>是</x:v>
      </x:c>
      <x:c r="J93" s="56" t="str">
        <x:v>否</x:v>
      </x:c>
      <x:c r="K93" s="56" t="str">
        <x:v>否</x:v>
      </x:c>
      <x:c r="L93" s="56" t="str">
        <x:v>否</x:v>
      </x:c>
      <x:c r="M93" s="56" t="str">
        <x:v>否</x:v>
      </x:c>
      <x:c r="N93" s="56" t="str">
        <x:v>https://uroweb.org/guidelines/renal-cell-carcinoma</x:v>
      </x:c>
      <x:c r="O93" s="56" t="str">
        <x:v>Diagnostic evaluation</x:v>
      </x:c>
      <x:c r="P93" s="59" t="str">
        <x:v>待专家确认</x:v>
      </x:c>
    </x:row>
    <x:row r="94">
      <x:c r="A94" s="56" t="str">
        <x:v>P016</x:v>
      </x:c>
      <x:c r="B94" s="56" t="str">
        <x:v>HX-ADD-004</x:v>
      </x:c>
      <x:c r="C94" s="56" t="str">
        <x:v>肾功能/eGFR</x:v>
      </x:c>
      <x:c r="D94" s="56" t="str">
        <x:v>原表模板/现有规则</x:v>
      </x:c>
      <x:c r="E94" s="59" t="str">
        <x:v>必须</x:v>
      </x:c>
      <x:c r="F94" s="56" t="str">
        <x:v>造影及肾功能评估</x:v>
      </x:c>
      <x:c r="G94" s="56" t="str">
        <x:v>造影及肾功能评估</x:v>
      </x:c>
      <x:c r="H94" s="56" t="str">
        <x:v>无</x:v>
      </x:c>
      <x:c r="I94" s="56" t="str">
        <x:v>是</x:v>
      </x:c>
      <x:c r="J94" s="56" t="str">
        <x:v>否</x:v>
      </x:c>
      <x:c r="K94" s="56" t="str">
        <x:v>否</x:v>
      </x:c>
      <x:c r="L94" s="56" t="str">
        <x:v>否</x:v>
      </x:c>
      <x:c r="M94" s="56" t="str">
        <x:v>否</x:v>
      </x:c>
      <x:c r="N94" s="56" t="str">
        <x:v>https://uroweb.org/guidelines/renal-cell-carcinoma</x:v>
      </x:c>
      <x:c r="O94" s="56" t="str">
        <x:v>Diagnostic evaluation</x:v>
      </x:c>
      <x:c r="P94" s="59" t="str">
        <x:v>待专家确认</x:v>
      </x:c>
    </x:row>
    <x:row r="95">
      <x:c r="A95" s="56" t="str">
        <x:v>P016</x:v>
      </x:c>
      <x:c r="B95" s="56" t="str">
        <x:v>HX-ADD-004</x:v>
      </x:c>
      <x:c r="C95" s="56" t="str">
        <x:v>肾脏多期增强CT</x:v>
      </x:c>
      <x:c r="D95" s="56" t="str">
        <x:v>原表模板/现有规则</x:v>
      </x:c>
      <x:c r="E95" s="59" t="str">
        <x:v>必须</x:v>
      </x:c>
      <x:c r="F95" s="56" t="str">
        <x:v>评估肾实质肿块、局部分期及静脉瘤栓</x:v>
      </x:c>
      <x:c r="G95" s="56" t="str">
        <x:v>评估肾实质肿块、局部分期及静脉瘤栓</x:v>
      </x:c>
      <x:c r="H95" s="56" t="str">
        <x:v>评估造影禁忌</x:v>
      </x:c>
      <x:c r="I95" s="56" t="str">
        <x:v>是</x:v>
      </x:c>
      <x:c r="J95" s="56" t="str">
        <x:v>否</x:v>
      </x:c>
      <x:c r="K95" s="56" t="str">
        <x:v>否</x:v>
      </x:c>
      <x:c r="L95" s="56" t="str">
        <x:v>否</x:v>
      </x:c>
      <x:c r="M95" s="56" t="str">
        <x:v>否</x:v>
      </x:c>
      <x:c r="N95" s="56" t="str">
        <x:v>https://uroweb.org/guidelines/renal-cell-carcinoma</x:v>
      </x:c>
      <x:c r="O95" s="56" t="str">
        <x:v>Diagnostic evaluation and staging</x:v>
      </x:c>
      <x:c r="P95" s="59" t="str">
        <x:v>待专家确认</x:v>
      </x:c>
    </x:row>
    <x:row r="96">
      <x:c r="A96" s="56" t="str">
        <x:v>P016</x:v>
      </x:c>
      <x:c r="B96" s="56" t="str">
        <x:v>HX-ADD-004</x:v>
      </x:c>
      <x:c r="C96" s="56" t="str">
        <x:v>肾脏MRI</x:v>
      </x:c>
      <x:c r="D96" s="56" t="str">
        <x:v>原表模板/现有规则</x:v>
      </x:c>
      <x:c r="E96" s="59" t="str">
        <x:v>条件性</x:v>
      </x:c>
      <x:c r="F96" s="56" t="str">
        <x:v>CT禁忌或需进一步评估静脉受侵</x:v>
      </x:c>
      <x:c r="G96" s="56" t="str">
        <x:v>CT禁忌或需进一步评估静脉受侵</x:v>
      </x:c>
      <x:c r="H96" s="56" t="str">
        <x:v>按MRI适应证</x:v>
      </x:c>
      <x:c r="I96" s="56" t="str">
        <x:v>否</x:v>
      </x:c>
      <x:c r="J96" s="56" t="str">
        <x:v>是</x:v>
      </x:c>
      <x:c r="K96" s="56" t="str">
        <x:v>否</x:v>
      </x:c>
      <x:c r="L96" s="56" t="str">
        <x:v>否</x:v>
      </x:c>
      <x:c r="M96" s="56" t="str">
        <x:v>否</x:v>
      </x:c>
      <x:c r="N96" s="56" t="str">
        <x:v>https://uroweb.org/guidelines/renal-cell-carcinoma</x:v>
      </x:c>
      <x:c r="O96" s="56" t="str">
        <x:v>Diagnostic evaluation and staging</x:v>
      </x:c>
      <x:c r="P96" s="59" t="str">
        <x:v>待专家确认</x:v>
      </x:c>
    </x:row>
    <x:row r="97">
      <x:c r="A97" s="56" t="str">
        <x:v>P016</x:v>
      </x:c>
      <x:c r="B97" s="56" t="str">
        <x:v>HX-ADD-004</x:v>
      </x:c>
      <x:c r="C97" s="56" t="str">
        <x:v>胸部影像</x:v>
      </x:c>
      <x:c r="D97" s="56" t="str">
        <x:v>原表模板/现有规则</x:v>
      </x:c>
      <x:c r="E97" s="59" t="str">
        <x:v>条件性</x:v>
      </x:c>
      <x:c r="F97" s="56" t="str">
        <x:v>按肿瘤分期风险评估胸部转移</x:v>
      </x:c>
      <x:c r="G97" s="56" t="str">
        <x:v>按肿瘤分期风险评估胸部转移</x:v>
      </x:c>
      <x:c r="H97" s="56" t="str">
        <x:v>结合分期风险</x:v>
      </x:c>
      <x:c r="I97" s="56" t="str">
        <x:v>否</x:v>
      </x:c>
      <x:c r="J97" s="56" t="str">
        <x:v>是</x:v>
      </x:c>
      <x:c r="K97" s="56" t="str">
        <x:v>否</x:v>
      </x:c>
      <x:c r="L97" s="56" t="str">
        <x:v>否</x:v>
      </x:c>
      <x:c r="M97" s="56" t="str">
        <x:v>否</x:v>
      </x:c>
      <x:c r="N97" s="56" t="str">
        <x:v>https://uroweb.org/guidelines/renal-cell-carcinoma</x:v>
      </x:c>
      <x:c r="O97" s="56" t="str">
        <x:v>Staging</x:v>
      </x:c>
      <x:c r="P97" s="59" t="str">
        <x:v>待专家确认</x:v>
      </x:c>
    </x:row>
    <x:row r="98">
      <x:c r="A98" s="56" t="str">
        <x:v>P016</x:v>
      </x:c>
      <x:c r="B98" s="56" t="str">
        <x:v>HX-ADD-004</x:v>
      </x:c>
      <x:c r="C98" s="56" t="str">
        <x:v>骨扫描/脑影像/PET-CT</x:v>
      </x:c>
      <x:c r="D98" s="56" t="str">
        <x:v>原表模板/现有规则</x:v>
      </x:c>
      <x:c r="E98" s="59" t="str">
        <x:v>不常规推荐</x:v>
      </x:c>
      <x:c r="F98" s="56" t="str">
        <x:v>仅症状或分期提示时选择</x:v>
      </x:c>
      <x:c r="G98" s="56" t="str">
        <x:v>仅症状或分期提示时选择</x:v>
      </x:c>
      <x:c r="H98" s="56" t="str">
        <x:v>存在相应症状或高风险</x:v>
      </x:c>
      <x:c r="I98" s="56" t="str">
        <x:v>否</x:v>
      </x:c>
      <x:c r="J98" s="56" t="str">
        <x:v>否</x:v>
      </x:c>
      <x:c r="K98" s="56" t="str">
        <x:v>是</x:v>
      </x:c>
      <x:c r="L98" s="56" t="str">
        <x:v>否</x:v>
      </x:c>
      <x:c r="M98" s="56" t="str">
        <x:v>否</x:v>
      </x:c>
      <x:c r="N98" s="56" t="str">
        <x:v>https://uroweb.org/guidelines/renal-cell-carcinoma</x:v>
      </x:c>
      <x:c r="O98" s="56" t="str">
        <x:v>Staging</x:v>
      </x:c>
      <x:c r="P98" s="59" t="str">
        <x:v>待专家确认</x:v>
      </x:c>
    </x:row>
    <x:row r="99">
      <x:c r="A99" s="56" t="str">
        <x:v>P016</x:v>
      </x:c>
      <x:c r="B99" s="56" t="str">
        <x:v>HX-ADD-004</x:v>
      </x:c>
      <x:c r="C99" s="56" t="str">
        <x:v>肾肿瘤穿刺活检</x:v>
      </x:c>
      <x:c r="D99" s="56" t="str">
        <x:v>原表模板/现有规则</x:v>
      </x:c>
      <x:c r="E99" s="59" t="str">
        <x:v>条件性</x:v>
      </x:c>
      <x:c r="F99" s="56" t="str">
        <x:v>仅结果会改变消融、系统治疗或主动监测决策时考虑</x:v>
      </x:c>
      <x:c r="G99" s="56" t="str">
        <x:v>仅结果会改变消融、系统治疗或主动监测决策时考虑</x:v>
      </x:c>
      <x:c r="H99" s="56" t="str">
        <x:v>结果将改变治疗</x:v>
      </x:c>
      <x:c r="I99" s="56" t="str">
        <x:v>否</x:v>
      </x:c>
      <x:c r="J99" s="56" t="str">
        <x:v>是</x:v>
      </x:c>
      <x:c r="K99" s="56" t="str">
        <x:v>否</x:v>
      </x:c>
      <x:c r="L99" s="56" t="str">
        <x:v>否</x:v>
      </x:c>
      <x:c r="M99" s="56" t="str">
        <x:v>否</x:v>
      </x:c>
      <x:c r="N99" s="56" t="str">
        <x:v>https://uroweb.org/guidelines/renal-cell-carcinoma</x:v>
      </x:c>
      <x:c r="O99" s="56" t="str">
        <x:v>Renal tumour biopsy</x:v>
      </x:c>
      <x:c r="P99" s="59" t="str">
        <x:v>待专家确认</x:v>
      </x:c>
    </x:row>
    <x:row r="100">
      <x:c r="A100" s="56" t="str">
        <x:v>P016</x:v>
      </x:c>
      <x:c r="B100" s="56" t="str">
        <x:v>HX-ADD-004</x:v>
      </x:c>
      <x:c r="C100" s="56" t="str">
        <x:v>尿脱落细胞学/CTU/膀胱镜</x:v>
      </x:c>
      <x:c r="D100" s="56" t="str">
        <x:v>原表模板/现有规则</x:v>
      </x:c>
      <x:c r="E100" s="59" t="str">
        <x:v>不常规推荐</x:v>
      </x:c>
      <x:c r="F100" s="56" t="str">
        <x:v>RCC不应默认套用尿路上皮癌模板</x:v>
      </x:c>
      <x:c r="G100" s="56" t="str">
        <x:v>RCC不应默认套用尿路上皮癌模板</x:v>
      </x:c>
      <x:c r="H100" s="56" t="str">
        <x:v>仅另有尿路上皮病变指征</x:v>
      </x:c>
      <x:c r="I100" s="56" t="str">
        <x:v>否</x:v>
      </x:c>
      <x:c r="J100" s="56" t="str">
        <x:v>否</x:v>
      </x:c>
      <x:c r="K100" s="56" t="str">
        <x:v>是</x:v>
      </x:c>
      <x:c r="L100" s="56" t="str">
        <x:v>是</x:v>
      </x:c>
      <x:c r="M100" s="56" t="str">
        <x:v>否</x:v>
      </x:c>
      <x:c r="N100" s="56" t="str">
        <x:v>https://uroweb.org/guidelines/renal-cell-carcinoma</x:v>
      </x:c>
      <x:c r="O100" s="56" t="str">
        <x:v>Differential diagnosis</x:v>
      </x:c>
      <x:c r="P100" s="59" t="str">
        <x:v>待专家确认</x:v>
      </x:c>
    </x:row>
    <x:row r="101">
      <x:c r="A101" s="56" t="str">
        <x:v>P017</x:v>
      </x:c>
      <x:c r="B101" s="56" t="str">
        <x:v>HX-ADD-005</x:v>
      </x:c>
      <x:c r="C101" s="56" t="str">
        <x:v>尿常规</x:v>
      </x:c>
      <x:c r="D101" s="56" t="str">
        <x:v>必须</x:v>
      </x:c>
      <x:c r="E101" s="59" t="str">
        <x:v>必须</x:v>
      </x:c>
      <x:c r="F101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01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H101" s="56" t="str">
        <x:v>按病例阶段与适应证</x:v>
      </x:c>
      <x:c r="I101" s="56" t="str">
        <x:v>是</x:v>
      </x:c>
      <x:c r="J101" s="56" t="str">
        <x:v>否</x:v>
      </x:c>
      <x:c r="K101" s="56" t="str">
        <x:v>待专家确认</x:v>
      </x:c>
      <x:c r="L101" s="56" t="str">
        <x:v>否</x:v>
      </x:c>
      <x:c r="M101" s="56" t="str">
        <x:v>否</x:v>
      </x:c>
      <x:c r="N101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01" s="56" t="str">
        <x:v>待专家核对</x:v>
      </x:c>
      <x:c r="P101" s="59" t="str">
        <x:v>待专家确认</x:v>
      </x:c>
    </x:row>
    <x:row r="102">
      <x:c r="A102" s="56" t="str">
        <x:v>P017</x:v>
      </x:c>
      <x:c r="B102" s="56" t="str">
        <x:v>HX-ADD-005</x:v>
      </x:c>
      <x:c r="C102" s="56" t="str">
        <x:v>尿沉渣镜检</x:v>
      </x:c>
      <x:c r="D102" s="56" t="str">
        <x:v>必须</x:v>
      </x:c>
      <x:c r="E102" s="59" t="str">
        <x:v>必须</x:v>
      </x:c>
      <x:c r="F102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02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H102" s="56" t="str">
        <x:v>按病例阶段与适应证</x:v>
      </x:c>
      <x:c r="I102" s="56" t="str">
        <x:v>是</x:v>
      </x:c>
      <x:c r="J102" s="56" t="str">
        <x:v>否</x:v>
      </x:c>
      <x:c r="K102" s="56" t="str">
        <x:v>待专家确认</x:v>
      </x:c>
      <x:c r="L102" s="56" t="str">
        <x:v>否</x:v>
      </x:c>
      <x:c r="M102" s="56" t="str">
        <x:v>否</x:v>
      </x:c>
      <x:c r="N102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02" s="56" t="str">
        <x:v>待专家核对</x:v>
      </x:c>
      <x:c r="P102" s="59" t="str">
        <x:v>待专家确认</x:v>
      </x:c>
    </x:row>
    <x:row r="103">
      <x:c r="A103" s="56" t="str">
        <x:v>P017</x:v>
      </x:c>
      <x:c r="B103" s="56" t="str">
        <x:v>HX-ADD-005</x:v>
      </x:c>
      <x:c r="C103" s="56" t="str">
        <x:v>血常规</x:v>
      </x:c>
      <x:c r="D103" s="56" t="str">
        <x:v>必须</x:v>
      </x:c>
      <x:c r="E103" s="59" t="str">
        <x:v>必须</x:v>
      </x:c>
      <x:c r="F103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03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H103" s="56" t="str">
        <x:v>按病例阶段与适应证</x:v>
      </x:c>
      <x:c r="I103" s="56" t="str">
        <x:v>是</x:v>
      </x:c>
      <x:c r="J103" s="56" t="str">
        <x:v>否</x:v>
      </x:c>
      <x:c r="K103" s="56" t="str">
        <x:v>待专家确认</x:v>
      </x:c>
      <x:c r="L103" s="56" t="str">
        <x:v>否</x:v>
      </x:c>
      <x:c r="M103" s="56" t="str">
        <x:v>否</x:v>
      </x:c>
      <x:c r="N103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03" s="56" t="str">
        <x:v>待专家核对</x:v>
      </x:c>
      <x:c r="P103" s="59" t="str">
        <x:v>待专家确认</x:v>
      </x:c>
    </x:row>
    <x:row r="104">
      <x:c r="A104" s="56" t="str">
        <x:v>P017</x:v>
      </x:c>
      <x:c r="B104" s="56" t="str">
        <x:v>HX-ADD-005</x:v>
      </x:c>
      <x:c r="C104" s="56" t="str">
        <x:v>凝血功能</x:v>
      </x:c>
      <x:c r="D104" s="56" t="str">
        <x:v>待专家确认</x:v>
      </x:c>
      <x:c r="E104" s="59" t="str">
        <x:v>待专家确认</x:v>
      </x:c>
      <x:c r="F104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04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H104" s="56" t="str">
        <x:v>按病例阶段与适应证</x:v>
      </x:c>
      <x:c r="I104" s="56" t="str">
        <x:v>否</x:v>
      </x:c>
      <x:c r="J104" s="56" t="str">
        <x:v>否</x:v>
      </x:c>
      <x:c r="K104" s="56" t="str">
        <x:v>待专家确认</x:v>
      </x:c>
      <x:c r="L104" s="56" t="str">
        <x:v>否</x:v>
      </x:c>
      <x:c r="M104" s="56" t="str">
        <x:v>否</x:v>
      </x:c>
      <x:c r="N104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04" s="56" t="str">
        <x:v>待专家核对</x:v>
      </x:c>
      <x:c r="P104" s="59" t="str">
        <x:v>待专家确认</x:v>
      </x:c>
    </x:row>
    <x:row r="105">
      <x:c r="A105" s="56" t="str">
        <x:v>P017</x:v>
      </x:c>
      <x:c r="B105" s="56" t="str">
        <x:v>HX-ADD-005</x:v>
      </x:c>
      <x:c r="C105" s="56" t="str">
        <x:v>肾功能/eGFR</x:v>
      </x:c>
      <x:c r="D105" s="56" t="str">
        <x:v>必须</x:v>
      </x:c>
      <x:c r="E105" s="59" t="str">
        <x:v>必须</x:v>
      </x:c>
      <x:c r="F105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05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H105" s="56" t="str">
        <x:v>按病例阶段与适应证</x:v>
      </x:c>
      <x:c r="I105" s="56" t="str">
        <x:v>是</x:v>
      </x:c>
      <x:c r="J105" s="56" t="str">
        <x:v>否</x:v>
      </x:c>
      <x:c r="K105" s="56" t="str">
        <x:v>待专家确认</x:v>
      </x:c>
      <x:c r="L105" s="56" t="str">
        <x:v>否</x:v>
      </x:c>
      <x:c r="M105" s="56" t="str">
        <x:v>否</x:v>
      </x:c>
      <x:c r="N105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05" s="56" t="str">
        <x:v>待专家核对</x:v>
      </x:c>
      <x:c r="P105" s="59" t="str">
        <x:v>待专家确认</x:v>
      </x:c>
    </x:row>
    <x:row r="106">
      <x:c r="A106" s="56" t="str">
        <x:v>P018</x:v>
      </x:c>
      <x:c r="B106" s="56" t="str">
        <x:v>HX-ADD-006</x:v>
      </x:c>
      <x:c r="C106" s="56" t="str">
        <x:v>尿常规+尿沉渣镜检</x:v>
      </x:c>
      <x:c r="D106" s="56" t="str">
        <x:v>原表模板/现有规则</x:v>
      </x:c>
      <x:c r="E106" s="59" t="str">
        <x:v>必须</x:v>
      </x:c>
      <x:c r="F106" s="56" t="str">
        <x:v>支持局限性膀胱炎并确认血尿</x:v>
      </x:c>
      <x:c r="G106" s="56" t="str">
        <x:v>支持局限性膀胱炎并确认血尿</x:v>
      </x:c>
      <x:c r="H106" s="56" t="str">
        <x:v>规范留尿</x:v>
      </x:c>
      <x:c r="I106" s="56" t="str">
        <x:v>是</x:v>
      </x:c>
      <x:c r="J106" s="56" t="str">
        <x:v>否</x:v>
      </x:c>
      <x:c r="K106" s="56" t="str">
        <x:v>否</x:v>
      </x:c>
      <x:c r="L106" s="56" t="str">
        <x:v>否</x:v>
      </x:c>
      <x:c r="M106" s="56" t="str">
        <x:v>否</x:v>
      </x:c>
      <x:c r="N106" s="56" t="str">
        <x:v>https://uroweb.org/guidelines/urological-infections</x:v>
      </x:c>
      <x:c r="O106" s="56" t="str">
        <x:v>Localised UTI</x:v>
      </x:c>
      <x:c r="P106" s="59" t="str">
        <x:v>待专家确认</x:v>
      </x:c>
    </x:row>
    <x:row r="107">
      <x:c r="A107" s="56" t="str">
        <x:v>P018</x:v>
      </x:c>
      <x:c r="B107" s="56" t="str">
        <x:v>HX-ADD-006</x:v>
      </x:c>
      <x:c r="C107" s="56" t="str">
        <x:v>中段尿培养+药敏</x:v>
      </x:c>
      <x:c r="D107" s="56" t="str">
        <x:v>原表模板/现有规则</x:v>
      </x:c>
      <x:c r="E107" s="59" t="str">
        <x:v>条件性</x:v>
      </x:c>
      <x:c r="F107" s="56" t="str">
        <x:v>复发、非典型、治疗失败、妊娠或复杂因素</x:v>
      </x:c>
      <x:c r="G107" s="56" t="str">
        <x:v>复发、非典型、治疗失败、妊娠或复杂因素</x:v>
      </x:c>
      <x:c r="H107" s="56" t="str">
        <x:v>抗菌药前留样优先</x:v>
      </x:c>
      <x:c r="I107" s="56" t="str">
        <x:v>否</x:v>
      </x:c>
      <x:c r="J107" s="56" t="str">
        <x:v>是</x:v>
      </x:c>
      <x:c r="K107" s="56" t="str">
        <x:v>否</x:v>
      </x:c>
      <x:c r="L107" s="56" t="str">
        <x:v>否</x:v>
      </x:c>
      <x:c r="M107" s="56" t="str">
        <x:v>否</x:v>
      </x:c>
      <x:c r="N107" s="56" t="str">
        <x:v>https://uroweb.org/guidelines/urological-infections</x:v>
      </x:c>
      <x:c r="O107" s="56" t="str">
        <x:v>Cystitis diagnostic evaluation</x:v>
      </x:c>
      <x:c r="P107" s="59" t="str">
        <x:v>待专家确认</x:v>
      </x:c>
    </x:row>
    <x:row r="108">
      <x:c r="A108" s="56" t="str">
        <x:v>P018</x:v>
      </x:c>
      <x:c r="B108" s="56" t="str">
        <x:v>HX-ADD-006</x:v>
      </x:c>
      <x:c r="C108" s="56" t="str">
        <x:v>血常规/CRP/肾功能</x:v>
      </x:c>
      <x:c r="D108" s="56" t="str">
        <x:v>原表模板/现有规则</x:v>
      </x:c>
      <x:c r="E108" s="59" t="str">
        <x:v>条件性</x:v>
      </x:c>
      <x:c r="F108" s="56" t="str">
        <x:v>系统症状或复杂因素时</x:v>
      </x:c>
      <x:c r="G108" s="56" t="str">
        <x:v>系统症状或复杂因素时</x:v>
      </x:c>
      <x:c r="H108" s="56" t="str">
        <x:v>出现系统性UTI线索</x:v>
      </x:c>
      <x:c r="I108" s="56" t="str">
        <x:v>否</x:v>
      </x:c>
      <x:c r="J108" s="56" t="str">
        <x:v>是</x:v>
      </x:c>
      <x:c r="K108" s="56" t="str">
        <x:v>否</x:v>
      </x:c>
      <x:c r="L108" s="56" t="str">
        <x:v>否</x:v>
      </x:c>
      <x:c r="M108" s="56" t="str">
        <x:v>否</x:v>
      </x:c>
      <x:c r="N108" s="56" t="str">
        <x:v>https://uroweb.org/guidelines/urological-infections</x:v>
      </x:c>
      <x:c r="O108" s="56" t="str">
        <x:v>Systemic UTI</x:v>
      </x:c>
      <x:c r="P108" s="59" t="str">
        <x:v>待专家确认</x:v>
      </x:c>
    </x:row>
    <x:row r="109">
      <x:c r="A109" s="56" t="str">
        <x:v>P018</x:v>
      </x:c>
      <x:c r="B109" s="56" t="str">
        <x:v>HX-ADD-006</x:v>
      </x:c>
      <x:c r="C109" s="56" t="str">
        <x:v>PCT</x:v>
      </x:c>
      <x:c r="D109" s="56" t="str">
        <x:v>原表模板/现有规则</x:v>
      </x:c>
      <x:c r="E109" s="59" t="str">
        <x:v>不常规推荐</x:v>
      </x:c>
      <x:c r="F109" s="56" t="str">
        <x:v>局限性单纯膀胱炎不默认要求</x:v>
      </x:c>
      <x:c r="G109" s="56" t="str">
        <x:v>局限性单纯膀胱炎不默认要求</x:v>
      </x:c>
      <x:c r="H109" s="56" t="str">
        <x:v>疑脓毒症或重症感染</x:v>
      </x:c>
      <x:c r="I109" s="56" t="str">
        <x:v>否</x:v>
      </x:c>
      <x:c r="J109" s="56" t="str">
        <x:v>否</x:v>
      </x:c>
      <x:c r="K109" s="56" t="str">
        <x:v>是</x:v>
      </x:c>
      <x:c r="L109" s="56" t="str">
        <x:v>否</x:v>
      </x:c>
      <x:c r="M109" s="56" t="str">
        <x:v>否</x:v>
      </x:c>
      <x:c r="N109" s="56" t="str">
        <x:v>https://uroweb.org/guidelines/urological-infections</x:v>
      </x:c>
      <x:c r="O109" s="56" t="str">
        <x:v>Systemic UTI</x:v>
      </x:c>
      <x:c r="P109" s="59" t="str">
        <x:v>待专家确认</x:v>
      </x:c>
    </x:row>
    <x:row r="110">
      <x:c r="A110" s="56" t="str">
        <x:v>P019</x:v>
      </x:c>
      <x:c r="B110" s="56" t="str">
        <x:v>HX-ADD-007</x:v>
      </x:c>
      <x:c r="C110" s="56" t="str">
        <x:v>尿常规</x:v>
      </x:c>
      <x:c r="D110" s="56" t="str">
        <x:v>必须</x:v>
      </x:c>
      <x:c r="E110" s="59" t="str">
        <x:v>必须</x:v>
      </x:c>
      <x:c r="F110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10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H110" s="56" t="str">
        <x:v>按病例阶段与适应证</x:v>
      </x:c>
      <x:c r="I110" s="56" t="str">
        <x:v>是</x:v>
      </x:c>
      <x:c r="J110" s="56" t="str">
        <x:v>否</x:v>
      </x:c>
      <x:c r="K110" s="56" t="str">
        <x:v>待专家确认</x:v>
      </x:c>
      <x:c r="L110" s="56" t="str">
        <x:v>否</x:v>
      </x:c>
      <x:c r="M110" s="56" t="str">
        <x:v>否</x:v>
      </x:c>
      <x:c r="N110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10" s="56" t="str">
        <x:v>待专家核对</x:v>
      </x:c>
      <x:c r="P110" s="59" t="str">
        <x:v>待专家确认</x:v>
      </x:c>
    </x:row>
    <x:row r="111">
      <x:c r="A111" s="56" t="str">
        <x:v>P019</x:v>
      </x:c>
      <x:c r="B111" s="56" t="str">
        <x:v>HX-ADD-007</x:v>
      </x:c>
      <x:c r="C111" s="56" t="str">
        <x:v>尿沉渣镜检</x:v>
      </x:c>
      <x:c r="D111" s="56" t="str">
        <x:v>必须</x:v>
      </x:c>
      <x:c r="E111" s="59" t="str">
        <x:v>必须</x:v>
      </x:c>
      <x:c r="F111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11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H111" s="56" t="str">
        <x:v>按病例阶段与适应证</x:v>
      </x:c>
      <x:c r="I111" s="56" t="str">
        <x:v>是</x:v>
      </x:c>
      <x:c r="J111" s="56" t="str">
        <x:v>否</x:v>
      </x:c>
      <x:c r="K111" s="56" t="str">
        <x:v>待专家确认</x:v>
      </x:c>
      <x:c r="L111" s="56" t="str">
        <x:v>否</x:v>
      </x:c>
      <x:c r="M111" s="56" t="str">
        <x:v>否</x:v>
      </x:c>
      <x:c r="N111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11" s="56" t="str">
        <x:v>待专家核对</x:v>
      </x:c>
      <x:c r="P111" s="59" t="str">
        <x:v>待专家确认</x:v>
      </x:c>
    </x:row>
    <x:row r="112">
      <x:c r="A112" s="56" t="str">
        <x:v>P019</x:v>
      </x:c>
      <x:c r="B112" s="56" t="str">
        <x:v>HX-ADD-007</x:v>
      </x:c>
      <x:c r="C112" s="56" t="str">
        <x:v>中段尿培养+药敏</x:v>
      </x:c>
      <x:c r="D112" s="56" t="str">
        <x:v>条件性</x:v>
      </x:c>
      <x:c r="E112" s="59" t="str">
        <x:v>条件性</x:v>
      </x:c>
      <x:c r="F112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12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H112" s="56" t="str">
        <x:v>按病例阶段与适应证</x:v>
      </x:c>
      <x:c r="I112" s="56" t="str">
        <x:v>否</x:v>
      </x:c>
      <x:c r="J112" s="56" t="str">
        <x:v>是</x:v>
      </x:c>
      <x:c r="K112" s="56" t="str">
        <x:v>待专家确认</x:v>
      </x:c>
      <x:c r="L112" s="56" t="str">
        <x:v>否</x:v>
      </x:c>
      <x:c r="M112" s="56" t="str">
        <x:v>否</x:v>
      </x:c>
      <x:c r="N112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12" s="56" t="str">
        <x:v>待专家核对</x:v>
      </x:c>
      <x:c r="P112" s="59" t="str">
        <x:v>待专家确认</x:v>
      </x:c>
    </x:row>
    <x:row r="113">
      <x:c r="A113" s="56" t="str">
        <x:v>P019</x:v>
      </x:c>
      <x:c r="B113" s="56" t="str">
        <x:v>HX-ADD-007</x:v>
      </x:c>
      <x:c r="C113" s="56" t="str">
        <x:v>血常规</x:v>
      </x:c>
      <x:c r="D113" s="56" t="str">
        <x:v>必须</x:v>
      </x:c>
      <x:c r="E113" s="59" t="str">
        <x:v>必须</x:v>
      </x:c>
      <x:c r="F113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13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H113" s="56" t="str">
        <x:v>按病例阶段与适应证</x:v>
      </x:c>
      <x:c r="I113" s="56" t="str">
        <x:v>是</x:v>
      </x:c>
      <x:c r="J113" s="56" t="str">
        <x:v>否</x:v>
      </x:c>
      <x:c r="K113" s="56" t="str">
        <x:v>待专家确认</x:v>
      </x:c>
      <x:c r="L113" s="56" t="str">
        <x:v>否</x:v>
      </x:c>
      <x:c r="M113" s="56" t="str">
        <x:v>否</x:v>
      </x:c>
      <x:c r="N113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13" s="56" t="str">
        <x:v>待专家核对</x:v>
      </x:c>
      <x:c r="P113" s="59" t="str">
        <x:v>待专家确认</x:v>
      </x:c>
    </x:row>
    <x:row r="114">
      <x:c r="A114" s="56" t="str">
        <x:v>P019</x:v>
      </x:c>
      <x:c r="B114" s="56" t="str">
        <x:v>HX-ADD-007</x:v>
      </x:c>
      <x:c r="C114" s="56" t="str">
        <x:v>CRP/降钙素原</x:v>
      </x:c>
      <x:c r="D114" s="56" t="str">
        <x:v>条件性</x:v>
      </x:c>
      <x:c r="E114" s="59" t="str">
        <x:v>条件性</x:v>
      </x:c>
      <x:c r="F114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14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H114" s="56" t="str">
        <x:v>按病例阶段与适应证</x:v>
      </x:c>
      <x:c r="I114" s="56" t="str">
        <x:v>否</x:v>
      </x:c>
      <x:c r="J114" s="56" t="str">
        <x:v>是</x:v>
      </x:c>
      <x:c r="K114" s="56" t="str">
        <x:v>待专家确认</x:v>
      </x:c>
      <x:c r="L114" s="56" t="str">
        <x:v>否</x:v>
      </x:c>
      <x:c r="M114" s="56" t="str">
        <x:v>否</x:v>
      </x:c>
      <x:c r="N114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14" s="56" t="str">
        <x:v>待专家核对</x:v>
      </x:c>
      <x:c r="P114" s="59" t="str">
        <x:v>待专家确认</x:v>
      </x:c>
    </x:row>
    <x:row r="115">
      <x:c r="A115" s="56" t="str">
        <x:v>P019</x:v>
      </x:c>
      <x:c r="B115" s="56" t="str">
        <x:v>HX-ADD-007</x:v>
      </x:c>
      <x:c r="C115" s="56" t="str">
        <x:v>肾功能/eGFR</x:v>
      </x:c>
      <x:c r="D115" s="56" t="str">
        <x:v>必须</x:v>
      </x:c>
      <x:c r="E115" s="59" t="str">
        <x:v>必须</x:v>
      </x:c>
      <x:c r="F115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15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H115" s="56" t="str">
        <x:v>按病例阶段与适应证</x:v>
      </x:c>
      <x:c r="I115" s="56" t="str">
        <x:v>是</x:v>
      </x:c>
      <x:c r="J115" s="56" t="str">
        <x:v>否</x:v>
      </x:c>
      <x:c r="K115" s="56" t="str">
        <x:v>待专家确认</x:v>
      </x:c>
      <x:c r="L115" s="56" t="str">
        <x:v>否</x:v>
      </x:c>
      <x:c r="M115" s="56" t="str">
        <x:v>否</x:v>
      </x:c>
      <x:c r="N115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15" s="56" t="str">
        <x:v>待专家核对</x:v>
      </x:c>
      <x:c r="P115" s="59" t="str">
        <x:v>待专家确认</x:v>
      </x:c>
    </x:row>
    <x:row r="116">
      <x:c r="A116" s="56" t="str">
        <x:v>P020</x:v>
      </x:c>
      <x:c r="B116" s="56" t="str">
        <x:v>HX-ADD-008</x:v>
      </x:c>
      <x:c r="C116" s="56" t="str">
        <x:v>生命体征和脓毒症评估</x:v>
      </x:c>
      <x:c r="D116" s="56" t="str">
        <x:v>原表模板/现有规则</x:v>
      </x:c>
      <x:c r="E116" s="59" t="str">
        <x:v>必须</x:v>
      </x:c>
      <x:c r="F116" s="56" t="str">
        <x:v>识别系统性感染和休克</x:v>
      </x:c>
      <x:c r="G116" s="56" t="str">
        <x:v>识别系统性感染和休克</x:v>
      </x:c>
      <x:c r="H116" s="56" t="str">
        <x:v>无</x:v>
      </x:c>
      <x:c r="I116" s="56" t="str">
        <x:v>是</x:v>
      </x:c>
      <x:c r="J116" s="56" t="str">
        <x:v>否</x:v>
      </x:c>
      <x:c r="K116" s="56" t="str">
        <x:v>否</x:v>
      </x:c>
      <x:c r="L116" s="56" t="str">
        <x:v>否</x:v>
      </x:c>
      <x:c r="M116" s="56" t="str">
        <x:v>否</x:v>
      </x:c>
      <x:c r="N116" s="56" t="str">
        <x:v>https://uroweb.org/guidelines/urological-infections</x:v>
      </x:c>
      <x:c r="O116" s="56" t="str">
        <x:v>Bacterial prostatitis</x:v>
      </x:c>
      <x:c r="P116" s="59" t="str">
        <x:v>待专家确认</x:v>
      </x:c>
    </x:row>
    <x:row r="117">
      <x:c r="A117" s="56" t="str">
        <x:v>P020</x:v>
      </x:c>
      <x:c r="B117" s="56" t="str">
        <x:v>HX-ADD-008</x:v>
      </x:c>
      <x:c r="C117" s="56" t="str">
        <x:v>轻柔直肠指检</x:v>
      </x:c>
      <x:c r="D117" s="56" t="str">
        <x:v>原表模板/现有规则</x:v>
      </x:c>
      <x:c r="E117" s="59" t="str">
        <x:v>必须</x:v>
      </x:c>
      <x:c r="F117" s="56" t="str">
        <x:v>评估前列腺压痛和肿胀</x:v>
      </x:c>
      <x:c r="G117" s="56" t="str">
        <x:v>评估前列腺压痛和肿胀</x:v>
      </x:c>
      <x:c r="H117" s="56" t="str">
        <x:v>禁止用力按摩</x:v>
      </x:c>
      <x:c r="I117" s="56" t="str">
        <x:v>是</x:v>
      </x:c>
      <x:c r="J117" s="56" t="str">
        <x:v>否</x:v>
      </x:c>
      <x:c r="K117" s="56" t="str">
        <x:v>否</x:v>
      </x:c>
      <x:c r="L117" s="56" t="str">
        <x:v>否</x:v>
      </x:c>
      <x:c r="M117" s="56" t="str">
        <x:v>否</x:v>
      </x:c>
      <x:c r="N117" s="56" t="str">
        <x:v>https://uroweb.org/guidelines/urological-infections</x:v>
      </x:c>
      <x:c r="O117" s="56" t="str">
        <x:v>Bacterial prostatitis</x:v>
      </x:c>
      <x:c r="P117" s="59" t="str">
        <x:v>待专家确认</x:v>
      </x:c>
    </x:row>
    <x:row r="118">
      <x:c r="A118" s="56" t="str">
        <x:v>P020</x:v>
      </x:c>
      <x:c r="B118" s="56" t="str">
        <x:v>HX-ADD-008</x:v>
      </x:c>
      <x:c r="C118" s="56" t="str">
        <x:v>尿常规+中段尿培养</x:v>
      </x:c>
      <x:c r="D118" s="56" t="str">
        <x:v>原表模板/现有规则</x:v>
      </x:c>
      <x:c r="E118" s="59" t="str">
        <x:v>必须</x:v>
      </x:c>
      <x:c r="F118" s="56" t="str">
        <x:v>明确感染并指导抗菌治疗</x:v>
      </x:c>
      <x:c r="G118" s="56" t="str">
        <x:v>明确感染并指导抗菌治疗</x:v>
      </x:c>
      <x:c r="H118" s="56" t="str">
        <x:v>抗菌药前留样优先</x:v>
      </x:c>
      <x:c r="I118" s="56" t="str">
        <x:v>是</x:v>
      </x:c>
      <x:c r="J118" s="56" t="str">
        <x:v>否</x:v>
      </x:c>
      <x:c r="K118" s="56" t="str">
        <x:v>否</x:v>
      </x:c>
      <x:c r="L118" s="56" t="str">
        <x:v>否</x:v>
      </x:c>
      <x:c r="M118" s="56" t="str">
        <x:v>否</x:v>
      </x:c>
      <x:c r="N118" s="56" t="str">
        <x:v>https://uroweb.org/guidelines/urological-infections</x:v>
      </x:c>
      <x:c r="O118" s="56" t="str">
        <x:v>Bacterial prostatitis</x:v>
      </x:c>
      <x:c r="P118" s="59" t="str">
        <x:v>待专家确认</x:v>
      </x:c>
    </x:row>
    <x:row r="119">
      <x:c r="A119" s="56" t="str">
        <x:v>P020</x:v>
      </x:c>
      <x:c r="B119" s="56" t="str">
        <x:v>HX-ADD-008</x:v>
      </x:c>
      <x:c r="C119" s="56" t="str">
        <x:v>血培养</x:v>
      </x:c>
      <x:c r="D119" s="56" t="str">
        <x:v>原表模板/现有规则</x:v>
      </x:c>
      <x:c r="E119" s="59" t="str">
        <x:v>条件性</x:v>
      </x:c>
      <x:c r="F119" s="56" t="str">
        <x:v>发热寒战或系统症状时</x:v>
      </x:c>
      <x:c r="G119" s="56" t="str">
        <x:v>发热寒战或系统症状时</x:v>
      </x:c>
      <x:c r="H119" s="56" t="str">
        <x:v>抗菌药前留取优先</x:v>
      </x:c>
      <x:c r="I119" s="56" t="str">
        <x:v>否</x:v>
      </x:c>
      <x:c r="J119" s="56" t="str">
        <x:v>是</x:v>
      </x:c>
      <x:c r="K119" s="56" t="str">
        <x:v>否</x:v>
      </x:c>
      <x:c r="L119" s="56" t="str">
        <x:v>否</x:v>
      </x:c>
      <x:c r="M119" s="56" t="str">
        <x:v>否</x:v>
      </x:c>
      <x:c r="N119" s="56" t="str">
        <x:v>https://uroweb.org/guidelines/urological-infections</x:v>
      </x:c>
      <x:c r="O119" s="56" t="str">
        <x:v>Systemic UTI</x:v>
      </x:c>
      <x:c r="P119" s="59" t="str">
        <x:v>待专家确认</x:v>
      </x:c>
    </x:row>
    <x:row r="120">
      <x:c r="A120" s="56" t="str">
        <x:v>P020</x:v>
      </x:c>
      <x:c r="B120" s="56" t="str">
        <x:v>HX-ADD-008</x:v>
      </x:c>
      <x:c r="C120" s="56" t="str">
        <x:v>残余尿/尿潴留评估</x:v>
      </x:c>
      <x:c r="D120" s="56" t="str">
        <x:v>原表模板/现有规则</x:v>
      </x:c>
      <x:c r="E120" s="59" t="str">
        <x:v>必须</x:v>
      </x:c>
      <x:c r="F120" s="56" t="str">
        <x:v>识别需引流的尿潴留</x:v>
      </x:c>
      <x:c r="G120" s="56" t="str">
        <x:v>识别需引流的尿潴留</x:v>
      </x:c>
      <x:c r="H120" s="56" t="str">
        <x:v>无</x:v>
      </x:c>
      <x:c r="I120" s="56" t="str">
        <x:v>是</x:v>
      </x:c>
      <x:c r="J120" s="56" t="str">
        <x:v>否</x:v>
      </x:c>
      <x:c r="K120" s="56" t="str">
        <x:v>否</x:v>
      </x:c>
      <x:c r="L120" s="56" t="str">
        <x:v>否</x:v>
      </x:c>
      <x:c r="M120" s="56" t="str">
        <x:v>否</x:v>
      </x:c>
      <x:c r="N120" s="56" t="str">
        <x:v>https://uroweb.org/guidelines/urological-infections</x:v>
      </x:c>
      <x:c r="O120" s="56" t="str">
        <x:v>Bacterial prostatitis</x:v>
      </x:c>
      <x:c r="P120" s="59" t="str">
        <x:v>待专家确认</x:v>
      </x:c>
    </x:row>
    <x:row r="121">
      <x:c r="A121" s="56" t="str">
        <x:v>P020</x:v>
      </x:c>
      <x:c r="B121" s="56" t="str">
        <x:v>HX-ADD-008</x:v>
      </x:c>
      <x:c r="C121" s="56" t="str">
        <x:v>TRUS/CT/MRI评估脓肿</x:v>
      </x:c>
      <x:c r="D121" s="56" t="str">
        <x:v>原表模板/现有规则</x:v>
      </x:c>
      <x:c r="E121" s="59" t="str">
        <x:v>条件性</x:v>
      </x:c>
      <x:c r="F121" s="56" t="str">
        <x:v>治疗无效、持续发热或疑脓肿</x:v>
      </x:c>
      <x:c r="G121" s="56" t="str">
        <x:v>治疗无效、持续发热或疑脓肿</x:v>
      </x:c>
      <x:c r="H121" s="56" t="str">
        <x:v>存在触发条件</x:v>
      </x:c>
      <x:c r="I121" s="56" t="str">
        <x:v>否</x:v>
      </x:c>
      <x:c r="J121" s="56" t="str">
        <x:v>是</x:v>
      </x:c>
      <x:c r="K121" s="56" t="str">
        <x:v>否</x:v>
      </x:c>
      <x:c r="L121" s="56" t="str">
        <x:v>否</x:v>
      </x:c>
      <x:c r="M121" s="56" t="str">
        <x:v>否</x:v>
      </x:c>
      <x:c r="N121" s="56" t="str">
        <x:v>https://uroweb.org/guidelines/urological-infections</x:v>
      </x:c>
      <x:c r="O121" s="56" t="str">
        <x:v>Prostatic abscess</x:v>
      </x:c>
      <x:c r="P121" s="59" t="str">
        <x:v>待专家确认</x:v>
      </x:c>
    </x:row>
    <x:row r="122">
      <x:c r="A122" s="56" t="str">
        <x:v>P020</x:v>
      </x:c>
      <x:c r="B122" s="56" t="str">
        <x:v>HX-ADD-008</x:v>
      </x:c>
      <x:c r="C122" s="56" t="str">
        <x:v>用力前列腺按摩</x:v>
      </x:c>
      <x:c r="D122" s="56" t="str">
        <x:v>原表模板/现有规则</x:v>
      </x:c>
      <x:c r="E122" s="59" t="str">
        <x:v>禁忌或不适用</x:v>
      </x:c>
      <x:c r="F122" s="56" t="str">
        <x:v>可诱发菌血症/脓毒症</x:v>
      </x:c>
      <x:c r="G122" s="56" t="str">
        <x:v>可诱发菌血症/脓毒症</x:v>
      </x:c>
      <x:c r="H122" s="56" t="str">
        <x:v>急性细菌性前列腺炎</x:v>
      </x:c>
      <x:c r="I122" s="56" t="str">
        <x:v>否</x:v>
      </x:c>
      <x:c r="J122" s="56" t="str">
        <x:v>否</x:v>
      </x:c>
      <x:c r="K122" s="56" t="str">
        <x:v>否</x:v>
      </x:c>
      <x:c r="L122" s="56" t="str">
        <x:v>否</x:v>
      </x:c>
      <x:c r="M122" s="56" t="str">
        <x:v>是</x:v>
      </x:c>
      <x:c r="N122" s="56" t="str">
        <x:v>https://uroweb.org/guidelines/urological-infections</x:v>
      </x:c>
      <x:c r="O122" s="56" t="str">
        <x:v>Bacterial prostatitis</x:v>
      </x:c>
      <x:c r="P122" s="59" t="str">
        <x:v>待专家确认</x:v>
      </x:c>
    </x:row>
    <x:row r="123">
      <x:c r="A123" s="56" t="str">
        <x:v>P021</x:v>
      </x:c>
      <x:c r="B123" s="56" t="str">
        <x:v>HX-ADD-009</x:v>
      </x:c>
      <x:c r="C123" s="56" t="str">
        <x:v>尿常规</x:v>
      </x:c>
      <x:c r="D123" s="56" t="str">
        <x:v>必须</x:v>
      </x:c>
      <x:c r="E123" s="59" t="str">
        <x:v>必须</x:v>
      </x:c>
      <x:c r="F123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23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H123" s="56" t="str">
        <x:v>按病例阶段与适应证</x:v>
      </x:c>
      <x:c r="I123" s="56" t="str">
        <x:v>是</x:v>
      </x:c>
      <x:c r="J123" s="56" t="str">
        <x:v>否</x:v>
      </x:c>
      <x:c r="K123" s="56" t="str">
        <x:v>待专家确认</x:v>
      </x:c>
      <x:c r="L123" s="56" t="str">
        <x:v>否</x:v>
      </x:c>
      <x:c r="M123" s="56" t="str">
        <x:v>否</x:v>
      </x:c>
      <x:c r="N123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23" s="56" t="str">
        <x:v>待专家核对</x:v>
      </x:c>
      <x:c r="P123" s="59" t="str">
        <x:v>待专家确认</x:v>
      </x:c>
    </x:row>
    <x:row r="124">
      <x:c r="A124" s="56" t="str">
        <x:v>P021</x:v>
      </x:c>
      <x:c r="B124" s="56" t="str">
        <x:v>HX-ADD-009</x:v>
      </x:c>
      <x:c r="C124" s="56" t="str">
        <x:v>尿沉渣镜检</x:v>
      </x:c>
      <x:c r="D124" s="56" t="str">
        <x:v>必须</x:v>
      </x:c>
      <x:c r="E124" s="59" t="str">
        <x:v>必须</x:v>
      </x:c>
      <x:c r="F124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24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H124" s="56" t="str">
        <x:v>按病例阶段与适应证</x:v>
      </x:c>
      <x:c r="I124" s="56" t="str">
        <x:v>是</x:v>
      </x:c>
      <x:c r="J124" s="56" t="str">
        <x:v>否</x:v>
      </x:c>
      <x:c r="K124" s="56" t="str">
        <x:v>待专家确认</x:v>
      </x:c>
      <x:c r="L124" s="56" t="str">
        <x:v>否</x:v>
      </x:c>
      <x:c r="M124" s="56" t="str">
        <x:v>否</x:v>
      </x:c>
      <x:c r="N124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24" s="56" t="str">
        <x:v>待专家核对</x:v>
      </x:c>
      <x:c r="P124" s="59" t="str">
        <x:v>待专家确认</x:v>
      </x:c>
    </x:row>
    <x:row r="125">
      <x:c r="A125" s="56" t="str">
        <x:v>P021</x:v>
      </x:c>
      <x:c r="B125" s="56" t="str">
        <x:v>HX-ADD-009</x:v>
      </x:c>
      <x:c r="C125" s="56" t="str">
        <x:v>中段尿培养+药敏</x:v>
      </x:c>
      <x:c r="D125" s="56" t="str">
        <x:v>条件性</x:v>
      </x:c>
      <x:c r="E125" s="59" t="str">
        <x:v>条件性</x:v>
      </x:c>
      <x:c r="F125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25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H125" s="56" t="str">
        <x:v>按病例阶段与适应证</x:v>
      </x:c>
      <x:c r="I125" s="56" t="str">
        <x:v>否</x:v>
      </x:c>
      <x:c r="J125" s="56" t="str">
        <x:v>是</x:v>
      </x:c>
      <x:c r="K125" s="56" t="str">
        <x:v>待专家确认</x:v>
      </x:c>
      <x:c r="L125" s="56" t="str">
        <x:v>否</x:v>
      </x:c>
      <x:c r="M125" s="56" t="str">
        <x:v>否</x:v>
      </x:c>
      <x:c r="N125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25" s="56" t="str">
        <x:v>待专家核对</x:v>
      </x:c>
      <x:c r="P125" s="59" t="str">
        <x:v>待专家确认</x:v>
      </x:c>
    </x:row>
    <x:row r="126">
      <x:c r="A126" s="56" t="str">
        <x:v>P021</x:v>
      </x:c>
      <x:c r="B126" s="56" t="str">
        <x:v>HX-ADD-009</x:v>
      </x:c>
      <x:c r="C126" s="56" t="str">
        <x:v>血常规</x:v>
      </x:c>
      <x:c r="D126" s="56" t="str">
        <x:v>必须</x:v>
      </x:c>
      <x:c r="E126" s="59" t="str">
        <x:v>必须</x:v>
      </x:c>
      <x:c r="F126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26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H126" s="56" t="str">
        <x:v>按病例阶段与适应证</x:v>
      </x:c>
      <x:c r="I126" s="56" t="str">
        <x:v>是</x:v>
      </x:c>
      <x:c r="J126" s="56" t="str">
        <x:v>否</x:v>
      </x:c>
      <x:c r="K126" s="56" t="str">
        <x:v>待专家确认</x:v>
      </x:c>
      <x:c r="L126" s="56" t="str">
        <x:v>否</x:v>
      </x:c>
      <x:c r="M126" s="56" t="str">
        <x:v>否</x:v>
      </x:c>
      <x:c r="N126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26" s="56" t="str">
        <x:v>待专家核对</x:v>
      </x:c>
      <x:c r="P126" s="59" t="str">
        <x:v>待专家确认</x:v>
      </x:c>
    </x:row>
    <x:row r="127">
      <x:c r="A127" s="56" t="str">
        <x:v>P021</x:v>
      </x:c>
      <x:c r="B127" s="56" t="str">
        <x:v>HX-ADD-009</x:v>
      </x:c>
      <x:c r="C127" s="56" t="str">
        <x:v>CRP/降钙素原</x:v>
      </x:c>
      <x:c r="D127" s="56" t="str">
        <x:v>条件性</x:v>
      </x:c>
      <x:c r="E127" s="59" t="str">
        <x:v>条件性</x:v>
      </x:c>
      <x:c r="F127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27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H127" s="56" t="str">
        <x:v>按病例阶段与适应证</x:v>
      </x:c>
      <x:c r="I127" s="56" t="str">
        <x:v>否</x:v>
      </x:c>
      <x:c r="J127" s="56" t="str">
        <x:v>是</x:v>
      </x:c>
      <x:c r="K127" s="56" t="str">
        <x:v>待专家确认</x:v>
      </x:c>
      <x:c r="L127" s="56" t="str">
        <x:v>否</x:v>
      </x:c>
      <x:c r="M127" s="56" t="str">
        <x:v>否</x:v>
      </x:c>
      <x:c r="N127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27" s="56" t="str">
        <x:v>待专家核对</x:v>
      </x:c>
      <x:c r="P127" s="59" t="str">
        <x:v>待专家确认</x:v>
      </x:c>
    </x:row>
    <x:row r="128">
      <x:c r="A128" s="56" t="str">
        <x:v>P021</x:v>
      </x:c>
      <x:c r="B128" s="56" t="str">
        <x:v>HX-ADD-009</x:v>
      </x:c>
      <x:c r="C128" s="56" t="str">
        <x:v>肾功能/eGFR</x:v>
      </x:c>
      <x:c r="D128" s="56" t="str">
        <x:v>必须</x:v>
      </x:c>
      <x:c r="E128" s="59" t="str">
        <x:v>必须</x:v>
      </x:c>
      <x:c r="F128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28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H128" s="56" t="str">
        <x:v>按病例阶段与适应证</x:v>
      </x:c>
      <x:c r="I128" s="56" t="str">
        <x:v>是</x:v>
      </x:c>
      <x:c r="J128" s="56" t="str">
        <x:v>否</x:v>
      </x:c>
      <x:c r="K128" s="56" t="str">
        <x:v>待专家确认</x:v>
      </x:c>
      <x:c r="L128" s="56" t="str">
        <x:v>否</x:v>
      </x:c>
      <x:c r="M128" s="56" t="str">
        <x:v>否</x:v>
      </x:c>
      <x:c r="N128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28" s="56" t="str">
        <x:v>待专家核对</x:v>
      </x:c>
      <x:c r="P128" s="59" t="str">
        <x:v>待专家确认</x:v>
      </x:c>
    </x:row>
    <x:row r="129">
      <x:c r="A129" s="56" t="str">
        <x:v>P022</x:v>
      </x:c>
      <x:c r="B129" s="56" t="str">
        <x:v>HX-ADD-010</x:v>
      </x:c>
      <x:c r="C129" s="56" t="str">
        <x:v>治疗后复查尿常规+尿沉渣</x:v>
      </x:c>
      <x:c r="D129" s="56" t="str">
        <x:v>原表模板/现有规则</x:v>
      </x:c>
      <x:c r="E129" s="59" t="str">
        <x:v>必须</x:v>
      </x:c>
      <x:c r="F129" s="56" t="str">
        <x:v>确认感染缓解后血尿是否持续</x:v>
      </x:c>
      <x:c r="G129" s="56" t="str">
        <x:v>确认感染缓解后血尿是否持续</x:v>
      </x:c>
      <x:c r="H129" s="56" t="str">
        <x:v>感染治疗完成</x:v>
      </x:c>
      <x:c r="I129" s="56" t="str">
        <x:v>是</x:v>
      </x:c>
      <x:c r="J129" s="56" t="str">
        <x:v>否</x:v>
      </x:c>
      <x:c r="K129" s="56" t="str">
        <x:v>否</x:v>
      </x:c>
      <x:c r="L129" s="56" t="str">
        <x:v>否</x:v>
      </x:c>
      <x:c r="M129" s="56" t="str">
        <x:v>否</x:v>
      </x:c>
      <x:c r="N129" s="56" t="str">
        <x:v>https://www.auanet.org/guidelines-and-quality/guidelines/microhematuria</x:v>
      </x:c>
      <x:c r="O129" s="56" t="str">
        <x:v>Initial evaluation</x:v>
      </x:c>
      <x:c r="P129" s="59" t="str">
        <x:v>待专家确认</x:v>
      </x:c>
    </x:row>
    <x:row r="130">
      <x:c r="A130" s="56" t="str">
        <x:v>P022</x:v>
      </x:c>
      <x:c r="B130" s="56" t="str">
        <x:v>HX-ADD-010</x:v>
      </x:c>
      <x:c r="C130" s="56" t="str">
        <x:v>尿培养+药敏</x:v>
      </x:c>
      <x:c r="D130" s="56" t="str">
        <x:v>原表模板/现有规则</x:v>
      </x:c>
      <x:c r="E130" s="59" t="str">
        <x:v>条件性</x:v>
      </x:c>
      <x:c r="F130" s="56" t="str">
        <x:v>复发、非典型或治疗失败时</x:v>
      </x:c>
      <x:c r="G130" s="56" t="str">
        <x:v>复发、非典型或治疗失败时</x:v>
      </x:c>
      <x:c r="H130" s="56" t="str">
        <x:v>规范留样</x:v>
      </x:c>
      <x:c r="I130" s="56" t="str">
        <x:v>否</x:v>
      </x:c>
      <x:c r="J130" s="56" t="str">
        <x:v>是</x:v>
      </x:c>
      <x:c r="K130" s="56" t="str">
        <x:v>否</x:v>
      </x:c>
      <x:c r="L130" s="56" t="str">
        <x:v>否</x:v>
      </x:c>
      <x:c r="M130" s="56" t="str">
        <x:v>否</x:v>
      </x:c>
      <x:c r="N130" s="56" t="str">
        <x:v>https://uroweb.org/guidelines/urological-infections</x:v>
      </x:c>
      <x:c r="O130" s="56" t="str">
        <x:v>Recurrent UTI</x:v>
      </x:c>
      <x:c r="P130" s="59" t="str">
        <x:v>待专家确认</x:v>
      </x:c>
    </x:row>
    <x:row r="131">
      <x:c r="A131" s="56" t="str">
        <x:v>P022</x:v>
      </x:c>
      <x:c r="B131" s="56" t="str">
        <x:v>HX-ADD-010</x:v>
      </x:c>
      <x:c r="C131" s="56" t="str">
        <x:v>血尿风险分层</x:v>
      </x:c>
      <x:c r="D131" s="56" t="str">
        <x:v>原表模板/现有规则</x:v>
      </x:c>
      <x:c r="E131" s="59" t="str">
        <x:v>必须</x:v>
      </x:c>
      <x:c r="F131" s="56" t="str">
        <x:v>持续血尿不能继续仅按感染处理</x:v>
      </x:c>
      <x:c r="G131" s="56" t="str">
        <x:v>持续血尿不能继续仅按感染处理</x:v>
      </x:c>
      <x:c r="H131" s="56" t="str">
        <x:v>感染缓解后仍有血尿</x:v>
      </x:c>
      <x:c r="I131" s="56" t="str">
        <x:v>是</x:v>
      </x:c>
      <x:c r="J131" s="56" t="str">
        <x:v>否</x:v>
      </x:c>
      <x:c r="K131" s="56" t="str">
        <x:v>否</x:v>
      </x:c>
      <x:c r="L131" s="56" t="str">
        <x:v>否</x:v>
      </x:c>
      <x:c r="M131" s="56" t="str">
        <x:v>否</x:v>
      </x:c>
      <x:c r="N131" s="56" t="str">
        <x:v>https://www.auanet.org/guidelines-and-quality/guidelines/microhematuria</x:v>
      </x:c>
      <x:c r="O131" s="56" t="str">
        <x:v>Risk stratification</x:v>
      </x:c>
      <x:c r="P131" s="59" t="str">
        <x:v>待专家确认</x:v>
      </x:c>
    </x:row>
    <x:row r="132">
      <x:c r="A132" s="56" t="str">
        <x:v>P022</x:v>
      </x:c>
      <x:c r="B132" s="56" t="str">
        <x:v>HX-ADD-010</x:v>
      </x:c>
      <x:c r="C132" s="56" t="str">
        <x:v>膀胱镜及上尿路影像</x:v>
      </x:c>
      <x:c r="D132" s="56" t="str">
        <x:v>原表模板/现有规则</x:v>
      </x:c>
      <x:c r="E132" s="59" t="str">
        <x:v>条件性</x:v>
      </x:c>
      <x:c r="F132" s="56" t="str">
        <x:v>按肿瘤、结石和肾小球来源风险选择</x:v>
      </x:c>
      <x:c r="G132" s="56" t="str">
        <x:v>按肿瘤、结石和肾小球来源风险选择</x:v>
      </x:c>
      <x:c r="H132" s="56" t="str">
        <x:v>完成风险分层</x:v>
      </x:c>
      <x:c r="I132" s="56" t="str">
        <x:v>否</x:v>
      </x:c>
      <x:c r="J132" s="56" t="str">
        <x:v>是</x:v>
      </x:c>
      <x:c r="K132" s="56" t="str">
        <x:v>否</x:v>
      </x:c>
      <x:c r="L132" s="56" t="str">
        <x:v>否</x:v>
      </x:c>
      <x:c r="M132" s="56" t="str">
        <x:v>否</x:v>
      </x:c>
      <x:c r="N132" s="56" t="str">
        <x:v>https://www.auanet.org/guidelines-and-quality/guidelines/microhematuria</x:v>
      </x:c>
      <x:c r="O132" s="56" t="str">
        <x:v>Risk-based evaluation</x:v>
      </x:c>
      <x:c r="P132" s="59" t="str">
        <x:v>待专家确认</x:v>
      </x:c>
    </x:row>
    <x:row r="133">
      <x:c r="A133" s="56" t="str">
        <x:v>P023</x:v>
      </x:c>
      <x:c r="B133" s="56" t="str">
        <x:v>HX-ADD-011</x:v>
      </x:c>
      <x:c r="C133" s="56" t="str">
        <x:v>尿常规</x:v>
      </x:c>
      <x:c r="D133" s="56" t="str">
        <x:v>必须</x:v>
      </x:c>
      <x:c r="E133" s="59" t="str">
        <x:v>必须</x:v>
      </x:c>
      <x:c r="F133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33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H133" s="56" t="str">
        <x:v>按病例阶段与适应证</x:v>
      </x:c>
      <x:c r="I133" s="56" t="str">
        <x:v>是</x:v>
      </x:c>
      <x:c r="J133" s="56" t="str">
        <x:v>否</x:v>
      </x:c>
      <x:c r="K133" s="56" t="str">
        <x:v>待专家确认</x:v>
      </x:c>
      <x:c r="L133" s="56" t="str">
        <x:v>否</x:v>
      </x:c>
      <x:c r="M133" s="56" t="str">
        <x:v>否</x:v>
      </x:c>
      <x:c r="N133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33" s="56" t="str">
        <x:v>待专家核对</x:v>
      </x:c>
      <x:c r="P133" s="59" t="str">
        <x:v>待专家确认</x:v>
      </x:c>
    </x:row>
    <x:row r="134">
      <x:c r="A134" s="56" t="str">
        <x:v>P023</x:v>
      </x:c>
      <x:c r="B134" s="56" t="str">
        <x:v>HX-ADD-011</x:v>
      </x:c>
      <x:c r="C134" s="56" t="str">
        <x:v>尿沉渣镜检</x:v>
      </x:c>
      <x:c r="D134" s="56" t="str">
        <x:v>必须</x:v>
      </x:c>
      <x:c r="E134" s="59" t="str">
        <x:v>必须</x:v>
      </x:c>
      <x:c r="F134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34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H134" s="56" t="str">
        <x:v>按病例阶段与适应证</x:v>
      </x:c>
      <x:c r="I134" s="56" t="str">
        <x:v>是</x:v>
      </x:c>
      <x:c r="J134" s="56" t="str">
        <x:v>否</x:v>
      </x:c>
      <x:c r="K134" s="56" t="str">
        <x:v>待专家确认</x:v>
      </x:c>
      <x:c r="L134" s="56" t="str">
        <x:v>否</x:v>
      </x:c>
      <x:c r="M134" s="56" t="str">
        <x:v>否</x:v>
      </x:c>
      <x:c r="N134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34" s="56" t="str">
        <x:v>待专家核对</x:v>
      </x:c>
      <x:c r="P134" s="59" t="str">
        <x:v>待专家确认</x:v>
      </x:c>
    </x:row>
    <x:row r="135">
      <x:c r="A135" s="56" t="str">
        <x:v>P023</x:v>
      </x:c>
      <x:c r="B135" s="56" t="str">
        <x:v>HX-ADD-011</x:v>
      </x:c>
      <x:c r="C135" s="56" t="str">
        <x:v>肾功能/eGFR</x:v>
      </x:c>
      <x:c r="D135" s="56" t="str">
        <x:v>必须</x:v>
      </x:c>
      <x:c r="E135" s="59" t="str">
        <x:v>必须</x:v>
      </x:c>
      <x:c r="F135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35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H135" s="56" t="str">
        <x:v>按病例阶段与适应证</x:v>
      </x:c>
      <x:c r="I135" s="56" t="str">
        <x:v>是</x:v>
      </x:c>
      <x:c r="J135" s="56" t="str">
        <x:v>否</x:v>
      </x:c>
      <x:c r="K135" s="56" t="str">
        <x:v>待专家确认</x:v>
      </x:c>
      <x:c r="L135" s="56" t="str">
        <x:v>否</x:v>
      </x:c>
      <x:c r="M135" s="56" t="str">
        <x:v>否</x:v>
      </x:c>
      <x:c r="N135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35" s="56" t="str">
        <x:v>待专家核对</x:v>
      </x:c>
      <x:c r="P135" s="59" t="str">
        <x:v>待专家确认</x:v>
      </x:c>
    </x:row>
    <x:row r="136">
      <x:c r="A136" s="56" t="str">
        <x:v>P023</x:v>
      </x:c>
      <x:c r="B136" s="56" t="str">
        <x:v>HX-ADD-011</x:v>
      </x:c>
      <x:c r="C136" s="56" t="str">
        <x:v>泌尿系CT平扫/低剂量NCCT KUB</x:v>
      </x:c>
      <x:c r="D136" s="56" t="str">
        <x:v>条件性</x:v>
      </x:c>
      <x:c r="E136" s="59" t="str">
        <x:v>条件性</x:v>
      </x:c>
      <x:c r="F136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36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H136" s="56" t="str">
        <x:v>按病例阶段与适应证</x:v>
      </x:c>
      <x:c r="I136" s="56" t="str">
        <x:v>否</x:v>
      </x:c>
      <x:c r="J136" s="56" t="str">
        <x:v>是</x:v>
      </x:c>
      <x:c r="K136" s="56" t="str">
        <x:v>待专家确认</x:v>
      </x:c>
      <x:c r="L136" s="56" t="str">
        <x:v>否</x:v>
      </x:c>
      <x:c r="M136" s="56" t="str">
        <x:v>否</x:v>
      </x:c>
      <x:c r="N136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36" s="56" t="str">
        <x:v>待专家核对</x:v>
      </x:c>
      <x:c r="P136" s="59" t="str">
        <x:v>待专家确认</x:v>
      </x:c>
    </x:row>
    <x:row r="137">
      <x:c r="A137" s="56" t="str">
        <x:v>P023</x:v>
      </x:c>
      <x:c r="B137" s="56" t="str">
        <x:v>HX-ADD-011</x:v>
      </x:c>
      <x:c r="C137" s="56" t="str">
        <x:v>泌尿系超声+残余尿</x:v>
      </x:c>
      <x:c r="D137" s="56" t="str">
        <x:v>待专家确认</x:v>
      </x:c>
      <x:c r="E137" s="59" t="str">
        <x:v>待专家确认</x:v>
      </x:c>
      <x:c r="F137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37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H137" s="56" t="str">
        <x:v>按病例阶段与适应证</x:v>
      </x:c>
      <x:c r="I137" s="56" t="str">
        <x:v>否</x:v>
      </x:c>
      <x:c r="J137" s="56" t="str">
        <x:v>否</x:v>
      </x:c>
      <x:c r="K137" s="56" t="str">
        <x:v>待专家确认</x:v>
      </x:c>
      <x:c r="L137" s="56" t="str">
        <x:v>否</x:v>
      </x:c>
      <x:c r="M137" s="56" t="str">
        <x:v>否</x:v>
      </x:c>
      <x:c r="N137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37" s="56" t="str">
        <x:v>待专家核对</x:v>
      </x:c>
      <x:c r="P137" s="59" t="str">
        <x:v>待专家确认</x:v>
      </x:c>
    </x:row>
    <x:row r="138">
      <x:c r="A138" s="56" t="str">
        <x:v>P024</x:v>
      </x:c>
      <x:c r="B138" s="56" t="str">
        <x:v>HX-ADD-012</x:v>
      </x:c>
      <x:c r="C138" s="56" t="str">
        <x:v>尿常规</x:v>
      </x:c>
      <x:c r="D138" s="56" t="str">
        <x:v>必须</x:v>
      </x:c>
      <x:c r="E138" s="59" t="str">
        <x:v>必须</x:v>
      </x:c>
      <x:c r="F138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38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H138" s="56" t="str">
        <x:v>按病例阶段与适应证</x:v>
      </x:c>
      <x:c r="I138" s="56" t="str">
        <x:v>是</x:v>
      </x:c>
      <x:c r="J138" s="56" t="str">
        <x:v>否</x:v>
      </x:c>
      <x:c r="K138" s="56" t="str">
        <x:v>待专家确认</x:v>
      </x:c>
      <x:c r="L138" s="56" t="str">
        <x:v>否</x:v>
      </x:c>
      <x:c r="M138" s="56" t="str">
        <x:v>否</x:v>
      </x:c>
      <x:c r="N138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38" s="56" t="str">
        <x:v>待专家核对</x:v>
      </x:c>
      <x:c r="P138" s="59" t="str">
        <x:v>待专家确认</x:v>
      </x:c>
    </x:row>
    <x:row r="139">
      <x:c r="A139" s="56" t="str">
        <x:v>P024</x:v>
      </x:c>
      <x:c r="B139" s="56" t="str">
        <x:v>HX-ADD-012</x:v>
      </x:c>
      <x:c r="C139" s="56" t="str">
        <x:v>尿沉渣镜检</x:v>
      </x:c>
      <x:c r="D139" s="56" t="str">
        <x:v>必须</x:v>
      </x:c>
      <x:c r="E139" s="59" t="str">
        <x:v>必须</x:v>
      </x:c>
      <x:c r="F139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39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H139" s="56" t="str">
        <x:v>按病例阶段与适应证</x:v>
      </x:c>
      <x:c r="I139" s="56" t="str">
        <x:v>是</x:v>
      </x:c>
      <x:c r="J139" s="56" t="str">
        <x:v>否</x:v>
      </x:c>
      <x:c r="K139" s="56" t="str">
        <x:v>待专家确认</x:v>
      </x:c>
      <x:c r="L139" s="56" t="str">
        <x:v>否</x:v>
      </x:c>
      <x:c r="M139" s="56" t="str">
        <x:v>否</x:v>
      </x:c>
      <x:c r="N139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39" s="56" t="str">
        <x:v>待专家核对</x:v>
      </x:c>
      <x:c r="P139" s="59" t="str">
        <x:v>待专家确认</x:v>
      </x:c>
    </x:row>
    <x:row r="140">
      <x:c r="A140" s="56" t="str">
        <x:v>P024</x:v>
      </x:c>
      <x:c r="B140" s="56" t="str">
        <x:v>HX-ADD-012</x:v>
      </x:c>
      <x:c r="C140" s="56" t="str">
        <x:v>肾功能/eGFR</x:v>
      </x:c>
      <x:c r="D140" s="56" t="str">
        <x:v>必须</x:v>
      </x:c>
      <x:c r="E140" s="59" t="str">
        <x:v>必须</x:v>
      </x:c>
      <x:c r="F140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40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H140" s="56" t="str">
        <x:v>按病例阶段与适应证</x:v>
      </x:c>
      <x:c r="I140" s="56" t="str">
        <x:v>是</x:v>
      </x:c>
      <x:c r="J140" s="56" t="str">
        <x:v>否</x:v>
      </x:c>
      <x:c r="K140" s="56" t="str">
        <x:v>待专家确认</x:v>
      </x:c>
      <x:c r="L140" s="56" t="str">
        <x:v>否</x:v>
      </x:c>
      <x:c r="M140" s="56" t="str">
        <x:v>否</x:v>
      </x:c>
      <x:c r="N140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40" s="56" t="str">
        <x:v>待专家核对</x:v>
      </x:c>
      <x:c r="P140" s="59" t="str">
        <x:v>待专家确认</x:v>
      </x:c>
    </x:row>
    <x:row r="141">
      <x:c r="A141" s="56" t="str">
        <x:v>P024</x:v>
      </x:c>
      <x:c r="B141" s="56" t="str">
        <x:v>HX-ADD-012</x:v>
      </x:c>
      <x:c r="C141" s="56" t="str">
        <x:v>泌尿系CT平扫/低剂量NCCT KUB</x:v>
      </x:c>
      <x:c r="D141" s="56" t="str">
        <x:v>条件性</x:v>
      </x:c>
      <x:c r="E141" s="59" t="str">
        <x:v>条件性</x:v>
      </x:c>
      <x:c r="F141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41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H141" s="56" t="str">
        <x:v>按病例阶段与适应证</x:v>
      </x:c>
      <x:c r="I141" s="56" t="str">
        <x:v>否</x:v>
      </x:c>
      <x:c r="J141" s="56" t="str">
        <x:v>是</x:v>
      </x:c>
      <x:c r="K141" s="56" t="str">
        <x:v>待专家确认</x:v>
      </x:c>
      <x:c r="L141" s="56" t="str">
        <x:v>否</x:v>
      </x:c>
      <x:c r="M141" s="56" t="str">
        <x:v>否</x:v>
      </x:c>
      <x:c r="N141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41" s="56" t="str">
        <x:v>待专家核对</x:v>
      </x:c>
      <x:c r="P141" s="59" t="str">
        <x:v>待专家确认</x:v>
      </x:c>
    </x:row>
    <x:row r="142">
      <x:c r="A142" s="56" t="str">
        <x:v>P024</x:v>
      </x:c>
      <x:c r="B142" s="56" t="str">
        <x:v>HX-ADD-012</x:v>
      </x:c>
      <x:c r="C142" s="56" t="str">
        <x:v>泌尿系超声+残余尿</x:v>
      </x:c>
      <x:c r="D142" s="56" t="str">
        <x:v>待专家确认</x:v>
      </x:c>
      <x:c r="E142" s="59" t="str">
        <x:v>待专家确认</x:v>
      </x:c>
      <x:c r="F142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42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H142" s="56" t="str">
        <x:v>按病例阶段与适应证</x:v>
      </x:c>
      <x:c r="I142" s="56" t="str">
        <x:v>否</x:v>
      </x:c>
      <x:c r="J142" s="56" t="str">
        <x:v>否</x:v>
      </x:c>
      <x:c r="K142" s="56" t="str">
        <x:v>待专家确认</x:v>
      </x:c>
      <x:c r="L142" s="56" t="str">
        <x:v>否</x:v>
      </x:c>
      <x:c r="M142" s="56" t="str">
        <x:v>否</x:v>
      </x:c>
      <x:c r="N142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42" s="56" t="str">
        <x:v>待专家核对</x:v>
      </x:c>
      <x:c r="P142" s="59" t="str">
        <x:v>待专家确认</x:v>
      </x:c>
    </x:row>
    <x:row r="143">
      <x:c r="A143" s="56" t="str">
        <x:v>P025</x:v>
      </x:c>
      <x:c r="B143" s="56" t="str">
        <x:v>HX-ADD-013</x:v>
      </x:c>
      <x:c r="C143" s="56" t="str">
        <x:v>尿常规+尿沉渣镜检</x:v>
      </x:c>
      <x:c r="D143" s="56" t="str">
        <x:v>原表模板/现有规则</x:v>
      </x:c>
      <x:c r="E143" s="59" t="str">
        <x:v>必须</x:v>
      </x:c>
      <x:c r="F143" s="56" t="str">
        <x:v>确认血尿、感染和结晶</x:v>
      </x:c>
      <x:c r="G143" s="56" t="str">
        <x:v>确认血尿、感染和结晶</x:v>
      </x:c>
      <x:c r="H143" s="56" t="str">
        <x:v>无</x:v>
      </x:c>
      <x:c r="I143" s="56" t="str">
        <x:v>是</x:v>
      </x:c>
      <x:c r="J143" s="56" t="str">
        <x:v>否</x:v>
      </x:c>
      <x:c r="K143" s="56" t="str">
        <x:v>否</x:v>
      </x:c>
      <x:c r="L143" s="56" t="str">
        <x:v>否</x:v>
      </x:c>
      <x:c r="M143" s="56" t="str">
        <x:v>否</x:v>
      </x:c>
      <x:c r="N143" s="56" t="str">
        <x:v>https://uroweb.org/guidelines/urolithiasis</x:v>
      </x:c>
      <x:c r="O143" s="56" t="str">
        <x:v>Bladder stones</x:v>
      </x:c>
      <x:c r="P143" s="59" t="str">
        <x:v>待专家确认</x:v>
      </x:c>
    </x:row>
    <x:row r="144">
      <x:c r="A144" s="56" t="str">
        <x:v>P025</x:v>
      </x:c>
      <x:c r="B144" s="56" t="str">
        <x:v>HX-ADD-013</x:v>
      </x:c>
      <x:c r="C144" s="56" t="str">
        <x:v>中段尿培养+药敏</x:v>
      </x:c>
      <x:c r="D144" s="56" t="str">
        <x:v>原表模板/现有规则</x:v>
      </x:c>
      <x:c r="E144" s="59" t="str">
        <x:v>条件性</x:v>
      </x:c>
      <x:c r="F144" s="56" t="str">
        <x:v>感染症状或术前感染风险</x:v>
      </x:c>
      <x:c r="G144" s="56" t="str">
        <x:v>感染症状或术前感染风险</x:v>
      </x:c>
      <x:c r="H144" s="56" t="str">
        <x:v>规范留样</x:v>
      </x:c>
      <x:c r="I144" s="56" t="str">
        <x:v>否</x:v>
      </x:c>
      <x:c r="J144" s="56" t="str">
        <x:v>是</x:v>
      </x:c>
      <x:c r="K144" s="56" t="str">
        <x:v>否</x:v>
      </x:c>
      <x:c r="L144" s="56" t="str">
        <x:v>否</x:v>
      </x:c>
      <x:c r="M144" s="56" t="str">
        <x:v>否</x:v>
      </x:c>
      <x:c r="N144" s="56" t="str">
        <x:v>https://uroweb.org/guidelines/urolithiasis</x:v>
      </x:c>
      <x:c r="O144" s="56" t="str">
        <x:v>Bladder stones</x:v>
      </x:c>
      <x:c r="P144" s="59" t="str">
        <x:v>待专家确认</x:v>
      </x:c>
    </x:row>
    <x:row r="145">
      <x:c r="A145" s="56" t="str">
        <x:v>P025</x:v>
      </x:c>
      <x:c r="B145" s="56" t="str">
        <x:v>HX-ADD-013</x:v>
      </x:c>
      <x:c r="C145" s="56" t="str">
        <x:v>膀胱超声</x:v>
      </x:c>
      <x:c r="D145" s="56" t="str">
        <x:v>原表模板/现有规则</x:v>
      </x:c>
      <x:c r="E145" s="59" t="str">
        <x:v>必须</x:v>
      </x:c>
      <x:c r="F145" s="56" t="str">
        <x:v>确认膀胱结石及残余尿</x:v>
      </x:c>
      <x:c r="G145" s="56" t="str">
        <x:v>确认膀胱结石及残余尿</x:v>
      </x:c>
      <x:c r="H145" s="56" t="str">
        <x:v>无</x:v>
      </x:c>
      <x:c r="I145" s="56" t="str">
        <x:v>是</x:v>
      </x:c>
      <x:c r="J145" s="56" t="str">
        <x:v>否</x:v>
      </x:c>
      <x:c r="K145" s="56" t="str">
        <x:v>否</x:v>
      </x:c>
      <x:c r="L145" s="56" t="str">
        <x:v>否</x:v>
      </x:c>
      <x:c r="M145" s="56" t="str">
        <x:v>否</x:v>
      </x:c>
      <x:c r="N145" s="56" t="str">
        <x:v>https://uroweb.org/guidelines/urolithiasis</x:v>
      </x:c>
      <x:c r="O145" s="56" t="str">
        <x:v>Bladder stones</x:v>
      </x:c>
      <x:c r="P145" s="59" t="str">
        <x:v>待专家确认</x:v>
      </x:c>
    </x:row>
    <x:row r="146">
      <x:c r="A146" s="56" t="str">
        <x:v>P025</x:v>
      </x:c>
      <x:c r="B146" s="56" t="str">
        <x:v>HX-ADD-013</x:v>
      </x:c>
      <x:c r="C146" s="56" t="str">
        <x:v>排尿后残余尿/尿流率</x:v>
      </x:c>
      <x:c r="D146" s="56" t="str">
        <x:v>原表模板/现有规则</x:v>
      </x:c>
      <x:c r="E146" s="59" t="str">
        <x:v>必须</x:v>
      </x:c>
      <x:c r="F146" s="56" t="str">
        <x:v>寻找BPH、神经源性膀胱或慢性残余尿病因</x:v>
      </x:c>
      <x:c r="G146" s="56" t="str">
        <x:v>寻找BPH、神经源性膀胱或慢性残余尿病因</x:v>
      </x:c>
      <x:c r="H146" s="56" t="str">
        <x:v>完成排尿</x:v>
      </x:c>
      <x:c r="I146" s="56" t="str">
        <x:v>是</x:v>
      </x:c>
      <x:c r="J146" s="56" t="str">
        <x:v>否</x:v>
      </x:c>
      <x:c r="K146" s="56" t="str">
        <x:v>否</x:v>
      </x:c>
      <x:c r="L146" s="56" t="str">
        <x:v>否</x:v>
      </x:c>
      <x:c r="M146" s="56" t="str">
        <x:v>否</x:v>
      </x:c>
      <x:c r="N146" s="56" t="str">
        <x:v>https://uroweb.org/guidelines/urolithiasis</x:v>
      </x:c>
      <x:c r="O146" s="56" t="str">
        <x:v>Bladder stones aetiology</x:v>
      </x:c>
      <x:c r="P146" s="59" t="str">
        <x:v>待专家确认</x:v>
      </x:c>
    </x:row>
    <x:row r="147">
      <x:c r="A147" s="56" t="str">
        <x:v>P025</x:v>
      </x:c>
      <x:c r="B147" s="56" t="str">
        <x:v>HX-ADD-013</x:v>
      </x:c>
      <x:c r="C147" s="56" t="str">
        <x:v>膀胱镜或CT</x:v>
      </x:c>
      <x:c r="D147" s="56" t="str">
        <x:v>原表模板/现有规则</x:v>
      </x:c>
      <x:c r="E147" s="59" t="str">
        <x:v>条件性</x:v>
      </x:c>
      <x:c r="F147" s="56" t="str">
        <x:v>超声不明确、异物或膀胱病变疑虑时</x:v>
      </x:c>
      <x:c r="G147" s="56" t="str">
        <x:v>超声不明确、异物或膀胱病变疑虑时</x:v>
      </x:c>
      <x:c r="H147" s="56" t="str">
        <x:v>按临床指征</x:v>
      </x:c>
      <x:c r="I147" s="56" t="str">
        <x:v>否</x:v>
      </x:c>
      <x:c r="J147" s="56" t="str">
        <x:v>是</x:v>
      </x:c>
      <x:c r="K147" s="56" t="str">
        <x:v>否</x:v>
      </x:c>
      <x:c r="L147" s="56" t="str">
        <x:v>否</x:v>
      </x:c>
      <x:c r="M147" s="56" t="str">
        <x:v>否</x:v>
      </x:c>
      <x:c r="N147" s="56" t="str">
        <x:v>https://uroweb.org/guidelines/urolithiasis</x:v>
      </x:c>
      <x:c r="O147" s="56" t="str">
        <x:v>Bladder stones</x:v>
      </x:c>
      <x:c r="P147" s="59" t="str">
        <x:v>待专家确认</x:v>
      </x:c>
    </x:row>
    <x:row r="148">
      <x:c r="A148" s="56" t="str">
        <x:v>P025</x:v>
      </x:c>
      <x:c r="B148" s="56" t="str">
        <x:v>HX-ADD-013</x:v>
      </x:c>
      <x:c r="C148" s="56" t="str">
        <x:v>PCNL</x:v>
      </x:c>
      <x:c r="D148" s="56" t="str">
        <x:v>原表模板/现有规则</x:v>
      </x:c>
      <x:c r="E148" s="59" t="str">
        <x:v>禁忌或不适用</x:v>
      </x:c>
      <x:c r="F148" s="56" t="str">
        <x:v>成人膀胱结石不得直接套用上尿路PCNL模板</x:v>
      </x:c>
      <x:c r="G148" s="56" t="str">
        <x:v>成人膀胱结石不得直接套用上尿路PCNL模板</x:v>
      </x:c>
      <x:c r="H148" s="56" t="str">
        <x:v>不适用</x:v>
      </x:c>
      <x:c r="I148" s="56" t="str">
        <x:v>否</x:v>
      </x:c>
      <x:c r="J148" s="56" t="str">
        <x:v>否</x:v>
      </x:c>
      <x:c r="K148" s="56" t="str">
        <x:v>否</x:v>
      </x:c>
      <x:c r="L148" s="56" t="str">
        <x:v>是</x:v>
      </x:c>
      <x:c r="M148" s="56" t="str">
        <x:v>是</x:v>
      </x:c>
      <x:c r="N148" s="56" t="str">
        <x:v>https://uroweb.org/guidelines/urolithiasis</x:v>
      </x:c>
      <x:c r="O148" s="56" t="str">
        <x:v>Bladder stones treatment</x:v>
      </x:c>
      <x:c r="P148" s="59" t="str">
        <x:v>待专家确认</x:v>
      </x:c>
    </x:row>
    <x:row r="149">
      <x:c r="A149" s="56" t="str">
        <x:v>P026</x:v>
      </x:c>
      <x:c r="B149" s="56" t="str">
        <x:v>HX-ADD-014</x:v>
      </x:c>
      <x:c r="C149" s="56" t="str">
        <x:v>尿常规</x:v>
      </x:c>
      <x:c r="D149" s="56" t="str">
        <x:v>必须</x:v>
      </x:c>
      <x:c r="E149" s="59" t="str">
        <x:v>必须</x:v>
      </x:c>
      <x:c r="F149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49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H149" s="56" t="str">
        <x:v>按病例阶段与适应证</x:v>
      </x:c>
      <x:c r="I149" s="56" t="str">
        <x:v>是</x:v>
      </x:c>
      <x:c r="J149" s="56" t="str">
        <x:v>否</x:v>
      </x:c>
      <x:c r="K149" s="56" t="str">
        <x:v>待专家确认</x:v>
      </x:c>
      <x:c r="L149" s="56" t="str">
        <x:v>否</x:v>
      </x:c>
      <x:c r="M149" s="56" t="str">
        <x:v>否</x:v>
      </x:c>
      <x:c r="N149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49" s="56" t="str">
        <x:v>待专家核对</x:v>
      </x:c>
      <x:c r="P149" s="59" t="str">
        <x:v>待专家确认</x:v>
      </x:c>
    </x:row>
    <x:row r="150">
      <x:c r="A150" s="56" t="str">
        <x:v>P026</x:v>
      </x:c>
      <x:c r="B150" s="56" t="str">
        <x:v>HX-ADD-014</x:v>
      </x:c>
      <x:c r="C150" s="56" t="str">
        <x:v>尿沉渣镜检</x:v>
      </x:c>
      <x:c r="D150" s="56" t="str">
        <x:v>必须</x:v>
      </x:c>
      <x:c r="E150" s="59" t="str">
        <x:v>必须</x:v>
      </x:c>
      <x:c r="F150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50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H150" s="56" t="str">
        <x:v>按病例阶段与适应证</x:v>
      </x:c>
      <x:c r="I150" s="56" t="str">
        <x:v>是</x:v>
      </x:c>
      <x:c r="J150" s="56" t="str">
        <x:v>否</x:v>
      </x:c>
      <x:c r="K150" s="56" t="str">
        <x:v>待专家确认</x:v>
      </x:c>
      <x:c r="L150" s="56" t="str">
        <x:v>否</x:v>
      </x:c>
      <x:c r="M150" s="56" t="str">
        <x:v>否</x:v>
      </x:c>
      <x:c r="N150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50" s="56" t="str">
        <x:v>待专家核对</x:v>
      </x:c>
      <x:c r="P150" s="59" t="str">
        <x:v>待专家确认</x:v>
      </x:c>
    </x:row>
    <x:row r="151">
      <x:c r="A151" s="56" t="str">
        <x:v>P026</x:v>
      </x:c>
      <x:c r="B151" s="56" t="str">
        <x:v>HX-ADD-014</x:v>
      </x:c>
      <x:c r="C151" s="56" t="str">
        <x:v>肾功能/eGFR</x:v>
      </x:c>
      <x:c r="D151" s="56" t="str">
        <x:v>必须</x:v>
      </x:c>
      <x:c r="E151" s="59" t="str">
        <x:v>必须</x:v>
      </x:c>
      <x:c r="F151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51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H151" s="56" t="str">
        <x:v>按病例阶段与适应证</x:v>
      </x:c>
      <x:c r="I151" s="56" t="str">
        <x:v>是</x:v>
      </x:c>
      <x:c r="J151" s="56" t="str">
        <x:v>否</x:v>
      </x:c>
      <x:c r="K151" s="56" t="str">
        <x:v>待专家确认</x:v>
      </x:c>
      <x:c r="L151" s="56" t="str">
        <x:v>否</x:v>
      </x:c>
      <x:c r="M151" s="56" t="str">
        <x:v>否</x:v>
      </x:c>
      <x:c r="N151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51" s="56" t="str">
        <x:v>待专家核对</x:v>
      </x:c>
      <x:c r="P151" s="59" t="str">
        <x:v>待专家确认</x:v>
      </x:c>
    </x:row>
    <x:row r="152">
      <x:c r="A152" s="56" t="str">
        <x:v>P026</x:v>
      </x:c>
      <x:c r="B152" s="56" t="str">
        <x:v>HX-ADD-014</x:v>
      </x:c>
      <x:c r="C152" s="56" t="str">
        <x:v>泌尿系CT平扫/低剂量NCCT KUB</x:v>
      </x:c>
      <x:c r="D152" s="56" t="str">
        <x:v>条件性</x:v>
      </x:c>
      <x:c r="E152" s="59" t="str">
        <x:v>条件性</x:v>
      </x:c>
      <x:c r="F152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52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H152" s="56" t="str">
        <x:v>按病例阶段与适应证</x:v>
      </x:c>
      <x:c r="I152" s="56" t="str">
        <x:v>否</x:v>
      </x:c>
      <x:c r="J152" s="56" t="str">
        <x:v>是</x:v>
      </x:c>
      <x:c r="K152" s="56" t="str">
        <x:v>待专家确认</x:v>
      </x:c>
      <x:c r="L152" s="56" t="str">
        <x:v>否</x:v>
      </x:c>
      <x:c r="M152" s="56" t="str">
        <x:v>否</x:v>
      </x:c>
      <x:c r="N152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52" s="56" t="str">
        <x:v>待专家核对</x:v>
      </x:c>
      <x:c r="P152" s="59" t="str">
        <x:v>待专家确认</x:v>
      </x:c>
    </x:row>
    <x:row r="153">
      <x:c r="A153" s="56" t="str">
        <x:v>P026</x:v>
      </x:c>
      <x:c r="B153" s="56" t="str">
        <x:v>HX-ADD-014</x:v>
      </x:c>
      <x:c r="C153" s="56" t="str">
        <x:v>泌尿系超声+残余尿</x:v>
      </x:c>
      <x:c r="D153" s="56" t="str">
        <x:v>待专家确认</x:v>
      </x:c>
      <x:c r="E153" s="59" t="str">
        <x:v>待专家确认</x:v>
      </x:c>
      <x:c r="F153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53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H153" s="56" t="str">
        <x:v>按病例阶段与适应证</x:v>
      </x:c>
      <x:c r="I153" s="56" t="str">
        <x:v>否</x:v>
      </x:c>
      <x:c r="J153" s="56" t="str">
        <x:v>否</x:v>
      </x:c>
      <x:c r="K153" s="56" t="str">
        <x:v>待专家确认</x:v>
      </x:c>
      <x:c r="L153" s="56" t="str">
        <x:v>否</x:v>
      </x:c>
      <x:c r="M153" s="56" t="str">
        <x:v>否</x:v>
      </x:c>
      <x:c r="N153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53" s="56" t="str">
        <x:v>待专家核对</x:v>
      </x:c>
      <x:c r="P153" s="59" t="str">
        <x:v>待专家确认</x:v>
      </x:c>
    </x:row>
    <x:row r="154">
      <x:c r="A154" s="56" t="str">
        <x:v>P027</x:v>
      </x:c>
      <x:c r="B154" s="56" t="str">
        <x:v>HX-ADD-015</x:v>
      </x:c>
      <x:c r="C154" s="56" t="str">
        <x:v>尿常规及尿pH</x:v>
      </x:c>
      <x:c r="D154" s="56" t="str">
        <x:v>原表模板/现有规则</x:v>
      </x:c>
      <x:c r="E154" s="59" t="str">
        <x:v>必须</x:v>
      </x:c>
      <x:c r="F154" s="56" t="str">
        <x:v>识别酸性尿和结晶</x:v>
      </x:c>
      <x:c r="G154" s="56" t="str">
        <x:v>识别酸性尿和结晶</x:v>
      </x:c>
      <x:c r="H154" s="56" t="str">
        <x:v>无</x:v>
      </x:c>
      <x:c r="I154" s="56" t="str">
        <x:v>是</x:v>
      </x:c>
      <x:c r="J154" s="56" t="str">
        <x:v>否</x:v>
      </x:c>
      <x:c r="K154" s="56" t="str">
        <x:v>否</x:v>
      </x:c>
      <x:c r="L154" s="56" t="str">
        <x:v>否</x:v>
      </x:c>
      <x:c r="M154" s="56" t="str">
        <x:v>否</x:v>
      </x:c>
      <x:c r="N154" s="56" t="str">
        <x:v>https://uroweb.org/guidelines/urolithiasis</x:v>
      </x:c>
      <x:c r="O154" s="56" t="str">
        <x:v>Metabolic evaluation</x:v>
      </x:c>
      <x:c r="P154" s="59" t="str">
        <x:v>待专家确认</x:v>
      </x:c>
    </x:row>
    <x:row r="155">
      <x:c r="A155" s="56" t="str">
        <x:v>P027</x:v>
      </x:c>
      <x:c r="B155" s="56" t="str">
        <x:v>HX-ADD-015</x:v>
      </x:c>
      <x:c r="C155" s="56" t="str">
        <x:v>血尿酸</x:v>
      </x:c>
      <x:c r="D155" s="56" t="str">
        <x:v>原表模板/现有规则</x:v>
      </x:c>
      <x:c r="E155" s="59" t="str">
        <x:v>必须</x:v>
      </x:c>
      <x:c r="F155" s="56" t="str">
        <x:v>评估高尿酸血症</x:v>
      </x:c>
      <x:c r="G155" s="56" t="str">
        <x:v>评估高尿酸血症</x:v>
      </x:c>
      <x:c r="H155" s="56" t="str">
        <x:v>无</x:v>
      </x:c>
      <x:c r="I155" s="56" t="str">
        <x:v>是</x:v>
      </x:c>
      <x:c r="J155" s="56" t="str">
        <x:v>否</x:v>
      </x:c>
      <x:c r="K155" s="56" t="str">
        <x:v>否</x:v>
      </x:c>
      <x:c r="L155" s="56" t="str">
        <x:v>否</x:v>
      </x:c>
      <x:c r="M155" s="56" t="str">
        <x:v>否</x:v>
      </x:c>
      <x:c r="N155" s="56" t="str">
        <x:v>https://uroweb.org/guidelines/urolithiasis</x:v>
      </x:c>
      <x:c r="O155" s="56" t="str">
        <x:v>Metabolic evaluation</x:v>
      </x:c>
      <x:c r="P155" s="59" t="str">
        <x:v>待专家确认</x:v>
      </x:c>
    </x:row>
    <x:row r="156">
      <x:c r="A156" s="56" t="str">
        <x:v>P027</x:v>
      </x:c>
      <x:c r="B156" s="56" t="str">
        <x:v>HX-ADD-015</x:v>
      </x:c>
      <x:c r="C156" s="56" t="str">
        <x:v>肾功能/eGFR</x:v>
      </x:c>
      <x:c r="D156" s="56" t="str">
        <x:v>原表模板/现有规则</x:v>
      </x:c>
      <x:c r="E156" s="59" t="str">
        <x:v>必须</x:v>
      </x:c>
      <x:c r="F156" s="56" t="str">
        <x:v>评估梗阻、药物与碱化治疗安全性</x:v>
      </x:c>
      <x:c r="G156" s="56" t="str">
        <x:v>评估梗阻、药物与碱化治疗安全性</x:v>
      </x:c>
      <x:c r="H156" s="56" t="str">
        <x:v>无</x:v>
      </x:c>
      <x:c r="I156" s="56" t="str">
        <x:v>是</x:v>
      </x:c>
      <x:c r="J156" s="56" t="str">
        <x:v>否</x:v>
      </x:c>
      <x:c r="K156" s="56" t="str">
        <x:v>否</x:v>
      </x:c>
      <x:c r="L156" s="56" t="str">
        <x:v>否</x:v>
      </x:c>
      <x:c r="M156" s="56" t="str">
        <x:v>否</x:v>
      </x:c>
      <x:c r="N156" s="56" t="str">
        <x:v>https://uroweb.org/guidelines/urolithiasis</x:v>
      </x:c>
      <x:c r="O156" s="56" t="str">
        <x:v>Metabolic evaluation</x:v>
      </x:c>
      <x:c r="P156" s="59" t="str">
        <x:v>待专家确认</x:v>
      </x:c>
    </x:row>
    <x:row r="157">
      <x:c r="A157" s="56" t="str">
        <x:v>P027</x:v>
      </x:c>
      <x:c r="B157" s="56" t="str">
        <x:v>HX-ADD-015</x:v>
      </x:c>
      <x:c r="C157" s="56" t="str">
        <x:v>结石成分/代谢评估</x:v>
      </x:c>
      <x:c r="D157" s="56" t="str">
        <x:v>原表模板/现有规则</x:v>
      </x:c>
      <x:c r="E157" s="59" t="str">
        <x:v>条件性</x:v>
      </x:c>
      <x:c r="F157" s="56" t="str">
        <x:v>复发、高风险或成分不明时</x:v>
      </x:c>
      <x:c r="G157" s="56" t="str">
        <x:v>复发、高风险或成分不明时</x:v>
      </x:c>
      <x:c r="H157" s="56" t="str">
        <x:v>获取结石或规范尿液</x:v>
      </x:c>
      <x:c r="I157" s="56" t="str">
        <x:v>否</x:v>
      </x:c>
      <x:c r="J157" s="56" t="str">
        <x:v>是</x:v>
      </x:c>
      <x:c r="K157" s="56" t="str">
        <x:v>否</x:v>
      </x:c>
      <x:c r="L157" s="56" t="str">
        <x:v>否</x:v>
      </x:c>
      <x:c r="M157" s="56" t="str">
        <x:v>否</x:v>
      </x:c>
      <x:c r="N157" s="56" t="str">
        <x:v>https://uroweb.org/guidelines/urolithiasis</x:v>
      </x:c>
      <x:c r="O157" s="56" t="str">
        <x:v>Metabolic evaluation</x:v>
      </x:c>
      <x:c r="P157" s="59" t="str">
        <x:v>待专家确认</x:v>
      </x:c>
    </x:row>
    <x:row r="158">
      <x:c r="A158" s="56" t="str">
        <x:v>P027</x:v>
      </x:c>
      <x:c r="B158" s="56" t="str">
        <x:v>HX-ADD-015</x:v>
      </x:c>
      <x:c r="C158" s="56" t="str">
        <x:v>超声或非增强CT</x:v>
      </x:c>
      <x:c r="D158" s="56" t="str">
        <x:v>原表模板/现有规则</x:v>
      </x:c>
      <x:c r="E158" s="59" t="str">
        <x:v>必须</x:v>
      </x:c>
      <x:c r="F158" s="56" t="str">
        <x:v>评估结石负荷和梗阻</x:v>
      </x:c>
      <x:c r="G158" s="56" t="str">
        <x:v>评估结石负荷和梗阻</x:v>
      </x:c>
      <x:c r="H158" s="56" t="str">
        <x:v>按影像适应证</x:v>
      </x:c>
      <x:c r="I158" s="56" t="str">
        <x:v>是</x:v>
      </x:c>
      <x:c r="J158" s="56" t="str">
        <x:v>否</x:v>
      </x:c>
      <x:c r="K158" s="56" t="str">
        <x:v>否</x:v>
      </x:c>
      <x:c r="L158" s="56" t="str">
        <x:v>否</x:v>
      </x:c>
      <x:c r="M158" s="56" t="str">
        <x:v>否</x:v>
      </x:c>
      <x:c r="N158" s="56" t="str">
        <x:v>https://uroweb.org/guidelines/urolithiasis</x:v>
      </x:c>
      <x:c r="O158" s="56" t="str">
        <x:v>Diagnostic imaging</x:v>
      </x:c>
      <x:c r="P158" s="59" t="str">
        <x:v>待专家确认</x:v>
      </x:c>
    </x:row>
    <x:row r="159">
      <x:c r="A159" s="56" t="str">
        <x:v>P027</x:v>
      </x:c>
      <x:c r="B159" s="56" t="str">
        <x:v>HX-ADD-015</x:v>
      </x:c>
      <x:c r="C159" s="56" t="str">
        <x:v>尿pH动态监测</x:v>
      </x:c>
      <x:c r="D159" s="56" t="str">
        <x:v>原表模板/现有规则</x:v>
      </x:c>
      <x:c r="E159" s="59" t="str">
        <x:v>必须</x:v>
      </x:c>
      <x:c r="F159" s="56" t="str">
        <x:v>指导尿液碱化并避免过度碱化</x:v>
      </x:c>
      <x:c r="G159" s="56" t="str">
        <x:v>指导尿液碱化并避免过度碱化</x:v>
      </x:c>
      <x:c r="H159" s="56" t="str">
        <x:v>开始碱化治疗后</x:v>
      </x:c>
      <x:c r="I159" s="56" t="str">
        <x:v>是</x:v>
      </x:c>
      <x:c r="J159" s="56" t="str">
        <x:v>否</x:v>
      </x:c>
      <x:c r="K159" s="56" t="str">
        <x:v>否</x:v>
      </x:c>
      <x:c r="L159" s="56" t="str">
        <x:v>否</x:v>
      </x:c>
      <x:c r="M159" s="56" t="str">
        <x:v>否</x:v>
      </x:c>
      <x:c r="N159" s="56" t="str">
        <x:v>https://uroweb.org/guidelines/urolithiasis</x:v>
      </x:c>
      <x:c r="O159" s="56" t="str">
        <x:v>Chemolysis</x:v>
      </x:c>
      <x:c r="P159" s="59" t="str">
        <x:v>待专家确认</x:v>
      </x:c>
    </x:row>
    <x:row r="160">
      <x:c r="A160" s="56" t="str">
        <x:v>P028</x:v>
      </x:c>
      <x:c r="B160" s="56" t="str">
        <x:v>HX-ADD-016</x:v>
      </x:c>
      <x:c r="C160" s="56" t="str">
        <x:v>尿常规</x:v>
      </x:c>
      <x:c r="D160" s="56" t="str">
        <x:v>必须</x:v>
      </x:c>
      <x:c r="E160" s="59" t="str">
        <x:v>必须</x:v>
      </x:c>
      <x:c r="F160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60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H160" s="56" t="str">
        <x:v>按病例阶段与适应证</x:v>
      </x:c>
      <x:c r="I160" s="56" t="str">
        <x:v>是</x:v>
      </x:c>
      <x:c r="J160" s="56" t="str">
        <x:v>否</x:v>
      </x:c>
      <x:c r="K160" s="56" t="str">
        <x:v>待专家确认</x:v>
      </x:c>
      <x:c r="L160" s="56" t="str">
        <x:v>否</x:v>
      </x:c>
      <x:c r="M160" s="56" t="str">
        <x:v>否</x:v>
      </x:c>
      <x:c r="N160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60" s="56" t="str">
        <x:v>待专家核对</x:v>
      </x:c>
      <x:c r="P160" s="59" t="str">
        <x:v>待专家确认</x:v>
      </x:c>
    </x:row>
    <x:row r="161">
      <x:c r="A161" s="56" t="str">
        <x:v>P028</x:v>
      </x:c>
      <x:c r="B161" s="56" t="str">
        <x:v>HX-ADD-016</x:v>
      </x:c>
      <x:c r="C161" s="56" t="str">
        <x:v>肾功能/eGFR</x:v>
      </x:c>
      <x:c r="D161" s="56" t="str">
        <x:v>必须</x:v>
      </x:c>
      <x:c r="E161" s="59" t="str">
        <x:v>必须</x:v>
      </x:c>
      <x:c r="F161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61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H161" s="56" t="str">
        <x:v>按病例阶段与适应证</x:v>
      </x:c>
      <x:c r="I161" s="56" t="str">
        <x:v>是</x:v>
      </x:c>
      <x:c r="J161" s="56" t="str">
        <x:v>否</x:v>
      </x:c>
      <x:c r="K161" s="56" t="str">
        <x:v>待专家确认</x:v>
      </x:c>
      <x:c r="L161" s="56" t="str">
        <x:v>否</x:v>
      </x:c>
      <x:c r="M161" s="56" t="str">
        <x:v>否</x:v>
      </x:c>
      <x:c r="N161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61" s="56" t="str">
        <x:v>待专家核对</x:v>
      </x:c>
      <x:c r="P161" s="59" t="str">
        <x:v>待专家确认</x:v>
      </x:c>
    </x:row>
    <x:row r="162">
      <x:c r="A162" s="56" t="str">
        <x:v>P028</x:v>
      </x:c>
      <x:c r="B162" s="56" t="str">
        <x:v>HX-ADD-016</x:v>
      </x:c>
      <x:c r="C162" s="56" t="str">
        <x:v>泌尿系超声+残余尿</x:v>
      </x:c>
      <x:c r="D162" s="56" t="str">
        <x:v>待专家确认</x:v>
      </x:c>
      <x:c r="E162" s="59" t="str">
        <x:v>待专家确认</x:v>
      </x:c>
      <x:c r="F162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62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H162" s="56" t="str">
        <x:v>按病例阶段与适应证</x:v>
      </x:c>
      <x:c r="I162" s="56" t="str">
        <x:v>否</x:v>
      </x:c>
      <x:c r="J162" s="56" t="str">
        <x:v>否</x:v>
      </x:c>
      <x:c r="K162" s="56" t="str">
        <x:v>待专家确认</x:v>
      </x:c>
      <x:c r="L162" s="56" t="str">
        <x:v>否</x:v>
      </x:c>
      <x:c r="M162" s="56" t="str">
        <x:v>否</x:v>
      </x:c>
      <x:c r="N162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62" s="56" t="str">
        <x:v>待专家核对</x:v>
      </x:c>
      <x:c r="P162" s="59" t="str">
        <x:v>待专家确认</x:v>
      </x:c>
    </x:row>
    <x:row r="163">
      <x:c r="A163" s="56" t="str">
        <x:v>P028</x:v>
      </x:c>
      <x:c r="B163" s="56" t="str">
        <x:v>HX-ADD-016</x:v>
      </x:c>
      <x:c r="C163" s="56" t="str">
        <x:v>尿流率+残余尿</x:v>
      </x:c>
      <x:c r="D163" s="56" t="str">
        <x:v>待专家确认</x:v>
      </x:c>
      <x:c r="E163" s="59" t="str">
        <x:v>待专家确认</x:v>
      </x:c>
      <x:c r="F163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63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H163" s="56" t="str">
        <x:v>按病例阶段与适应证</x:v>
      </x:c>
      <x:c r="I163" s="56" t="str">
        <x:v>否</x:v>
      </x:c>
      <x:c r="J163" s="56" t="str">
        <x:v>否</x:v>
      </x:c>
      <x:c r="K163" s="56" t="str">
        <x:v>待专家确认</x:v>
      </x:c>
      <x:c r="L163" s="56" t="str">
        <x:v>否</x:v>
      </x:c>
      <x:c r="M163" s="56" t="str">
        <x:v>否</x:v>
      </x:c>
      <x:c r="N163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63" s="56" t="str">
        <x:v>待专家核对</x:v>
      </x:c>
      <x:c r="P163" s="59" t="str">
        <x:v>待专家确认</x:v>
      </x:c>
    </x:row>
    <x:row r="164">
      <x:c r="A164" s="56" t="str">
        <x:v>P028</x:v>
      </x:c>
      <x:c r="B164" s="56" t="str">
        <x:v>HX-ADD-016</x:v>
      </x:c>
      <x:c r="C164" s="56" t="str">
        <x:v>PSA</x:v>
      </x:c>
      <x:c r="D164" s="56" t="str">
        <x:v>待专家确认</x:v>
      </x:c>
      <x:c r="E164" s="59" t="str">
        <x:v>待专家确认</x:v>
      </x:c>
      <x:c r="F164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64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H164" s="56" t="str">
        <x:v>按病例阶段与适应证</x:v>
      </x:c>
      <x:c r="I164" s="56" t="str">
        <x:v>否</x:v>
      </x:c>
      <x:c r="J164" s="56" t="str">
        <x:v>否</x:v>
      </x:c>
      <x:c r="K164" s="56" t="str">
        <x:v>待专家确认</x:v>
      </x:c>
      <x:c r="L164" s="56" t="str">
        <x:v>否</x:v>
      </x:c>
      <x:c r="M164" s="56" t="str">
        <x:v>否</x:v>
      </x:c>
      <x:c r="N164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64" s="56" t="str">
        <x:v>待专家核对</x:v>
      </x:c>
      <x:c r="P164" s="59" t="str">
        <x:v>待专家确认</x:v>
      </x:c>
    </x:row>
    <x:row r="165">
      <x:c r="A165" s="56" t="str">
        <x:v>P029</x:v>
      </x:c>
      <x:c r="B165" s="56" t="str">
        <x:v>HX-ADD-017</x:v>
      </x:c>
      <x:c r="C165" s="56" t="str">
        <x:v>尿常规</x:v>
      </x:c>
      <x:c r="D165" s="56" t="str">
        <x:v>必须</x:v>
      </x:c>
      <x:c r="E165" s="59" t="str">
        <x:v>必须</x:v>
      </x:c>
      <x:c r="F165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65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H165" s="56" t="str">
        <x:v>按病例阶段与适应证</x:v>
      </x:c>
      <x:c r="I165" s="56" t="str">
        <x:v>是</x:v>
      </x:c>
      <x:c r="J165" s="56" t="str">
        <x:v>否</x:v>
      </x:c>
      <x:c r="K165" s="56" t="str">
        <x:v>待专家确认</x:v>
      </x:c>
      <x:c r="L165" s="56" t="str">
        <x:v>否</x:v>
      </x:c>
      <x:c r="M165" s="56" t="str">
        <x:v>否</x:v>
      </x:c>
      <x:c r="N165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65" s="56" t="str">
        <x:v>待专家核对</x:v>
      </x:c>
      <x:c r="P165" s="59" t="str">
        <x:v>待专家确认</x:v>
      </x:c>
    </x:row>
    <x:row r="166">
      <x:c r="A166" s="56" t="str">
        <x:v>P029</x:v>
      </x:c>
      <x:c r="B166" s="56" t="str">
        <x:v>HX-ADD-017</x:v>
      </x:c>
      <x:c r="C166" s="56" t="str">
        <x:v>肾功能/eGFR</x:v>
      </x:c>
      <x:c r="D166" s="56" t="str">
        <x:v>必须</x:v>
      </x:c>
      <x:c r="E166" s="59" t="str">
        <x:v>必须</x:v>
      </x:c>
      <x:c r="F166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66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H166" s="56" t="str">
        <x:v>按病例阶段与适应证</x:v>
      </x:c>
      <x:c r="I166" s="56" t="str">
        <x:v>是</x:v>
      </x:c>
      <x:c r="J166" s="56" t="str">
        <x:v>否</x:v>
      </x:c>
      <x:c r="K166" s="56" t="str">
        <x:v>待专家确认</x:v>
      </x:c>
      <x:c r="L166" s="56" t="str">
        <x:v>否</x:v>
      </x:c>
      <x:c r="M166" s="56" t="str">
        <x:v>否</x:v>
      </x:c>
      <x:c r="N166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66" s="56" t="str">
        <x:v>待专家核对</x:v>
      </x:c>
      <x:c r="P166" s="59" t="str">
        <x:v>待专家确认</x:v>
      </x:c>
    </x:row>
    <x:row r="167">
      <x:c r="A167" s="56" t="str">
        <x:v>P029</x:v>
      </x:c>
      <x:c r="B167" s="56" t="str">
        <x:v>HX-ADD-017</x:v>
      </x:c>
      <x:c r="C167" s="56" t="str">
        <x:v>泌尿系超声+残余尿</x:v>
      </x:c>
      <x:c r="D167" s="56" t="str">
        <x:v>待专家确认</x:v>
      </x:c>
      <x:c r="E167" s="59" t="str">
        <x:v>待专家确认</x:v>
      </x:c>
      <x:c r="F167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67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H167" s="56" t="str">
        <x:v>按病例阶段与适应证</x:v>
      </x:c>
      <x:c r="I167" s="56" t="str">
        <x:v>否</x:v>
      </x:c>
      <x:c r="J167" s="56" t="str">
        <x:v>否</x:v>
      </x:c>
      <x:c r="K167" s="56" t="str">
        <x:v>待专家确认</x:v>
      </x:c>
      <x:c r="L167" s="56" t="str">
        <x:v>否</x:v>
      </x:c>
      <x:c r="M167" s="56" t="str">
        <x:v>否</x:v>
      </x:c>
      <x:c r="N167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67" s="56" t="str">
        <x:v>待专家核对</x:v>
      </x:c>
      <x:c r="P167" s="59" t="str">
        <x:v>待专家确认</x:v>
      </x:c>
    </x:row>
    <x:row r="168">
      <x:c r="A168" s="56" t="str">
        <x:v>P029</x:v>
      </x:c>
      <x:c r="B168" s="56" t="str">
        <x:v>HX-ADD-017</x:v>
      </x:c>
      <x:c r="C168" s="56" t="str">
        <x:v>尿流率+残余尿</x:v>
      </x:c>
      <x:c r="D168" s="56" t="str">
        <x:v>待专家确认</x:v>
      </x:c>
      <x:c r="E168" s="59" t="str">
        <x:v>待专家确认</x:v>
      </x:c>
      <x:c r="F168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68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H168" s="56" t="str">
        <x:v>按病例阶段与适应证</x:v>
      </x:c>
      <x:c r="I168" s="56" t="str">
        <x:v>否</x:v>
      </x:c>
      <x:c r="J168" s="56" t="str">
        <x:v>否</x:v>
      </x:c>
      <x:c r="K168" s="56" t="str">
        <x:v>待专家确认</x:v>
      </x:c>
      <x:c r="L168" s="56" t="str">
        <x:v>否</x:v>
      </x:c>
      <x:c r="M168" s="56" t="str">
        <x:v>否</x:v>
      </x:c>
      <x:c r="N168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68" s="56" t="str">
        <x:v>待专家核对</x:v>
      </x:c>
      <x:c r="P168" s="59" t="str">
        <x:v>待专家确认</x:v>
      </x:c>
    </x:row>
    <x:row r="169">
      <x:c r="A169" s="56" t="str">
        <x:v>P029</x:v>
      </x:c>
      <x:c r="B169" s="56" t="str">
        <x:v>HX-ADD-017</x:v>
      </x:c>
      <x:c r="C169" s="56" t="str">
        <x:v>PSA</x:v>
      </x:c>
      <x:c r="D169" s="56" t="str">
        <x:v>待专家确认</x:v>
      </x:c>
      <x:c r="E169" s="59" t="str">
        <x:v>待专家确认</x:v>
      </x:c>
      <x:c r="F169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69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H169" s="56" t="str">
        <x:v>按病例阶段与适应证</x:v>
      </x:c>
      <x:c r="I169" s="56" t="str">
        <x:v>否</x:v>
      </x:c>
      <x:c r="J169" s="56" t="str">
        <x:v>否</x:v>
      </x:c>
      <x:c r="K169" s="56" t="str">
        <x:v>待专家确认</x:v>
      </x:c>
      <x:c r="L169" s="56" t="str">
        <x:v>否</x:v>
      </x:c>
      <x:c r="M169" s="56" t="str">
        <x:v>否</x:v>
      </x:c>
      <x:c r="N169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69" s="56" t="str">
        <x:v>待专家核对</x:v>
      </x:c>
      <x:c r="P169" s="59" t="str">
        <x:v>待专家确认</x:v>
      </x:c>
    </x:row>
    <x:row r="170">
      <x:c r="A170" s="56" t="str">
        <x:v>P030</x:v>
      </x:c>
      <x:c r="B170" s="56" t="str">
        <x:v>HX-ADD-018</x:v>
      </x:c>
      <x:c r="C170" s="56" t="str">
        <x:v>尿常规</x:v>
      </x:c>
      <x:c r="D170" s="56" t="str">
        <x:v>必须</x:v>
      </x:c>
      <x:c r="E170" s="59" t="str">
        <x:v>必须</x:v>
      </x:c>
      <x:c r="F170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70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H170" s="56" t="str">
        <x:v>按病例阶段与适应证</x:v>
      </x:c>
      <x:c r="I170" s="56" t="str">
        <x:v>是</x:v>
      </x:c>
      <x:c r="J170" s="56" t="str">
        <x:v>否</x:v>
      </x:c>
      <x:c r="K170" s="56" t="str">
        <x:v>待专家确认</x:v>
      </x:c>
      <x:c r="L170" s="56" t="str">
        <x:v>否</x:v>
      </x:c>
      <x:c r="M170" s="56" t="str">
        <x:v>否</x:v>
      </x:c>
      <x:c r="N170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70" s="56" t="str">
        <x:v>待专家核对</x:v>
      </x:c>
      <x:c r="P170" s="59" t="str">
        <x:v>待专家确认</x:v>
      </x:c>
    </x:row>
    <x:row r="171">
      <x:c r="A171" s="56" t="str">
        <x:v>P030</x:v>
      </x:c>
      <x:c r="B171" s="56" t="str">
        <x:v>HX-ADD-018</x:v>
      </x:c>
      <x:c r="C171" s="56" t="str">
        <x:v>肾功能/eGFR</x:v>
      </x:c>
      <x:c r="D171" s="56" t="str">
        <x:v>必须</x:v>
      </x:c>
      <x:c r="E171" s="59" t="str">
        <x:v>必须</x:v>
      </x:c>
      <x:c r="F171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71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H171" s="56" t="str">
        <x:v>按病例阶段与适应证</x:v>
      </x:c>
      <x:c r="I171" s="56" t="str">
        <x:v>是</x:v>
      </x:c>
      <x:c r="J171" s="56" t="str">
        <x:v>否</x:v>
      </x:c>
      <x:c r="K171" s="56" t="str">
        <x:v>待专家确认</x:v>
      </x:c>
      <x:c r="L171" s="56" t="str">
        <x:v>否</x:v>
      </x:c>
      <x:c r="M171" s="56" t="str">
        <x:v>否</x:v>
      </x:c>
      <x:c r="N171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71" s="56" t="str">
        <x:v>待专家核对</x:v>
      </x:c>
      <x:c r="P171" s="59" t="str">
        <x:v>待专家确认</x:v>
      </x:c>
    </x:row>
    <x:row r="172">
      <x:c r="A172" s="56" t="str">
        <x:v>P030</x:v>
      </x:c>
      <x:c r="B172" s="56" t="str">
        <x:v>HX-ADD-018</x:v>
      </x:c>
      <x:c r="C172" s="56" t="str">
        <x:v>泌尿系超声+残余尿</x:v>
      </x:c>
      <x:c r="D172" s="56" t="str">
        <x:v>待专家确认</x:v>
      </x:c>
      <x:c r="E172" s="59" t="str">
        <x:v>待专家确认</x:v>
      </x:c>
      <x:c r="F172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72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H172" s="56" t="str">
        <x:v>按病例阶段与适应证</x:v>
      </x:c>
      <x:c r="I172" s="56" t="str">
        <x:v>否</x:v>
      </x:c>
      <x:c r="J172" s="56" t="str">
        <x:v>否</x:v>
      </x:c>
      <x:c r="K172" s="56" t="str">
        <x:v>待专家确认</x:v>
      </x:c>
      <x:c r="L172" s="56" t="str">
        <x:v>否</x:v>
      </x:c>
      <x:c r="M172" s="56" t="str">
        <x:v>否</x:v>
      </x:c>
      <x:c r="N172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72" s="56" t="str">
        <x:v>待专家核对</x:v>
      </x:c>
      <x:c r="P172" s="59" t="str">
        <x:v>待专家确认</x:v>
      </x:c>
    </x:row>
    <x:row r="173">
      <x:c r="A173" s="56" t="str">
        <x:v>P030</x:v>
      </x:c>
      <x:c r="B173" s="56" t="str">
        <x:v>HX-ADD-018</x:v>
      </x:c>
      <x:c r="C173" s="56" t="str">
        <x:v>尿流率+残余尿</x:v>
      </x:c>
      <x:c r="D173" s="56" t="str">
        <x:v>待专家确认</x:v>
      </x:c>
      <x:c r="E173" s="59" t="str">
        <x:v>待专家确认</x:v>
      </x:c>
      <x:c r="F173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73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H173" s="56" t="str">
        <x:v>按病例阶段与适应证</x:v>
      </x:c>
      <x:c r="I173" s="56" t="str">
        <x:v>否</x:v>
      </x:c>
      <x:c r="J173" s="56" t="str">
        <x:v>否</x:v>
      </x:c>
      <x:c r="K173" s="56" t="str">
        <x:v>待专家确认</x:v>
      </x:c>
      <x:c r="L173" s="56" t="str">
        <x:v>否</x:v>
      </x:c>
      <x:c r="M173" s="56" t="str">
        <x:v>否</x:v>
      </x:c>
      <x:c r="N173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73" s="56" t="str">
        <x:v>待专家核对</x:v>
      </x:c>
      <x:c r="P173" s="59" t="str">
        <x:v>待专家确认</x:v>
      </x:c>
    </x:row>
    <x:row r="174">
      <x:c r="A174" s="56" t="str">
        <x:v>P030</x:v>
      </x:c>
      <x:c r="B174" s="56" t="str">
        <x:v>HX-ADD-018</x:v>
      </x:c>
      <x:c r="C174" s="56" t="str">
        <x:v>PSA</x:v>
      </x:c>
      <x:c r="D174" s="56" t="str">
        <x:v>待专家确认</x:v>
      </x:c>
      <x:c r="E174" s="59" t="str">
        <x:v>待专家确认</x:v>
      </x:c>
      <x:c r="F174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74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H174" s="56" t="str">
        <x:v>按病例阶段与适应证</x:v>
      </x:c>
      <x:c r="I174" s="56" t="str">
        <x:v>否</x:v>
      </x:c>
      <x:c r="J174" s="56" t="str">
        <x:v>否</x:v>
      </x:c>
      <x:c r="K174" s="56" t="str">
        <x:v>待专家确认</x:v>
      </x:c>
      <x:c r="L174" s="56" t="str">
        <x:v>否</x:v>
      </x:c>
      <x:c r="M174" s="56" t="str">
        <x:v>否</x:v>
      </x:c>
      <x:c r="N174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74" s="56" t="str">
        <x:v>待专家核对</x:v>
      </x:c>
      <x:c r="P174" s="59" t="str">
        <x:v>待专家确认</x:v>
      </x:c>
    </x:row>
    <x:row r="175">
      <x:c r="A175" s="56" t="str">
        <x:v>P031</x:v>
      </x:c>
      <x:c r="B175" s="56" t="str">
        <x:v>HX-ADD-019</x:v>
      </x:c>
      <x:c r="C175" s="56" t="str">
        <x:v>血压、尿蛋白ACR/PCR、肾功能/eGFR、尿沉渣</x:v>
      </x:c>
      <x:c r="D175" s="56" t="str">
        <x:v>原表模板/现有规则</x:v>
      </x:c>
      <x:c r="E175" s="59" t="str">
        <x:v>必须</x:v>
      </x:c>
      <x:c r="F175" s="56" t="str">
        <x:v>IgA肾病基础风险评估</x:v>
      </x:c>
      <x:c r="G175" s="56" t="str">
        <x:v>IgA肾病基础风险评估</x:v>
      </x:c>
      <x:c r="H175" s="56" t="str">
        <x:v>无</x:v>
      </x:c>
      <x:c r="I175" s="56" t="str">
        <x:v>是</x:v>
      </x:c>
      <x:c r="J175" s="56" t="str">
        <x:v>否</x:v>
      </x:c>
      <x:c r="K175" s="56" t="str">
        <x:v>否</x:v>
      </x:c>
      <x:c r="L175" s="56" t="str">
        <x:v>否</x:v>
      </x:c>
      <x:c r="M175" s="56" t="str">
        <x:v>否</x:v>
      </x:c>
      <x:c r="N175" s="56" t="str">
        <x:v>https://kdigo.org/guidelines/iga-nephropathy/</x:v>
      </x:c>
      <x:c r="O175" s="56" t="str">
        <x:v>Diagnosis and risk assessment</x:v>
      </x:c>
      <x:c r="P175" s="59" t="str">
        <x:v>待专家确认</x:v>
      </x:c>
    </x:row>
    <x:row r="176">
      <x:c r="A176" s="56" t="str">
        <x:v>P031</x:v>
      </x:c>
      <x:c r="B176" s="56" t="str">
        <x:v>HX-ADD-019</x:v>
      </x:c>
      <x:c r="C176" s="56" t="str">
        <x:v>血清IgA/补体及继发病因筛查</x:v>
      </x:c>
      <x:c r="D176" s="56" t="str">
        <x:v>原表模板/现有规则</x:v>
      </x:c>
      <x:c r="E176" s="59" t="str">
        <x:v>条件性</x:v>
      </x:c>
      <x:c r="F176" s="56" t="str">
        <x:v>结合临床鉴别</x:v>
      </x:c>
      <x:c r="G176" s="56" t="str">
        <x:v>结合临床鉴别</x:v>
      </x:c>
      <x:c r="H176" s="56" t="str">
        <x:v>按临床线索</x:v>
      </x:c>
      <x:c r="I176" s="56" t="str">
        <x:v>否</x:v>
      </x:c>
      <x:c r="J176" s="56" t="str">
        <x:v>是</x:v>
      </x:c>
      <x:c r="K176" s="56" t="str">
        <x:v>否</x:v>
      </x:c>
      <x:c r="L176" s="56" t="str">
        <x:v>否</x:v>
      </x:c>
      <x:c r="M176" s="56" t="str">
        <x:v>否</x:v>
      </x:c>
      <x:c r="N176" s="56" t="str">
        <x:v>https://kdigo.org/guidelines/iga-nephropathy/</x:v>
      </x:c>
      <x:c r="O176" s="56" t="str">
        <x:v>Diagnosis</x:v>
      </x:c>
      <x:c r="P176" s="59" t="str">
        <x:v>待专家确认</x:v>
      </x:c>
    </x:row>
    <x:row r="177">
      <x:c r="A177" s="56" t="str">
        <x:v>P031</x:v>
      </x:c>
      <x:c r="B177" s="56" t="str">
        <x:v>HX-ADD-019</x:v>
      </x:c>
      <x:c r="C177" s="56" t="str">
        <x:v>肾活检</x:v>
      </x:c>
      <x:c r="D177" s="56" t="str">
        <x:v>原表模板/现有规则</x:v>
      </x:c>
      <x:c r="E177" s="59" t="str">
        <x:v>条件性</x:v>
      </x:c>
      <x:c r="F177" s="56" t="str">
        <x:v>诊断不确定、蛋白尿或肾功能异常且结果会改变管理</x:v>
      </x:c>
      <x:c r="G177" s="56" t="str">
        <x:v>诊断不确定、蛋白尿或肾功能异常且结果会改变管理</x:v>
      </x:c>
      <x:c r="H177" s="56" t="str">
        <x:v>排除禁忌</x:v>
      </x:c>
      <x:c r="I177" s="56" t="str">
        <x:v>否</x:v>
      </x:c>
      <x:c r="J177" s="56" t="str">
        <x:v>是</x:v>
      </x:c>
      <x:c r="K177" s="56" t="str">
        <x:v>否</x:v>
      </x:c>
      <x:c r="L177" s="56" t="str">
        <x:v>否</x:v>
      </x:c>
      <x:c r="M177" s="56" t="str">
        <x:v>否</x:v>
      </x:c>
      <x:c r="N177" s="56" t="str">
        <x:v>https://kdigo.org/guidelines/iga-nephropathy/</x:v>
      </x:c>
      <x:c r="O177" s="56" t="str">
        <x:v>Kidney biopsy</x:v>
      </x:c>
      <x:c r="P177" s="59" t="str">
        <x:v>待专家确认</x:v>
      </x:c>
    </x:row>
    <x:row r="178">
      <x:c r="A178" s="56" t="str">
        <x:v>P032</x:v>
      </x:c>
      <x:c r="B178" s="56" t="str">
        <x:v>HX-ADD-020</x:v>
      </x:c>
      <x:c r="C178" s="56" t="str">
        <x:v>血压、尿蛋白定量、肾功能/eGFR、尿沉渣</x:v>
      </x:c>
      <x:c r="D178" s="56" t="str">
        <x:v>原表模板/现有规则</x:v>
      </x:c>
      <x:c r="E178" s="59" t="str">
        <x:v>必须</x:v>
      </x:c>
      <x:c r="F178" s="56" t="str">
        <x:v>评估肾炎和AKI严重度</x:v>
      </x:c>
      <x:c r="G178" s="56" t="str">
        <x:v>评估肾炎和AKI严重度</x:v>
      </x:c>
      <x:c r="H178" s="56" t="str">
        <x:v>无</x:v>
      </x:c>
      <x:c r="I178" s="56" t="str">
        <x:v>是</x:v>
      </x:c>
      <x:c r="J178" s="56" t="str">
        <x:v>否</x:v>
      </x:c>
      <x:c r="K178" s="56" t="str">
        <x:v>否</x:v>
      </x:c>
      <x:c r="L178" s="56" t="str">
        <x:v>否</x:v>
      </x:c>
      <x:c r="M178" s="56" t="str">
        <x:v>否</x:v>
      </x:c>
      <x:c r="N178" s="56" t="str">
        <x:v>https://kdigo.org/guidelines/iga-nephropathy/</x:v>
      </x:c>
      <x:c r="O178" s="56" t="str">
        <x:v>Glomerular disease assessment</x:v>
      </x:c>
      <x:c r="P178" s="59" t="str">
        <x:v>待专家确认</x:v>
      </x:c>
    </x:row>
    <x:row r="179">
      <x:c r="A179" s="56" t="str">
        <x:v>P032</x:v>
      </x:c>
      <x:c r="B179" s="56" t="str">
        <x:v>HX-ADD-020</x:v>
      </x:c>
      <x:c r="C179" s="56" t="str">
        <x:v>C3/C4及感染证据</x:v>
      </x:c>
      <x:c r="D179" s="56" t="str">
        <x:v>原表模板/现有规则</x:v>
      </x:c>
      <x:c r="E179" s="59" t="str">
        <x:v>必须</x:v>
      </x:c>
      <x:c r="F179" s="56" t="str">
        <x:v>支持感染后肾小球肾炎时间线</x:v>
      </x:c>
      <x:c r="G179" s="56" t="str">
        <x:v>支持感染后肾小球肾炎时间线</x:v>
      </x:c>
      <x:c r="H179" s="56" t="str">
        <x:v>无</x:v>
      </x:c>
      <x:c r="I179" s="56" t="str">
        <x:v>是</x:v>
      </x:c>
      <x:c r="J179" s="56" t="str">
        <x:v>否</x:v>
      </x:c>
      <x:c r="K179" s="56" t="str">
        <x:v>否</x:v>
      </x:c>
      <x:c r="L179" s="56" t="str">
        <x:v>否</x:v>
      </x:c>
      <x:c r="M179" s="56" t="str">
        <x:v>否</x:v>
      </x:c>
      <x:c r="N179" s="56" t="str">
        <x:v>https://kdigo.org/guidelines/iga-nephropathy/</x:v>
      </x:c>
      <x:c r="O179" s="56" t="str">
        <x:v>Differential diagnosis</x:v>
      </x:c>
      <x:c r="P179" s="59" t="str">
        <x:v>待专家确认</x:v>
      </x:c>
    </x:row>
    <x:row r="180">
      <x:c r="A180" s="56" t="str">
        <x:v>P032</x:v>
      </x:c>
      <x:c r="B180" s="56" t="str">
        <x:v>HX-ADD-020</x:v>
      </x:c>
      <x:c r="C180" s="56" t="str">
        <x:v>肾活检</x:v>
      </x:c>
      <x:c r="D180" s="56" t="str">
        <x:v>原表模板/现有规则</x:v>
      </x:c>
      <x:c r="E180" s="59" t="str">
        <x:v>条件性</x:v>
      </x:c>
      <x:c r="F180" s="56" t="str">
        <x:v>非典型、补体持续低或肾功能快速恶化</x:v>
      </x:c>
      <x:c r="G180" s="56" t="str">
        <x:v>非典型、补体持续低或肾功能快速恶化</x:v>
      </x:c>
      <x:c r="H180" s="56" t="str">
        <x:v>排除禁忌</x:v>
      </x:c>
      <x:c r="I180" s="56" t="str">
        <x:v>否</x:v>
      </x:c>
      <x:c r="J180" s="56" t="str">
        <x:v>是</x:v>
      </x:c>
      <x:c r="K180" s="56" t="str">
        <x:v>否</x:v>
      </x:c>
      <x:c r="L180" s="56" t="str">
        <x:v>否</x:v>
      </x:c>
      <x:c r="M180" s="56" t="str">
        <x:v>否</x:v>
      </x:c>
      <x:c r="N180" s="56" t="str">
        <x:v>https://kdigo.org/guidelines/iga-nephropathy/</x:v>
      </x:c>
      <x:c r="O180" s="56" t="str">
        <x:v>Kidney biopsy</x:v>
      </x:c>
      <x:c r="P180" s="59" t="str">
        <x:v>待专家确认</x:v>
      </x:c>
    </x:row>
    <x:row r="181">
      <x:c r="A181" s="56" t="str">
        <x:v>P033</x:v>
      </x:c>
      <x:c r="B181" s="56" t="str">
        <x:v>HX-ADD-021</x:v>
      </x:c>
      <x:c r="C181" s="56" t="str">
        <x:v>血压、尿蛋白ACR/PCR、肾功能/eGFR、尿沉渣</x:v>
      </x:c>
      <x:c r="D181" s="56" t="str">
        <x:v>原表模板/现有规则</x:v>
      </x:c>
      <x:c r="E181" s="59" t="str">
        <x:v>必须</x:v>
      </x:c>
      <x:c r="F181" s="56" t="str">
        <x:v>评估COL4相关疾病风险</x:v>
      </x:c>
      <x:c r="G181" s="56" t="str">
        <x:v>评估COL4相关疾病风险</x:v>
      </x:c>
      <x:c r="H181" s="56" t="str">
        <x:v>无</x:v>
      </x:c>
      <x:c r="I181" s="56" t="str">
        <x:v>是</x:v>
      </x:c>
      <x:c r="J181" s="56" t="str">
        <x:v>否</x:v>
      </x:c>
      <x:c r="K181" s="56" t="str">
        <x:v>否</x:v>
      </x:c>
      <x:c r="L181" s="56" t="str">
        <x:v>否</x:v>
      </x:c>
      <x:c r="M181" s="56" t="str">
        <x:v>否</x:v>
      </x:c>
      <x:c r="N181" s="56" t="str">
        <x:v>https://kdigo.org/guidelines/iga-nephropathy/</x:v>
      </x:c>
      <x:c r="O181" s="56" t="str">
        <x:v>Glomerular disease assessment</x:v>
      </x:c>
      <x:c r="P181" s="59" t="str">
        <x:v>待专家确认</x:v>
      </x:c>
    </x:row>
    <x:row r="182">
      <x:c r="A182" s="56" t="str">
        <x:v>P033</x:v>
      </x:c>
      <x:c r="B182" s="56" t="str">
        <x:v>HX-ADD-021</x:v>
      </x:c>
      <x:c r="C182" s="56" t="str">
        <x:v>COL4A3/A4/A5遗传检测</x:v>
      </x:c>
      <x:c r="D182" s="56" t="str">
        <x:v>原表模板/现有规则</x:v>
      </x:c>
      <x:c r="E182" s="59" t="str">
        <x:v>条件性</x:v>
      </x:c>
      <x:c r="F182" s="56" t="str">
        <x:v>持续家族性血尿或表型提示时</x:v>
      </x:c>
      <x:c r="G182" s="56" t="str">
        <x:v>持续家族性血尿或表型提示时</x:v>
      </x:c>
      <x:c r="H182" s="56" t="str">
        <x:v>遗传咨询</x:v>
      </x:c>
      <x:c r="I182" s="56" t="str">
        <x:v>否</x:v>
      </x:c>
      <x:c r="J182" s="56" t="str">
        <x:v>是</x:v>
      </x:c>
      <x:c r="K182" s="56" t="str">
        <x:v>否</x:v>
      </x:c>
      <x:c r="L182" s="56" t="str">
        <x:v>否</x:v>
      </x:c>
      <x:c r="M182" s="56" t="str">
        <x:v>否</x:v>
      </x:c>
      <x:c r="N182" s="56" t="str">
        <x:v>https://kdigo.org/guidelines/iga-nephropathy/</x:v>
      </x:c>
      <x:c r="O182" s="56" t="str">
        <x:v>Genetic evaluation</x:v>
      </x:c>
      <x:c r="P182" s="59" t="str">
        <x:v>待专家确认</x:v>
      </x:c>
    </x:row>
    <x:row r="183">
      <x:c r="A183" s="56" t="str">
        <x:v>P033</x:v>
      </x:c>
      <x:c r="B183" s="56" t="str">
        <x:v>HX-ADD-021</x:v>
      </x:c>
      <x:c r="C183" s="56" t="str">
        <x:v>肾活检</x:v>
      </x:c>
      <x:c r="D183" s="56" t="str">
        <x:v>原表模板/现有规则</x:v>
      </x:c>
      <x:c r="E183" s="59" t="str">
        <x:v>条件性</x:v>
      </x:c>
      <x:c r="F183" s="56" t="str">
        <x:v>遗传检测不明确且结果改变管理时</x:v>
      </x:c>
      <x:c r="G183" s="56" t="str">
        <x:v>遗传检测不明确且结果改变管理时</x:v>
      </x:c>
      <x:c r="H183" s="56" t="str">
        <x:v>排除禁忌</x:v>
      </x:c>
      <x:c r="I183" s="56" t="str">
        <x:v>否</x:v>
      </x:c>
      <x:c r="J183" s="56" t="str">
        <x:v>是</x:v>
      </x:c>
      <x:c r="K183" s="56" t="str">
        <x:v>否</x:v>
      </x:c>
      <x:c r="L183" s="56" t="str">
        <x:v>否</x:v>
      </x:c>
      <x:c r="M183" s="56" t="str">
        <x:v>否</x:v>
      </x:c>
      <x:c r="N183" s="56" t="str">
        <x:v>https://kdigo.org/guidelines/iga-nephropathy/</x:v>
      </x:c>
      <x:c r="O183" s="56" t="str">
        <x:v>Kidney biopsy</x:v>
      </x:c>
      <x:c r="P183" s="59" t="str">
        <x:v>待专家确认</x:v>
      </x:c>
    </x:row>
    <x:row r="184">
      <x:c r="A184" s="56" t="str">
        <x:v>P034</x:v>
      </x:c>
      <x:c r="B184" s="56" t="str">
        <x:v>HX-ADD-022</x:v>
      </x:c>
      <x:c r="C184" s="56" t="str">
        <x:v>血压、尿蛋白定量、肾功能/eGFR、尿沉渣</x:v>
      </x:c>
      <x:c r="D184" s="56" t="str">
        <x:v>原表模板/现有规则</x:v>
      </x:c>
      <x:c r="E184" s="59" t="str">
        <x:v>必须</x:v>
      </x:c>
      <x:c r="F184" s="56" t="str">
        <x:v>评估Alport肾脏受累</x:v>
      </x:c>
      <x:c r="G184" s="56" t="str">
        <x:v>评估Alport肾脏受累</x:v>
      </x:c>
      <x:c r="H184" s="56" t="str">
        <x:v>无</x:v>
      </x:c>
      <x:c r="I184" s="56" t="str">
        <x:v>是</x:v>
      </x:c>
      <x:c r="J184" s="56" t="str">
        <x:v>否</x:v>
      </x:c>
      <x:c r="K184" s="56" t="str">
        <x:v>否</x:v>
      </x:c>
      <x:c r="L184" s="56" t="str">
        <x:v>否</x:v>
      </x:c>
      <x:c r="M184" s="56" t="str">
        <x:v>否</x:v>
      </x:c>
      <x:c r="N184" s="56" t="str">
        <x:v>https://kdigo.org/guidelines/iga-nephropathy/</x:v>
      </x:c>
      <x:c r="O184" s="56" t="str">
        <x:v>Glomerular disease assessment</x:v>
      </x:c>
      <x:c r="P184" s="59" t="str">
        <x:v>待专家确认</x:v>
      </x:c>
    </x:row>
    <x:row r="185">
      <x:c r="A185" s="56" t="str">
        <x:v>P034</x:v>
      </x:c>
      <x:c r="B185" s="56" t="str">
        <x:v>HX-ADD-022</x:v>
      </x:c>
      <x:c r="C185" s="56" t="str">
        <x:v>COL4A3/A4/A5遗传检测与遗传咨询</x:v>
      </x:c>
      <x:c r="D185" s="56" t="str">
        <x:v>原表模板/现有规则</x:v>
      </x:c>
      <x:c r="E185" s="59" t="str">
        <x:v>必须</x:v>
      </x:c>
      <x:c r="F185" s="56" t="str">
        <x:v>确认遗传病因并开展家系评估</x:v>
      </x:c>
      <x:c r="G185" s="56" t="str">
        <x:v>确认遗传病因并开展家系评估</x:v>
      </x:c>
      <x:c r="H185" s="56" t="str">
        <x:v>知情同意</x:v>
      </x:c>
      <x:c r="I185" s="56" t="str">
        <x:v>是</x:v>
      </x:c>
      <x:c r="J185" s="56" t="str">
        <x:v>否</x:v>
      </x:c>
      <x:c r="K185" s="56" t="str">
        <x:v>否</x:v>
      </x:c>
      <x:c r="L185" s="56" t="str">
        <x:v>否</x:v>
      </x:c>
      <x:c r="M185" s="56" t="str">
        <x:v>否</x:v>
      </x:c>
      <x:c r="N185" s="56" t="str">
        <x:v>https://kdigo.org/guidelines/iga-nephropathy/</x:v>
      </x:c>
      <x:c r="O185" s="56" t="str">
        <x:v>Genetic evaluation</x:v>
      </x:c>
      <x:c r="P185" s="59" t="str">
        <x:v>待专家确认</x:v>
      </x:c>
    </x:row>
    <x:row r="186">
      <x:c r="A186" s="56" t="str">
        <x:v>P034</x:v>
      </x:c>
      <x:c r="B186" s="56" t="str">
        <x:v>HX-ADD-022</x:v>
      </x:c>
      <x:c r="C186" s="56" t="str">
        <x:v>听力学与眼科评估</x:v>
      </x:c>
      <x:c r="D186" s="56" t="str">
        <x:v>原表模板/现有规则</x:v>
      </x:c>
      <x:c r="E186" s="59" t="str">
        <x:v>必须</x:v>
      </x:c>
      <x:c r="F186" s="56" t="str">
        <x:v>评估Alport肾外表现</x:v>
      </x:c>
      <x:c r="G186" s="56" t="str">
        <x:v>评估Alport肾外表现</x:v>
      </x:c>
      <x:c r="H186" s="56" t="str">
        <x:v>无</x:v>
      </x:c>
      <x:c r="I186" s="56" t="str">
        <x:v>是</x:v>
      </x:c>
      <x:c r="J186" s="56" t="str">
        <x:v>否</x:v>
      </x:c>
      <x:c r="K186" s="56" t="str">
        <x:v>否</x:v>
      </x:c>
      <x:c r="L186" s="56" t="str">
        <x:v>否</x:v>
      </x:c>
      <x:c r="M186" s="56" t="str">
        <x:v>否</x:v>
      </x:c>
      <x:c r="N186" s="56" t="str">
        <x:v>https://kdigo.org/guidelines/iga-nephropathy/</x:v>
      </x:c>
      <x:c r="O186" s="56" t="str">
        <x:v>Extra-renal evaluation</x:v>
      </x:c>
      <x:c r="P186" s="59" t="str">
        <x:v>待专家确认</x:v>
      </x:c>
    </x:row>
    <x:row r="187">
      <x:c r="A187" s="56" t="str">
        <x:v>P034</x:v>
      </x:c>
      <x:c r="B187" s="56" t="str">
        <x:v>HX-ADD-022</x:v>
      </x:c>
      <x:c r="C187" s="56" t="str">
        <x:v>肾活检</x:v>
      </x:c>
      <x:c r="D187" s="56" t="str">
        <x:v>原表模板/现有规则</x:v>
      </x:c>
      <x:c r="E187" s="59" t="str">
        <x:v>条件性</x:v>
      </x:c>
      <x:c r="F187" s="56" t="str">
        <x:v>遗传检测不能明确且结果会改变诊断时</x:v>
      </x:c>
      <x:c r="G187" s="56" t="str">
        <x:v>遗传检测不能明确且结果会改变诊断时</x:v>
      </x:c>
      <x:c r="H187" s="56" t="str">
        <x:v>排除禁忌</x:v>
      </x:c>
      <x:c r="I187" s="56" t="str">
        <x:v>否</x:v>
      </x:c>
      <x:c r="J187" s="56" t="str">
        <x:v>是</x:v>
      </x:c>
      <x:c r="K187" s="56" t="str">
        <x:v>否</x:v>
      </x:c>
      <x:c r="L187" s="56" t="str">
        <x:v>否</x:v>
      </x:c>
      <x:c r="M187" s="56" t="str">
        <x:v>否</x:v>
      </x:c>
      <x:c r="N187" s="56" t="str">
        <x:v>https://kdigo.org/guidelines/iga-nephropathy/</x:v>
      </x:c>
      <x:c r="O187" s="56" t="str">
        <x:v>Kidney biopsy</x:v>
      </x:c>
      <x:c r="P187" s="59" t="str">
        <x:v>待专家确认</x:v>
      </x:c>
    </x:row>
    <x:row r="188">
      <x:c r="A188" s="56" t="str">
        <x:v>P035</x:v>
      </x:c>
      <x:c r="B188" s="56" t="str">
        <x:v>HX-ADD-023</x:v>
      </x:c>
      <x:c r="C188" s="56" t="str">
        <x:v>血压、尿蛋白定量、肾功能/eGFR、尿沉渣</x:v>
      </x:c>
      <x:c r="D188" s="56" t="str">
        <x:v>原表模板/现有规则</x:v>
      </x:c>
      <x:c r="E188" s="59" t="str">
        <x:v>必须</x:v>
      </x:c>
      <x:c r="F188" s="56" t="str">
        <x:v>评估狼疮性肾炎活动度和严重度</x:v>
      </x:c>
      <x:c r="G188" s="56" t="str">
        <x:v>评估狼疮性肾炎活动度和严重度</x:v>
      </x:c>
      <x:c r="H188" s="56" t="str">
        <x:v>无</x:v>
      </x:c>
      <x:c r="I188" s="56" t="str">
        <x:v>是</x:v>
      </x:c>
      <x:c r="J188" s="56" t="str">
        <x:v>否</x:v>
      </x:c>
      <x:c r="K188" s="56" t="str">
        <x:v>否</x:v>
      </x:c>
      <x:c r="L188" s="56" t="str">
        <x:v>否</x:v>
      </x:c>
      <x:c r="M188" s="56" t="str">
        <x:v>否</x:v>
      </x:c>
      <x:c r="N188" s="56" t="str">
        <x:v>https://kdigo.org/guidelines/iga-nephropathy/</x:v>
      </x:c>
      <x:c r="O188" s="56" t="str">
        <x:v>Glomerular disease assessment</x:v>
      </x:c>
      <x:c r="P188" s="59" t="str">
        <x:v>待专家确认</x:v>
      </x:c>
    </x:row>
    <x:row r="189">
      <x:c r="A189" s="56" t="str">
        <x:v>P035</x:v>
      </x:c>
      <x:c r="B189" s="56" t="str">
        <x:v>HX-ADD-023</x:v>
      </x:c>
      <x:c r="C189" s="56" t="str">
        <x:v>C3/C4、ANA、抗dsDNA及系统评估</x:v>
      </x:c>
      <x:c r="D189" s="56" t="str">
        <x:v>原表模板/现有规则</x:v>
      </x:c>
      <x:c r="E189" s="59" t="str">
        <x:v>必须</x:v>
      </x:c>
      <x:c r="F189" s="56" t="str">
        <x:v>支持SLE活动性和鉴别</x:v>
      </x:c>
      <x:c r="G189" s="56" t="str">
        <x:v>支持SLE活动性和鉴别</x:v>
      </x:c>
      <x:c r="H189" s="56" t="str">
        <x:v>无</x:v>
      </x:c>
      <x:c r="I189" s="56" t="str">
        <x:v>是</x:v>
      </x:c>
      <x:c r="J189" s="56" t="str">
        <x:v>否</x:v>
      </x:c>
      <x:c r="K189" s="56" t="str">
        <x:v>否</x:v>
      </x:c>
      <x:c r="L189" s="56" t="str">
        <x:v>否</x:v>
      </x:c>
      <x:c r="M189" s="56" t="str">
        <x:v>否</x:v>
      </x:c>
      <x:c r="N189" s="56" t="str">
        <x:v>https://kdigo.org/guidelines/iga-nephropathy/</x:v>
      </x:c>
      <x:c r="O189" s="56" t="str">
        <x:v>Immune evaluation</x:v>
      </x:c>
      <x:c r="P189" s="59" t="str">
        <x:v>待专家确认</x:v>
      </x:c>
    </x:row>
    <x:row r="190">
      <x:c r="A190" s="56" t="str">
        <x:v>P035</x:v>
      </x:c>
      <x:c r="B190" s="56" t="str">
        <x:v>HX-ADD-023</x:v>
      </x:c>
      <x:c r="C190" s="56" t="str">
        <x:v>肾活检</x:v>
      </x:c>
      <x:c r="D190" s="56" t="str">
        <x:v>原表模板/现有规则</x:v>
      </x:c>
      <x:c r="E190" s="59" t="str">
        <x:v>条件性</x:v>
      </x:c>
      <x:c r="F190" s="56" t="str">
        <x:v>达到蛋白尿/肾功能/活动性沉渣等指征时用于分型</x:v>
      </x:c>
      <x:c r="G190" s="56" t="str">
        <x:v>达到蛋白尿/肾功能/活动性沉渣等指征时用于分型</x:v>
      </x:c>
      <x:c r="H190" s="56" t="str">
        <x:v>排除禁忌</x:v>
      </x:c>
      <x:c r="I190" s="56" t="str">
        <x:v>否</x:v>
      </x:c>
      <x:c r="J190" s="56" t="str">
        <x:v>是</x:v>
      </x:c>
      <x:c r="K190" s="56" t="str">
        <x:v>否</x:v>
      </x:c>
      <x:c r="L190" s="56" t="str">
        <x:v>否</x:v>
      </x:c>
      <x:c r="M190" s="56" t="str">
        <x:v>否</x:v>
      </x:c>
      <x:c r="N190" s="56" t="str">
        <x:v>https://kdigo.org/guidelines/iga-nephropathy/</x:v>
      </x:c>
      <x:c r="O190" s="56" t="str">
        <x:v>Kidney biopsy</x:v>
      </x:c>
      <x:c r="P190" s="59" t="str">
        <x:v>待专家确认</x:v>
      </x:c>
    </x:row>
    <x:row r="191">
      <x:c r="A191" s="56" t="str">
        <x:v>P036</x:v>
      </x:c>
      <x:c r="B191" s="56" t="str">
        <x:v>HX-ADD-024</x:v>
      </x:c>
      <x:c r="C191" s="56" t="str">
        <x:v>尿常规</x:v>
      </x:c>
      <x:c r="D191" s="56" t="str">
        <x:v>必须</x:v>
      </x:c>
      <x:c r="E191" s="59" t="str">
        <x:v>必须</x:v>
      </x:c>
      <x:c r="F191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91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H191" s="56" t="str">
        <x:v>按病例阶段与适应证</x:v>
      </x:c>
      <x:c r="I191" s="56" t="str">
        <x:v>是</x:v>
      </x:c>
      <x:c r="J191" s="56" t="str">
        <x:v>否</x:v>
      </x:c>
      <x:c r="K191" s="56" t="str">
        <x:v>待专家确认</x:v>
      </x:c>
      <x:c r="L191" s="56" t="str">
        <x:v>否</x:v>
      </x:c>
      <x:c r="M191" s="56" t="str">
        <x:v>否</x:v>
      </x:c>
      <x:c r="N191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91" s="56" t="str">
        <x:v>待专家核对</x:v>
      </x:c>
      <x:c r="P191" s="59" t="str">
        <x:v>待专家确认</x:v>
      </x:c>
    </x:row>
    <x:row r="192">
      <x:c r="A192" s="56" t="str">
        <x:v>P036</x:v>
      </x:c>
      <x:c r="B192" s="56" t="str">
        <x:v>HX-ADD-024</x:v>
      </x:c>
      <x:c r="C192" s="56" t="str">
        <x:v>尿沉渣镜检</x:v>
      </x:c>
      <x:c r="D192" s="56" t="str">
        <x:v>必须</x:v>
      </x:c>
      <x:c r="E192" s="59" t="str">
        <x:v>必须</x:v>
      </x:c>
      <x:c r="F192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92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H192" s="56" t="str">
        <x:v>按病例阶段与适应证</x:v>
      </x:c>
      <x:c r="I192" s="56" t="str">
        <x:v>是</x:v>
      </x:c>
      <x:c r="J192" s="56" t="str">
        <x:v>否</x:v>
      </x:c>
      <x:c r="K192" s="56" t="str">
        <x:v>待专家确认</x:v>
      </x:c>
      <x:c r="L192" s="56" t="str">
        <x:v>否</x:v>
      </x:c>
      <x:c r="M192" s="56" t="str">
        <x:v>否</x:v>
      </x:c>
      <x:c r="N192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92" s="56" t="str">
        <x:v>待专家核对</x:v>
      </x:c>
      <x:c r="P192" s="59" t="str">
        <x:v>待专家确认</x:v>
      </x:c>
    </x:row>
    <x:row r="193">
      <x:c r="A193" s="56" t="str">
        <x:v>P036</x:v>
      </x:c>
      <x:c r="B193" s="56" t="str">
        <x:v>HX-ADD-024</x:v>
      </x:c>
      <x:c r="C193" s="56" t="str">
        <x:v>肾功能/eGFR</x:v>
      </x:c>
      <x:c r="D193" s="56" t="str">
        <x:v>必须</x:v>
      </x:c>
      <x:c r="E193" s="59" t="str">
        <x:v>必须</x:v>
      </x:c>
      <x:c r="F193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93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H193" s="56" t="str">
        <x:v>按病例阶段与适应证</x:v>
      </x:c>
      <x:c r="I193" s="56" t="str">
        <x:v>是</x:v>
      </x:c>
      <x:c r="J193" s="56" t="str">
        <x:v>否</x:v>
      </x:c>
      <x:c r="K193" s="56" t="str">
        <x:v>待专家确认</x:v>
      </x:c>
      <x:c r="L193" s="56" t="str">
        <x:v>否</x:v>
      </x:c>
      <x:c r="M193" s="56" t="str">
        <x:v>否</x:v>
      </x:c>
      <x:c r="N193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93" s="56" t="str">
        <x:v>待专家核对</x:v>
      </x:c>
      <x:c r="P193" s="59" t="str">
        <x:v>待专家确认</x:v>
      </x:c>
    </x:row>
    <x:row r="194">
      <x:c r="A194" s="56" t="str">
        <x:v>P037</x:v>
      </x:c>
      <x:c r="B194" s="56" t="str">
        <x:v>HX-ADD-025</x:v>
      </x:c>
      <x:c r="C194" s="56" t="str">
        <x:v>经期结束后清洁中段尿复查</x:v>
      </x:c>
      <x:c r="D194" s="56" t="str">
        <x:v>原表模板/现有规则</x:v>
      </x:c>
      <x:c r="E194" s="59" t="str">
        <x:v>必须</x:v>
      </x:c>
      <x:c r="F194" s="56" t="str">
        <x:v>先排除月经污染并确认真性血尿</x:v>
      </x:c>
      <x:c r="G194" s="56" t="str">
        <x:v>先排除月经污染并确认真性血尿</x:v>
      </x:c>
      <x:c r="H194" s="56" t="str">
        <x:v>避开月经期</x:v>
      </x:c>
      <x:c r="I194" s="56" t="str">
        <x:v>是</x:v>
      </x:c>
      <x:c r="J194" s="56" t="str">
        <x:v>否</x:v>
      </x:c>
      <x:c r="K194" s="56" t="str">
        <x:v>否</x:v>
      </x:c>
      <x:c r="L194" s="56" t="str">
        <x:v>否</x:v>
      </x:c>
      <x:c r="M194" s="56" t="str">
        <x:v>否</x:v>
      </x:c>
      <x:c r="N194" s="56" t="str">
        <x:v>https://www.auanet.org/guidelines-and-quality/guidelines/microhematuria</x:v>
      </x:c>
      <x:c r="O194" s="56" t="str">
        <x:v>Initial evaluation</x:v>
      </x:c>
      <x:c r="P194" s="59" t="str">
        <x:v>待专家确认</x:v>
      </x:c>
    </x:row>
    <x:row r="195">
      <x:c r="A195" s="56" t="str">
        <x:v>P037</x:v>
      </x:c>
      <x:c r="B195" s="56" t="str">
        <x:v>HX-ADD-025</x:v>
      </x:c>
      <x:c r="C195" s="56" t="str">
        <x:v>妇科评估</x:v>
      </x:c>
      <x:c r="D195" s="56" t="str">
        <x:v>原表模板/现有规则</x:v>
      </x:c>
      <x:c r="E195" s="59" t="str">
        <x:v>条件性</x:v>
      </x:c>
      <x:c r="F195" s="56" t="str">
        <x:v>异常阴道流血或妇科来源疑虑</x:v>
      </x:c>
      <x:c r="G195" s="56" t="str">
        <x:v>异常阴道流血或妇科来源疑虑</x:v>
      </x:c>
      <x:c r="H195" s="56" t="str">
        <x:v>存在妇科线索</x:v>
      </x:c>
      <x:c r="I195" s="56" t="str">
        <x:v>否</x:v>
      </x:c>
      <x:c r="J195" s="56" t="str">
        <x:v>是</x:v>
      </x:c>
      <x:c r="K195" s="56" t="str">
        <x:v>否</x:v>
      </x:c>
      <x:c r="L195" s="56" t="str">
        <x:v>否</x:v>
      </x:c>
      <x:c r="M195" s="56" t="str">
        <x:v>否</x:v>
      </x:c>
      <x:c r="N195" s="56" t="str">
        <x:v>https://www.auanet.org/guidelines-and-quality/guidelines/microhematuria</x:v>
      </x:c>
      <x:c r="O195" s="56" t="str">
        <x:v>Initial evaluation</x:v>
      </x:c>
      <x:c r="P195" s="59" t="str">
        <x:v>待专家确认</x:v>
      </x:c>
    </x:row>
    <x:row r="196">
      <x:c r="A196" s="56" t="str">
        <x:v>P037</x:v>
      </x:c>
      <x:c r="B196" s="56" t="str">
        <x:v>HX-ADD-025</x:v>
      </x:c>
      <x:c r="C196" s="56" t="str">
        <x:v>侵入性泌尿检查</x:v>
      </x:c>
      <x:c r="D196" s="56" t="str">
        <x:v>原表模板/现有规则</x:v>
      </x:c>
      <x:c r="E196" s="59" t="str">
        <x:v>禁忌或不适用</x:v>
      </x:c>
      <x:c r="F196" s="56" t="str">
        <x:v>未确认真性血尿前不开展</x:v>
      </x:c>
      <x:c r="G196" s="56" t="str">
        <x:v>未确认真性血尿前不开展</x:v>
      </x:c>
      <x:c r="H196" s="56" t="str">
        <x:v>规范复查仍证实血尿后再风险分层</x:v>
      </x:c>
      <x:c r="I196" s="56" t="str">
        <x:v>否</x:v>
      </x:c>
      <x:c r="J196" s="56" t="str">
        <x:v>否</x:v>
      </x:c>
      <x:c r="K196" s="56" t="str">
        <x:v>否</x:v>
      </x:c>
      <x:c r="L196" s="56" t="str">
        <x:v>否</x:v>
      </x:c>
      <x:c r="M196" s="56" t="str">
        <x:v>是</x:v>
      </x:c>
      <x:c r="N196" s="56" t="str">
        <x:v>https://www.auanet.org/guidelines-and-quality/guidelines/microhematuria</x:v>
      </x:c>
      <x:c r="O196" s="56" t="str">
        <x:v>Initial evaluation</x:v>
      </x:c>
      <x:c r="P196" s="59" t="str">
        <x:v>待专家确认</x:v>
      </x:c>
    </x:row>
    <x:row r="197">
      <x:c r="A197" s="56" t="str">
        <x:v>P038</x:v>
      </x:c>
      <x:c r="B197" s="56" t="str">
        <x:v>HX-ADD-026</x:v>
      </x:c>
      <x:c r="C197" s="56" t="str">
        <x:v>血常规</x:v>
      </x:c>
      <x:c r="D197" s="56" t="str">
        <x:v>必须</x:v>
      </x:c>
      <x:c r="E197" s="59" t="str">
        <x:v>必须</x:v>
      </x:c>
      <x:c r="F197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97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H197" s="56" t="str">
        <x:v>按病例阶段与适应证</x:v>
      </x:c>
      <x:c r="I197" s="56" t="str">
        <x:v>是</x:v>
      </x:c>
      <x:c r="J197" s="56" t="str">
        <x:v>否</x:v>
      </x:c>
      <x:c r="K197" s="56" t="str">
        <x:v>待专家确认</x:v>
      </x:c>
      <x:c r="L197" s="56" t="str">
        <x:v>否</x:v>
      </x:c>
      <x:c r="M197" s="56" t="str">
        <x:v>否</x:v>
      </x:c>
      <x:c r="N197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97" s="56" t="str">
        <x:v>待专家核对</x:v>
      </x:c>
      <x:c r="P197" s="59" t="str">
        <x:v>待专家确认</x:v>
      </x:c>
    </x:row>
    <x:row r="198">
      <x:c r="A198" s="56" t="str">
        <x:v>P038</x:v>
      </x:c>
      <x:c r="B198" s="56" t="str">
        <x:v>HX-ADD-026</x:v>
      </x:c>
      <x:c r="C198" s="56" t="str">
        <x:v>肾功能/eGFR</x:v>
      </x:c>
      <x:c r="D198" s="56" t="str">
        <x:v>必须</x:v>
      </x:c>
      <x:c r="E198" s="59" t="str">
        <x:v>必须</x:v>
      </x:c>
      <x:c r="F198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98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H198" s="56" t="str">
        <x:v>按病例阶段与适应证</x:v>
      </x:c>
      <x:c r="I198" s="56" t="str">
        <x:v>是</x:v>
      </x:c>
      <x:c r="J198" s="56" t="str">
        <x:v>否</x:v>
      </x:c>
      <x:c r="K198" s="56" t="str">
        <x:v>待专家确认</x:v>
      </x:c>
      <x:c r="L198" s="56" t="str">
        <x:v>否</x:v>
      </x:c>
      <x:c r="M198" s="56" t="str">
        <x:v>否</x:v>
      </x:c>
      <x:c r="N198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98" s="56" t="str">
        <x:v>待专家核对</x:v>
      </x:c>
      <x:c r="P198" s="59" t="str">
        <x:v>待专家确认</x:v>
      </x:c>
    </x:row>
    <x:row r="199">
      <x:c r="A199" s="56" t="str">
        <x:v>P038</x:v>
      </x:c>
      <x:c r="B199" s="56" t="str">
        <x:v>HX-ADD-026</x:v>
      </x:c>
      <x:c r="C199" s="56" t="str">
        <x:v>凝血功能</x:v>
      </x:c>
      <x:c r="D199" s="56" t="str">
        <x:v>待专家确认</x:v>
      </x:c>
      <x:c r="E199" s="59" t="str">
        <x:v>待专家确认</x:v>
      </x:c>
      <x:c r="F199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199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H199" s="56" t="str">
        <x:v>按病例阶段与适应证</x:v>
      </x:c>
      <x:c r="I199" s="56" t="str">
        <x:v>否</x:v>
      </x:c>
      <x:c r="J199" s="56" t="str">
        <x:v>否</x:v>
      </x:c>
      <x:c r="K199" s="56" t="str">
        <x:v>待专家确认</x:v>
      </x:c>
      <x:c r="L199" s="56" t="str">
        <x:v>否</x:v>
      </x:c>
      <x:c r="M199" s="56" t="str">
        <x:v>否</x:v>
      </x:c>
      <x:c r="N199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199" s="56" t="str">
        <x:v>待专家核对</x:v>
      </x:c>
      <x:c r="P199" s="59" t="str">
        <x:v>待专家确认</x:v>
      </x:c>
    </x:row>
    <x:row r="200">
      <x:c r="A200" s="56" t="str">
        <x:v>P038</x:v>
      </x:c>
      <x:c r="B200" s="56" t="str">
        <x:v>HX-ADD-026</x:v>
      </x:c>
      <x:c r="C200" s="56" t="str">
        <x:v>增强CT腹盆/CT尿路外渗评估</x:v>
      </x:c>
      <x:c r="D200" s="56" t="str">
        <x:v>条件性</x:v>
      </x:c>
      <x:c r="E200" s="59" t="str">
        <x:v>条件性</x:v>
      </x:c>
      <x:c r="F200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200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H200" s="56" t="str">
        <x:v>按病例阶段与适应证</x:v>
      </x:c>
      <x:c r="I200" s="56" t="str">
        <x:v>否</x:v>
      </x:c>
      <x:c r="J200" s="56" t="str">
        <x:v>是</x:v>
      </x:c>
      <x:c r="K200" s="56" t="str">
        <x:v>待专家确认</x:v>
      </x:c>
      <x:c r="L200" s="56" t="str">
        <x:v>否</x:v>
      </x:c>
      <x:c r="M200" s="56" t="str">
        <x:v>否</x:v>
      </x:c>
      <x:c r="N200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200" s="56" t="str">
        <x:v>待专家核对</x:v>
      </x:c>
      <x:c r="P200" s="59" t="str">
        <x:v>待专家确认</x:v>
      </x:c>
    </x:row>
    <x:row r="201">
      <x:c r="A201" s="56" t="str">
        <x:v>P039</x:v>
      </x:c>
      <x:c r="B201" s="56" t="str">
        <x:v>HX-ADD-027</x:v>
      </x:c>
      <x:c r="C201" s="56" t="str">
        <x:v>尿常规</x:v>
      </x:c>
      <x:c r="D201" s="56" t="str">
        <x:v>必须</x:v>
      </x:c>
      <x:c r="E201" s="59" t="str">
        <x:v>必须</x:v>
      </x:c>
      <x:c r="F201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201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H201" s="56" t="str">
        <x:v>按病例阶段与适应证</x:v>
      </x:c>
      <x:c r="I201" s="56" t="str">
        <x:v>是</x:v>
      </x:c>
      <x:c r="J201" s="56" t="str">
        <x:v>否</x:v>
      </x:c>
      <x:c r="K201" s="56" t="str">
        <x:v>待专家确认</x:v>
      </x:c>
      <x:c r="L201" s="56" t="str">
        <x:v>否</x:v>
      </x:c>
      <x:c r="M201" s="56" t="str">
        <x:v>否</x:v>
      </x:c>
      <x:c r="N201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201" s="56" t="str">
        <x:v>待专家核对</x:v>
      </x:c>
      <x:c r="P201" s="59" t="str">
        <x:v>待专家确认</x:v>
      </x:c>
    </x:row>
    <x:row r="202">
      <x:c r="A202" s="56" t="str">
        <x:v>P039</x:v>
      </x:c>
      <x:c r="B202" s="56" t="str">
        <x:v>HX-ADD-027</x:v>
      </x:c>
      <x:c r="C202" s="56" t="str">
        <x:v>尿沉渣镜检</x:v>
      </x:c>
      <x:c r="D202" s="56" t="str">
        <x:v>必须</x:v>
      </x:c>
      <x:c r="E202" s="59" t="str">
        <x:v>必须</x:v>
      </x:c>
      <x:c r="F202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202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H202" s="56" t="str">
        <x:v>按病例阶段与适应证</x:v>
      </x:c>
      <x:c r="I202" s="56" t="str">
        <x:v>是</x:v>
      </x:c>
      <x:c r="J202" s="56" t="str">
        <x:v>否</x:v>
      </x:c>
      <x:c r="K202" s="56" t="str">
        <x:v>待专家确认</x:v>
      </x:c>
      <x:c r="L202" s="56" t="str">
        <x:v>否</x:v>
      </x:c>
      <x:c r="M202" s="56" t="str">
        <x:v>否</x:v>
      </x:c>
      <x:c r="N202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202" s="56" t="str">
        <x:v>待专家核对</x:v>
      </x:c>
      <x:c r="P202" s="59" t="str">
        <x:v>待专家确认</x:v>
      </x:c>
    </x:row>
    <x:row r="203">
      <x:c r="A203" s="56" t="str">
        <x:v>P039</x:v>
      </x:c>
      <x:c r="B203" s="56" t="str">
        <x:v>HX-ADD-027</x:v>
      </x:c>
      <x:c r="C203" s="56" t="str">
        <x:v>肾功能/eGFR</x:v>
      </x:c>
      <x:c r="D203" s="56" t="str">
        <x:v>必须</x:v>
      </x:c>
      <x:c r="E203" s="59" t="str">
        <x:v>必须</x:v>
      </x:c>
      <x:c r="F203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203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H203" s="56" t="str">
        <x:v>按病例阶段与适应证</x:v>
      </x:c>
      <x:c r="I203" s="56" t="str">
        <x:v>是</x:v>
      </x:c>
      <x:c r="J203" s="56" t="str">
        <x:v>否</x:v>
      </x:c>
      <x:c r="K203" s="56" t="str">
        <x:v>待专家确认</x:v>
      </x:c>
      <x:c r="L203" s="56" t="str">
        <x:v>否</x:v>
      </x:c>
      <x:c r="M203" s="56" t="str">
        <x:v>否</x:v>
      </x:c>
      <x:c r="N203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203" s="56" t="str">
        <x:v>待专家核对</x:v>
      </x:c>
      <x:c r="P203" s="59" t="str">
        <x:v>待专家确认</x:v>
      </x:c>
    </x:row>
    <x:row r="204">
      <x:c r="A204" s="56" t="str">
        <x:v>P040</x:v>
      </x:c>
      <x:c r="B204" s="56" t="str">
        <x:v>HX-ADD-028</x:v>
      </x:c>
      <x:c r="C204" s="56" t="str">
        <x:v>尿常规</x:v>
      </x:c>
      <x:c r="D204" s="56" t="str">
        <x:v>必须</x:v>
      </x:c>
      <x:c r="E204" s="59" t="str">
        <x:v>必须</x:v>
      </x:c>
      <x:c r="F204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204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H204" s="56" t="str">
        <x:v>按病例阶段与适应证</x:v>
      </x:c>
      <x:c r="I204" s="56" t="str">
        <x:v>是</x:v>
      </x:c>
      <x:c r="J204" s="56" t="str">
        <x:v>否</x:v>
      </x:c>
      <x:c r="K204" s="56" t="str">
        <x:v>待专家确认</x:v>
      </x:c>
      <x:c r="L204" s="56" t="str">
        <x:v>否</x:v>
      </x:c>
      <x:c r="M204" s="56" t="str">
        <x:v>否</x:v>
      </x:c>
      <x:c r="N204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204" s="56" t="str">
        <x:v>待专家核对</x:v>
      </x:c>
      <x:c r="P204" s="59" t="str">
        <x:v>待专家确认</x:v>
      </x:c>
    </x:row>
    <x:row r="205">
      <x:c r="A205" s="56" t="str">
        <x:v>P040</x:v>
      </x:c>
      <x:c r="B205" s="56" t="str">
        <x:v>HX-ADD-028</x:v>
      </x:c>
      <x:c r="C205" s="56" t="str">
        <x:v>尿沉渣镜检</x:v>
      </x:c>
      <x:c r="D205" s="56" t="str">
        <x:v>必须</x:v>
      </x:c>
      <x:c r="E205" s="59" t="str">
        <x:v>必须</x:v>
      </x:c>
      <x:c r="F205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205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H205" s="56" t="str">
        <x:v>按病例阶段与适应证</x:v>
      </x:c>
      <x:c r="I205" s="56" t="str">
        <x:v>是</x:v>
      </x:c>
      <x:c r="J205" s="56" t="str">
        <x:v>否</x:v>
      </x:c>
      <x:c r="K205" s="56" t="str">
        <x:v>待专家确认</x:v>
      </x:c>
      <x:c r="L205" s="56" t="str">
        <x:v>否</x:v>
      </x:c>
      <x:c r="M205" s="56" t="str">
        <x:v>否</x:v>
      </x:c>
      <x:c r="N205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205" s="56" t="str">
        <x:v>待专家核对</x:v>
      </x:c>
      <x:c r="P205" s="59" t="str">
        <x:v>待专家确认</x:v>
      </x:c>
    </x:row>
    <x:row r="206">
      <x:c r="A206" s="56" t="str">
        <x:v>P040</x:v>
      </x:c>
      <x:c r="B206" s="56" t="str">
        <x:v>HX-ADD-028</x:v>
      </x:c>
      <x:c r="C206" s="56" t="str">
        <x:v>肾功能/eGFR</x:v>
      </x:c>
      <x:c r="D206" s="56" t="str">
        <x:v>必须</x:v>
      </x:c>
      <x:c r="E206" s="59" t="str">
        <x:v>必须</x:v>
      </x:c>
      <x:c r="F206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G206" s="56" t="str">
        <x:v>问诊重点：血尿可见性、时相、颜色、血块、疼痛关系、尿路刺激症状、发热腰痛、泡沫尿/水肿、诱因、既往史、药物史、吸烟/职业暴露、女性污染或全身出血倾向；禁止提交前泄露这些得分点。</x:v>
      </x:c>
      <x:c r="H206" s="56" t="str">
        <x:v>按病例阶段与适应证</x:v>
      </x:c>
      <x:c r="I206" s="56" t="str">
        <x:v>是</x:v>
      </x:c>
      <x:c r="J206" s="56" t="str">
        <x:v>否</x:v>
      </x:c>
      <x:c r="K206" s="56" t="str">
        <x:v>待专家确认</x:v>
      </x:c>
      <x:c r="L206" s="56" t="str">
        <x:v>否</x:v>
      </x:c>
      <x:c r="M206" s="56" t="str">
        <x:v>否</x:v>
      </x:c>
      <x:c r="N206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O206" s="56" t="str">
        <x:v>待专家核对</x:v>
      </x:c>
      <x:c r="P206" s="59" t="str">
        <x:v>待专家确认</x:v>
      </x:c>
    </x:row>
    <x:row r="207">
      <x:c r="A207" s="56" t="str">
        <x:v>P041</x:v>
      </x:c>
      <x:c r="B207" s="56" t="str">
        <x:v>HX-ADD-029</x:v>
      </x:c>
      <x:c r="C207" s="56" t="str">
        <x:v>左肾静脉多普勒超声</x:v>
      </x:c>
      <x:c r="D207" s="56" t="str">
        <x:v>原表模板/现有规则</x:v>
      </x:c>
      <x:c r="E207" s="59" t="str">
        <x:v>必须</x:v>
      </x:c>
      <x:c r="F207" s="56" t="str">
        <x:v>评估左肾静脉受压及流速比</x:v>
      </x:c>
      <x:c r="G207" s="56" t="str">
        <x:v>评估左肾静脉受压及流速比</x:v>
      </x:c>
      <x:c r="H207" s="56" t="str">
        <x:v>规范超声体位</x:v>
      </x:c>
      <x:c r="I207" s="56" t="str">
        <x:v>是</x:v>
      </x:c>
      <x:c r="J207" s="56" t="str">
        <x:v>否</x:v>
      </x:c>
      <x:c r="K207" s="56" t="str">
        <x:v>否</x:v>
      </x:c>
      <x:c r="L207" s="56" t="str">
        <x:v>否</x:v>
      </x:c>
      <x:c r="M207" s="56" t="str">
        <x:v>否</x:v>
      </x:c>
      <x:c r="N207" s="56" t="str">
        <x:v>https://www.auanet.org/guidelines-and-quality/guidelines/microhematuria</x:v>
      </x:c>
      <x:c r="O207" s="56" t="str">
        <x:v>Alternative causes</x:v>
      </x:c>
      <x:c r="P207" s="59" t="str">
        <x:v>待专家确认</x:v>
      </x:c>
    </x:row>
    <x:row r="208">
      <x:c r="A208" s="56" t="str">
        <x:v>P041</x:v>
      </x:c>
      <x:c r="B208" s="56" t="str">
        <x:v>HX-ADD-029</x:v>
      </x:c>
      <x:c r="C208" s="56" t="str">
        <x:v>CT或MR血管成像</x:v>
      </x:c>
      <x:c r="D208" s="56" t="str">
        <x:v>原表模板/现有规则</x:v>
      </x:c>
      <x:c r="E208" s="59" t="str">
        <x:v>条件性</x:v>
      </x:c>
      <x:c r="F208" s="56" t="str">
        <x:v>超声不明确或拟干预时明确解剖</x:v>
      </x:c>
      <x:c r="G208" s="56" t="str">
        <x:v>超声不明确或拟干预时明确解剖</x:v>
      </x:c>
      <x:c r="H208" s="56" t="str">
        <x:v>按造影/MRI适应证</x:v>
      </x:c>
      <x:c r="I208" s="56" t="str">
        <x:v>否</x:v>
      </x:c>
      <x:c r="J208" s="56" t="str">
        <x:v>是</x:v>
      </x:c>
      <x:c r="K208" s="56" t="str">
        <x:v>否</x:v>
      </x:c>
      <x:c r="L208" s="56" t="str">
        <x:v>否</x:v>
      </x:c>
      <x:c r="M208" s="56" t="str">
        <x:v>否</x:v>
      </x:c>
      <x:c r="N208" s="56" t="str">
        <x:v>https://www.auanet.org/guidelines-and-quality/guidelines/microhematuria</x:v>
      </x:c>
      <x:c r="O208" s="56" t="str">
        <x:v>Alternative causes</x:v>
      </x:c>
      <x:c r="P208" s="59" t="str">
        <x:v>待专家确认</x:v>
      </x:c>
    </x:row>
    <x:row r="209">
      <x:c r="A209" s="56" t="str">
        <x:v>P041</x:v>
      </x:c>
      <x:c r="B209" s="56" t="str">
        <x:v>HX-ADD-029</x:v>
      </x:c>
      <x:c r="C209" s="56" t="str">
        <x:v>血常规、尿蛋白定量、肾功能</x:v>
      </x:c>
      <x:c r="D209" s="56" t="str">
        <x:v>原表模板/现有规则</x:v>
      </x:c>
      <x:c r="E209" s="59" t="str">
        <x:v>必须</x:v>
      </x:c>
      <x:c r="F209" s="56" t="str">
        <x:v>评估贫血、直立性蛋白尿和严重程度</x:v>
      </x:c>
      <x:c r="G209" s="56" t="str">
        <x:v>评估贫血、直立性蛋白尿和严重程度</x:v>
      </x:c>
      <x:c r="H209" s="56" t="str">
        <x:v>无</x:v>
      </x:c>
      <x:c r="I209" s="56" t="str">
        <x:v>是</x:v>
      </x:c>
      <x:c r="J209" s="56" t="str">
        <x:v>否</x:v>
      </x:c>
      <x:c r="K209" s="56" t="str">
        <x:v>否</x:v>
      </x:c>
      <x:c r="L209" s="56" t="str">
        <x:v>否</x:v>
      </x:c>
      <x:c r="M209" s="56" t="str">
        <x:v>否</x:v>
      </x:c>
      <x:c r="N209" s="56" t="str">
        <x:v>https://www.auanet.org/guidelines-and-quality/guidelines/microhematuria</x:v>
      </x:c>
      <x:c r="O209" s="56" t="str">
        <x:v>Initial evaluation</x:v>
      </x:c>
      <x:c r="P209" s="59" t="str">
        <x:v>待专家确认</x:v>
      </x:c>
    </x:row>
    <x:row r="210">
      <x:c r="A210" s="56" t="str">
        <x:v>P042</x:v>
      </x:c>
      <x:c r="B210" s="56" t="str">
        <x:v>HX-ADD-030</x:v>
      </x:c>
      <x:c r="C210" s="56" t="str">
        <x:v>重复尿常规+尿沉渣镜检</x:v>
      </x:c>
      <x:c r="D210" s="56" t="str">
        <x:v>原表模板/现有规则</x:v>
      </x:c>
      <x:c r="E210" s="59" t="str">
        <x:v>必须</x:v>
      </x:c>
      <x:c r="F210" s="56" t="str">
        <x:v>确认持续真性镜下血尿</x:v>
      </x:c>
      <x:c r="G210" s="56" t="str">
        <x:v>确认持续真性镜下血尿</x:v>
      </x:c>
      <x:c r="H210" s="56" t="str">
        <x:v>规范留尿</x:v>
      </x:c>
      <x:c r="I210" s="56" t="str">
        <x:v>是</x:v>
      </x:c>
      <x:c r="J210" s="56" t="str">
        <x:v>否</x:v>
      </x:c>
      <x:c r="K210" s="56" t="str">
        <x:v>否</x:v>
      </x:c>
      <x:c r="L210" s="56" t="str">
        <x:v>否</x:v>
      </x:c>
      <x:c r="M210" s="56" t="str">
        <x:v>否</x:v>
      </x:c>
      <x:c r="N210" s="56" t="str">
        <x:v>https://www.auanet.org/guidelines-and-quality/guidelines/microhematuria</x:v>
      </x:c>
      <x:c r="O210" s="56" t="str">
        <x:v>Definition and initial evaluation</x:v>
      </x:c>
      <x:c r="P210" s="59" t="str">
        <x:v>待专家确认</x:v>
      </x:c>
    </x:row>
    <x:row r="211">
      <x:c r="A211" s="56" t="str">
        <x:v>P042</x:v>
      </x:c>
      <x:c r="B211" s="56" t="str">
        <x:v>HX-ADD-030</x:v>
      </x:c>
      <x:c r="C211" s="56" t="str">
        <x:v>血尿风险分层</x:v>
      </x:c>
      <x:c r="D211" s="56" t="str">
        <x:v>原表模板/现有规则</x:v>
      </x:c>
      <x:c r="E211" s="59" t="str">
        <x:v>必须</x:v>
      </x:c>
      <x:c r="F211" s="56" t="str">
        <x:v>基于年龄、吸烟和职业暴露选择评估</x:v>
      </x:c>
      <x:c r="G211" s="56" t="str">
        <x:v>基于年龄、吸烟和职业暴露选择评估</x:v>
      </x:c>
      <x:c r="H211" s="56" t="str">
        <x:v>确认血尿</x:v>
      </x:c>
      <x:c r="I211" s="56" t="str">
        <x:v>是</x:v>
      </x:c>
      <x:c r="J211" s="56" t="str">
        <x:v>否</x:v>
      </x:c>
      <x:c r="K211" s="56" t="str">
        <x:v>否</x:v>
      </x:c>
      <x:c r="L211" s="56" t="str">
        <x:v>否</x:v>
      </x:c>
      <x:c r="M211" s="56" t="str">
        <x:v>否</x:v>
      </x:c>
      <x:c r="N211" s="56" t="str">
        <x:v>https://www.auanet.org/guidelines-and-quality/guidelines/microhematuria</x:v>
      </x:c>
      <x:c r="O211" s="56" t="str">
        <x:v>Risk stratification</x:v>
      </x:c>
      <x:c r="P211" s="59" t="str">
        <x:v>待专家确认</x:v>
      </x:c>
    </x:row>
    <x:row r="212">
      <x:c r="A212" s="56" t="str">
        <x:v>P042</x:v>
      </x:c>
      <x:c r="B212" s="56" t="str">
        <x:v>HX-ADD-030</x:v>
      </x:c>
      <x:c r="C212" s="56" t="str">
        <x:v>膀胱镜</x:v>
      </x:c>
      <x:c r="D212" s="56" t="str">
        <x:v>原表模板/现有规则</x:v>
      </x:c>
      <x:c r="E212" s="59" t="str">
        <x:v>必须</x:v>
      </x:c>
      <x:c r="F212" s="56" t="str">
        <x:v>高危镜下血尿下尿路评估</x:v>
      </x:c>
      <x:c r="G212" s="56" t="str">
        <x:v>高危镜下血尿下尿路评估</x:v>
      </x:c>
      <x:c r="H212" s="56" t="str">
        <x:v>完成风险评估</x:v>
      </x:c>
      <x:c r="I212" s="56" t="str">
        <x:v>是</x:v>
      </x:c>
      <x:c r="J212" s="56" t="str">
        <x:v>否</x:v>
      </x:c>
      <x:c r="K212" s="56" t="str">
        <x:v>否</x:v>
      </x:c>
      <x:c r="L212" s="56" t="str">
        <x:v>否</x:v>
      </x:c>
      <x:c r="M212" s="56" t="str">
        <x:v>否</x:v>
      </x:c>
      <x:c r="N212" s="56" t="str">
        <x:v>https://www.auanet.org/guidelines-and-quality/guidelines/microhematuria</x:v>
      </x:c>
      <x:c r="O212" s="56" t="str">
        <x:v>High-risk evaluation</x:v>
      </x:c>
      <x:c r="P212" s="59" t="str">
        <x:v>待专家确认</x:v>
      </x:c>
    </x:row>
    <x:row r="213">
      <x:c r="A213" s="56" t="str">
        <x:v>P042</x:v>
      </x:c>
      <x:c r="B213" s="56" t="str">
        <x:v>HX-ADD-030</x:v>
      </x:c>
      <x:c r="C213" s="56" t="str">
        <x:v>轴位上尿路影像/CTU</x:v>
      </x:c>
      <x:c r="D213" s="56" t="str">
        <x:v>原表模板/现有规则</x:v>
      </x:c>
      <x:c r="E213" s="59" t="str">
        <x:v>必须</x:v>
      </x:c>
      <x:c r="F213" s="56" t="str">
        <x:v>高危镜下血尿上尿路评估</x:v>
      </x:c>
      <x:c r="G213" s="56" t="str">
        <x:v>高危镜下血尿上尿路评估</x:v>
      </x:c>
      <x:c r="H213" s="56" t="str">
        <x:v>评估造影禁忌</x:v>
      </x:c>
      <x:c r="I213" s="56" t="str">
        <x:v>是</x:v>
      </x:c>
      <x:c r="J213" s="56" t="str">
        <x:v>否</x:v>
      </x:c>
      <x:c r="K213" s="56" t="str">
        <x:v>否</x:v>
      </x:c>
      <x:c r="L213" s="56" t="str">
        <x:v>否</x:v>
      </x:c>
      <x:c r="M213" s="56" t="str">
        <x:v>否</x:v>
      </x:c>
      <x:c r="N213" s="56" t="str">
        <x:v>https://www.auanet.org/guidelines-and-quality/guidelines/microhematuria</x:v>
      </x:c>
      <x:c r="O213" s="56" t="str">
        <x:v>High-risk evaluation</x:v>
      </x:c>
      <x:c r="P213" s="59" t="str">
        <x:v>待专家确认</x:v>
      </x:c>
    </x:row>
    <x:row r="214">
      <x:c r="A214" s="57" t="str">
        <x:v>P042</x:v>
      </x:c>
      <x:c r="B214" s="57" t="str">
        <x:v>HX-ADD-030</x:v>
      </x:c>
      <x:c r="C214" s="57" t="str">
        <x:v>尿细胞学</x:v>
      </x:c>
      <x:c r="D214" s="57" t="str">
        <x:v>原表模板/现有规则</x:v>
      </x:c>
      <x:c r="E214" s="60" t="str">
        <x:v>不常规推荐</x:v>
      </x:c>
      <x:c r="F214" s="57" t="str">
        <x:v>不对所有高危患者无条件必开</x:v>
      </x:c>
      <x:c r="G214" s="57" t="str">
        <x:v>不对所有高危患者无条件必开</x:v>
      </x:c>
      <x:c r="H214" s="57" t="str">
        <x:v>膀胱镜不明确或特定高危情形</x:v>
      </x:c>
      <x:c r="I214" s="57" t="str">
        <x:v>否</x:v>
      </x:c>
      <x:c r="J214" s="57" t="str">
        <x:v>否</x:v>
      </x:c>
      <x:c r="K214" s="57" t="str">
        <x:v>是</x:v>
      </x:c>
      <x:c r="L214" s="57" t="str">
        <x:v>否</x:v>
      </x:c>
      <x:c r="M214" s="57" t="str">
        <x:v>否</x:v>
      </x:c>
      <x:c r="N214" s="57" t="str">
        <x:v>https://www.auanet.org/guidelines-and-quality/guidelines/microhematuria</x:v>
      </x:c>
      <x:c r="O214" s="57" t="str">
        <x:v>Urinary markers</x:v>
      </x:c>
      <x:c r="P214" s="60" t="str">
        <x:v>待专家确认</x:v>
      </x:c>
    </x:row>
  </x:sheetData>
  <x:mergeCells>
    <x:mergeCell ref="A1:P1"/>
  </x:mergeCells>
  <x:conditionalFormatting sqref="E4:P214">
    <x:cfRule type="containsText" dxfId="10" priority="1" operator="containsText" text="待"/>
    <x:cfRule type="containsText" dxfId="11" priority="2" operator="containsText" text="禁忌"/>
    <x:cfRule type="containsText" dxfId="12" priority="3" operator="containsText" text="重大"/>
    <x:cfRule type="containsText" dxfId="13" priority="4" operator="containsText" text="已复核"/>
  </x:conditionalFormatting>
  <x:dataValidations count="2">
    <x:dataValidation type="list" sqref="E4:E214">
      <x:formula1>"必须,条件性,可选,不常规推荐,禁忌或不适用,待专家确认"</x:formula1>
    </x:dataValidation>
    <x:dataValidation type="list" sqref="P4:P214">
      <x:formula1>"待专家确认,审核中,需修改,已复核"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f788669105045a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3.130000114440918" hidden="0" customWidth="1"/>
    <x:col min="3" max="3" width="14.380000114440918" hidden="0" customWidth="1"/>
    <x:col min="4" max="4" width="35" hidden="0" customWidth="1"/>
    <x:col min="5" max="5" width="36.25" hidden="0" customWidth="1"/>
    <x:col min="6" max="6" width="23.75" hidden="0" customWidth="1"/>
    <x:col min="7" max="7" width="23.75" hidden="0" customWidth="1"/>
    <x:col min="8" max="8" width="22.5" hidden="0" customWidth="1"/>
    <x:col min="9" max="9" width="28.75" hidden="0" customWidth="1"/>
    <x:col min="10" max="10" width="25" hidden="0" customWidth="1"/>
    <x:col min="11" max="11" width="33.75" hidden="0" customWidth="1"/>
    <x:col min="12" max="12" width="21.25" hidden="0" customWidth="1"/>
    <x:col min="13" max="13" width="13.75" hidden="0" customWidth="1"/>
  </x:cols>
  <x:sheetData>
    <x:row r="1" ht="30" customHeight="1">
      <x:c r="A1" s="42" t="str">
        <x:v>治疗与禁忌</x:v>
      </x:c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</x:row>
    <x:row r="2">
      <x:c r="A2" t="str">
        <x:v>治疗条目数</x:v>
      </x:c>
      <x:c r="B2" t="n">
        <x:f>COUNTA(A4:A129)</x:f>
        <x:v>126</x:v>
      </x:c>
    </x:row>
    <x:row r="3" ht="36" customHeight="1">
      <x:c r="A3" s="47" t="str">
        <x:v>caseId</x:v>
      </x:c>
      <x:c r="B3" s="47" t="str">
        <x:v>originalCaseId</x:v>
      </x:c>
      <x:c r="C3" s="47" t="str">
        <x:v>治疗类别</x:v>
      </x:c>
      <x:c r="D3" s="47" t="str">
        <x:v>原始内容</x:v>
      </x:c>
      <x:c r="E3" s="47" t="str">
        <x:v>建议内容</x:v>
      </x:c>
      <x:c r="F3" s="47" t="str">
        <x:v>适应证</x:v>
      </x:c>
      <x:c r="G3" s="47" t="str">
        <x:v>前置条件</x:v>
      </x:c>
      <x:c r="H3" s="47" t="str">
        <x:v>禁忌证</x:v>
      </x:c>
      <x:c r="I3" s="47" t="str">
        <x:v>危险顺序错误</x:v>
      </x:c>
      <x:c r="J3" s="47" t="str">
        <x:v>必须会诊条件</x:v>
      </x:c>
      <x:c r="K3" s="47" t="str">
        <x:v>指南URL</x:v>
      </x:c>
      <x:c r="L3" s="47" t="str">
        <x:v>指南章节</x:v>
      </x:c>
      <x:c r="M3" s="47" t="str">
        <x:v>审核状态</x:v>
      </x:c>
    </x:row>
    <x:row r="4">
      <x:c r="A4" s="55" t="str">
        <x:v>P001</x:v>
      </x:c>
      <x:c r="B4" s="55" t="str">
        <x:v>P001</x:v>
      </x:c>
      <x:c r="C4" s="55" t="str">
        <x:v>稳定措施</x:v>
      </x:c>
      <x:c r="D4" s="55" t="str">
        <x:v>评估出血程度、贫血、血块尿潴留和肾功能；尿潴留时导尿冲洗，持续活动性出血时泌尿外科急诊处理。
完成膀胱镜/输尿管镜或影像定位并取得病理，结合分期和患者状况制定内镜切除、根治性手术或系统治疗。</x:v>
      </x:c>
      <x:c r="E4" s="55" t="str">
        <x:v>评估生命体征、出血、尿潴留、感染和AKI。</x:v>
      </x:c>
      <x:c r="F4" s="55" t="str">
        <x:v>按病例诊断和严重度</x:v>
      </x:c>
      <x:c r="G4" s="55" t="str">
        <x:v>进入相应阶段</x:v>
      </x:c>
      <x:c r="H4" s="55" t="str">
        <x:v>待专家确认</x:v>
      </x:c>
      <x:c r="I4" s="55" t="str">
        <x:v>危险顺序需病例特异审核</x:v>
      </x:c>
      <x:c r="J4" s="55" t="str">
        <x:v>泌尿外科；影像科；病理科；心内科；内分泌科；麻醉科；造口治疗师/造口门诊；必要时肿瘤内科、胸外科。</x:v>
      </x:c>
      <x:c r="K4" s="55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L4" s="55" t="str">
        <x:v>待专家核对</x:v>
      </x:c>
      <x:c r="M4" s="58" t="str">
        <x:v>待专家确认</x:v>
      </x:c>
    </x:row>
    <x:row r="5">
      <x:c r="A5" s="56" t="str">
        <x:v>P001</x:v>
      </x:c>
      <x:c r="B5" s="56" t="str">
        <x:v>P001</x:v>
      </x:c>
      <x:c r="C5" s="56" t="str">
        <x:v>急诊处理</x:v>
      </x:c>
      <x:c r="D5" s="56" t="str">
        <x:v>评估出血程度、贫血、血块尿潴留和肾功能；尿潴留时导尿冲洗，持续活动性出血时泌尿外科急诊处理。
完成膀胱镜/输尿管镜或影像定位并取得病理，结合分期和患者状况制定内镜切除、根治性手术或系统治疗。</x:v>
      </x:c>
      <x:c r="E5" s="56" t="str">
        <x:v>评估出血程度、贫血、血块尿潴留和肾功能；尿潴留时导尿冲洗，持续活动性出血时泌尿外科急诊处理。</x:v>
      </x:c>
      <x:c r="F5" s="56" t="str">
        <x:v>按病例诊断和严重度</x:v>
      </x:c>
      <x:c r="G5" s="56" t="str">
        <x:v>满足急症触发条件</x:v>
      </x:c>
      <x:c r="H5" s="56" t="str">
        <x:v>待专家确认</x:v>
      </x:c>
      <x:c r="I5" s="56" t="str">
        <x:v>未取得病理和分期即实施确定性肿瘤治疗；血块尿潴留或严重出血未处理</x:v>
      </x:c>
      <x:c r="J5" s="56" t="str">
        <x:v>泌尿外科；影像科；病理科；心内科；内分泌科；麻醉科；造口治疗师/造口门诊；必要时肿瘤内科、胸外科。</x:v>
      </x:c>
      <x:c r="K5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L5" s="56" t="str">
        <x:v>待专家核对</x:v>
      </x:c>
      <x:c r="M5" s="59" t="str">
        <x:v>待专家确认</x:v>
      </x:c>
    </x:row>
    <x:row r="6">
      <x:c r="A6" s="56" t="str">
        <x:v>P001</x:v>
      </x:c>
      <x:c r="B6" s="56" t="str">
        <x:v>P001</x:v>
      </x:c>
      <x:c r="C6" s="56" t="str">
        <x:v>病因/确定性治疗</x:v>
      </x:c>
      <x:c r="D6" s="56" t="str">
        <x:v>评估出血程度、贫血、血块尿潴留和肾功能；尿潴留时导尿冲洗，持续活动性出血时泌尿外科急诊处理。
完成膀胱镜/输尿管镜或影像定位并取得病理，结合分期和患者状况制定内镜切除、根治性手术或系统治疗。</x:v>
      </x:c>
      <x:c r="E6" s="56" t="str">
        <x:v>完成膀胱镜/输尿管镜或影像定位并取得病理，结合分期和患者状况制定内镜切除、根治性手术或系统治疗。</x:v>
      </x:c>
      <x:c r="F6" s="56" t="str">
        <x:v>按病例诊断和严重度</x:v>
      </x:c>
      <x:c r="G6" s="56" t="str">
        <x:v>完成必要诊断和分期</x:v>
      </x:c>
      <x:c r="H6" s="56" t="str">
        <x:v>待专家确认</x:v>
      </x:c>
      <x:c r="I6" s="56" t="str">
        <x:v>未取得病理和分期即实施确定性肿瘤治疗；血块尿潴留或严重出血未处理</x:v>
      </x:c>
      <x:c r="J6" s="56" t="str">
        <x:v>泌尿外科；影像科；病理科；心内科；内分泌科；麻醉科；造口治疗师/造口门诊；必要时肿瘤内科、胸外科。</x:v>
      </x:c>
      <x:c r="K6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L6" s="56" t="str">
        <x:v>待专家核对</x:v>
      </x:c>
      <x:c r="M6" s="59" t="str">
        <x:v>待专家确认</x:v>
      </x:c>
    </x:row>
    <x:row r="7">
      <x:c r="A7" s="56" t="str">
        <x:v>P001</x:v>
      </x:c>
      <x:c r="B7" s="56" t="str">
        <x:v>P001</x:v>
      </x:c>
      <x:c r="C7" s="56" t="str">
        <x:v>随访与教育</x:v>
      </x:c>
      <x:c r="D7" s="56" t="str">
        <x:v>评估出血程度、贫血、血块尿潴留和肾功能；尿潴留时导尿冲洗，持续活动性出血时泌尿外科急诊处理。
完成膀胱镜/输尿管镜或影像定位并取得病理，结合分期和患者状况制定内镜切除、根治性手术或系统治疗。</x:v>
      </x:c>
      <x:c r="E7" s="56" t="str">
        <x:v>按肿瘤类型、分期和治疗方式复查尿检、膀胱镜、影像和肾功能；进行戒烟和职业暴露教育。</x:v>
      </x:c>
      <x:c r="F7" s="56" t="str">
        <x:v>按病例诊断和严重度</x:v>
      </x:c>
      <x:c r="G7" s="56" t="str">
        <x:v>完成治疗或进入观察</x:v>
      </x:c>
      <x:c r="H7" s="56" t="str">
        <x:v>待专家确认</x:v>
      </x:c>
      <x:c r="I7" s="56" t="str">
        <x:v>遗漏安全网需扣分</x:v>
      </x:c>
      <x:c r="J7" s="56" t="str">
        <x:v>泌尿外科；影像科；病理科；心内科；内分泌科；麻醉科；造口治疗师/造口门诊；必要时肿瘤内科、胸外科。</x:v>
      </x:c>
      <x:c r="K7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L7" s="56" t="str">
        <x:v>待专家核对</x:v>
      </x:c>
      <x:c r="M7" s="59" t="str">
        <x:v>待专家确认</x:v>
      </x:c>
    </x:row>
    <x:row r="8">
      <x:c r="A8" s="56" t="str">
        <x:v>P002</x:v>
      </x:c>
      <x:c r="B8" s="56" t="str">
        <x:v>P002</x:v>
      </x:c>
      <x:c r="C8" s="56" t="str">
        <x:v>稳定措施</x:v>
      </x:c>
      <x:c r="D8" s="56" t="str">
        <x:v>评估出血程度、贫血、血块尿潴留和肾功能；尿潴留时导尿冲洗，持续活动性出血时泌尿外科急诊处理。
完成膀胱镜/输尿管镜或影像定位并取得病理，结合分期和患者状况制定内镜切除、根治性手术或系统治疗。</x:v>
      </x:c>
      <x:c r="E8" s="56" t="str">
        <x:v>评估生命体征、出血、尿潴留、感染和AKI。</x:v>
      </x:c>
      <x:c r="F8" s="56" t="str">
        <x:v>按病例诊断和严重度</x:v>
      </x:c>
      <x:c r="G8" s="56" t="str">
        <x:v>进入相应阶段</x:v>
      </x:c>
      <x:c r="H8" s="56" t="str">
        <x:v>待专家确认</x:v>
      </x:c>
      <x:c r="I8" s="56" t="str">
        <x:v>危险顺序需病例特异审核</x:v>
      </x:c>
      <x:c r="J8" s="56" t="str">
        <x:v>泌尿外科；影像科；心内科；心外科；麻醉科；必要时血液科/输血科。</x:v>
      </x:c>
      <x:c r="K8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L8" s="56" t="str">
        <x:v>待专家核对</x:v>
      </x:c>
      <x:c r="M8" s="59" t="str">
        <x:v>待专家确认</x:v>
      </x:c>
    </x:row>
    <x:row r="9">
      <x:c r="A9" s="56" t="str">
        <x:v>P002</x:v>
      </x:c>
      <x:c r="B9" s="56" t="str">
        <x:v>P002</x:v>
      </x:c>
      <x:c r="C9" s="56" t="str">
        <x:v>急诊处理</x:v>
      </x:c>
      <x:c r="D9" s="56" t="str">
        <x:v>评估出血程度、贫血、血块尿潴留和肾功能；尿潴留时导尿冲洗，持续活动性出血时泌尿外科急诊处理。
完成膀胱镜/输尿管镜或影像定位并取得病理，结合分期和患者状况制定内镜切除、根治性手术或系统治疗。</x:v>
      </x:c>
      <x:c r="E9" s="56" t="str">
        <x:v>评估出血程度、贫血、血块尿潴留和肾功能；尿潴留时导尿冲洗，持续活动性出血时泌尿外科急诊处理。</x:v>
      </x:c>
      <x:c r="F9" s="56" t="str">
        <x:v>按病例诊断和严重度</x:v>
      </x:c>
      <x:c r="G9" s="56" t="str">
        <x:v>满足急症触发条件</x:v>
      </x:c>
      <x:c r="H9" s="56" t="str">
        <x:v>待专家确认</x:v>
      </x:c>
      <x:c r="I9" s="56" t="str">
        <x:v>未取得病理和分期即实施确定性肿瘤治疗；血块尿潴留或严重出血未处理</x:v>
      </x:c>
      <x:c r="J9" s="56" t="str">
        <x:v>泌尿外科；影像科；心内科；心外科；麻醉科；必要时血液科/输血科。</x:v>
      </x:c>
      <x:c r="K9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L9" s="56" t="str">
        <x:v>待专家核对</x:v>
      </x:c>
      <x:c r="M9" s="59" t="str">
        <x:v>待专家确认</x:v>
      </x:c>
    </x:row>
    <x:row r="10">
      <x:c r="A10" s="56" t="str">
        <x:v>P002</x:v>
      </x:c>
      <x:c r="B10" s="56" t="str">
        <x:v>P002</x:v>
      </x:c>
      <x:c r="C10" s="56" t="str">
        <x:v>病因/确定性治疗</x:v>
      </x:c>
      <x:c r="D10" s="56" t="str">
        <x:v>评估出血程度、贫血、血块尿潴留和肾功能；尿潴留时导尿冲洗，持续活动性出血时泌尿外科急诊处理。
完成膀胱镜/输尿管镜或影像定位并取得病理，结合分期和患者状况制定内镜切除、根治性手术或系统治疗。</x:v>
      </x:c>
      <x:c r="E10" s="56" t="str">
        <x:v>完成膀胱镜/输尿管镜或影像定位并取得病理，结合分期和患者状况制定内镜切除、根治性手术或系统治疗。</x:v>
      </x:c>
      <x:c r="F10" s="56" t="str">
        <x:v>按病例诊断和严重度</x:v>
      </x:c>
      <x:c r="G10" s="56" t="str">
        <x:v>完成必要诊断和分期</x:v>
      </x:c>
      <x:c r="H10" s="56" t="str">
        <x:v>待专家确认</x:v>
      </x:c>
      <x:c r="I10" s="56" t="str">
        <x:v>未取得病理和分期即实施确定性肿瘤治疗；血块尿潴留或严重出血未处理</x:v>
      </x:c>
      <x:c r="J10" s="56" t="str">
        <x:v>泌尿外科；影像科；心内科；心外科；麻醉科；必要时血液科/输血科。</x:v>
      </x:c>
      <x:c r="K10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L10" s="56" t="str">
        <x:v>待专家核对</x:v>
      </x:c>
      <x:c r="M10" s="59" t="str">
        <x:v>待专家确认</x:v>
      </x:c>
    </x:row>
    <x:row r="11">
      <x:c r="A11" s="56" t="str">
        <x:v>P002</x:v>
      </x:c>
      <x:c r="B11" s="56" t="str">
        <x:v>P002</x:v>
      </x:c>
      <x:c r="C11" s="56" t="str">
        <x:v>随访与教育</x:v>
      </x:c>
      <x:c r="D11" s="56" t="str">
        <x:v>评估出血程度、贫血、血块尿潴留和肾功能；尿潴留时导尿冲洗，持续活动性出血时泌尿外科急诊处理。
完成膀胱镜/输尿管镜或影像定位并取得病理，结合分期和患者状况制定内镜切除、根治性手术或系统治疗。</x:v>
      </x:c>
      <x:c r="E11" s="56" t="str">
        <x:v>按肿瘤类型、分期和治疗方式复查尿检、膀胱镜、影像和肾功能；进行戒烟和职业暴露教育。</x:v>
      </x:c>
      <x:c r="F11" s="56" t="str">
        <x:v>按病例诊断和严重度</x:v>
      </x:c>
      <x:c r="G11" s="56" t="str">
        <x:v>完成治疗或进入观察</x:v>
      </x:c>
      <x:c r="H11" s="56" t="str">
        <x:v>待专家确认</x:v>
      </x:c>
      <x:c r="I11" s="56" t="str">
        <x:v>遗漏安全网需扣分</x:v>
      </x:c>
      <x:c r="J11" s="56" t="str">
        <x:v>泌尿外科；影像科；心内科；心外科；麻醉科；必要时血液科/输血科。</x:v>
      </x:c>
      <x:c r="K11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L11" s="56" t="str">
        <x:v>待专家核对</x:v>
      </x:c>
      <x:c r="M11" s="59" t="str">
        <x:v>待专家确认</x:v>
      </x:c>
    </x:row>
    <x:row r="12">
      <x:c r="A12" s="56" t="str">
        <x:v>P003</x:v>
      </x:c>
      <x:c r="B12" s="56" t="str">
        <x:v>P003</x:v>
      </x:c>
      <x:c r="C12" s="56" t="str">
        <x:v>稳定措施</x:v>
      </x:c>
      <x:c r="D12" s="56" t="str">
        <x:v>评估出血程度、贫血、血块尿潴留和肾功能；尿潴留时导尿冲洗，持续活动性出血时泌尿外科急诊处理。
完成膀胱镜/输尿管镜或影像定位并取得病理，结合分期和患者状况制定内镜切除、根治性手术或系统治疗。</x:v>
      </x:c>
      <x:c r="E12" s="56" t="str">
        <x:v>评估生命体征、出血、尿潴留、感染和AKI。</x:v>
      </x:c>
      <x:c r="F12" s="56" t="str">
        <x:v>按病例诊断和严重度</x:v>
      </x:c>
      <x:c r="G12" s="56" t="str">
        <x:v>进入相应阶段</x:v>
      </x:c>
      <x:c r="H12" s="56" t="str">
        <x:v>待专家确认</x:v>
      </x:c>
      <x:c r="I12" s="56" t="str">
        <x:v>危险顺序需病例特异审核</x:v>
      </x:c>
      <x:c r="J12" s="56" t="str">
        <x:v>泌尿外科；影像科；心内科；呼吸内科；麻醉科；ICU；肿瘤内科；必要时胸外科。</x:v>
      </x:c>
      <x:c r="K12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L12" s="56" t="str">
        <x:v>待专家核对</x:v>
      </x:c>
      <x:c r="M12" s="59" t="str">
        <x:v>待专家确认</x:v>
      </x:c>
    </x:row>
    <x:row r="13">
      <x:c r="A13" s="56" t="str">
        <x:v>P003</x:v>
      </x:c>
      <x:c r="B13" s="56" t="str">
        <x:v>P003</x:v>
      </x:c>
      <x:c r="C13" s="56" t="str">
        <x:v>急诊处理</x:v>
      </x:c>
      <x:c r="D13" s="56" t="str">
        <x:v>评估出血程度、贫血、血块尿潴留和肾功能；尿潴留时导尿冲洗，持续活动性出血时泌尿外科急诊处理。
完成膀胱镜/输尿管镜或影像定位并取得病理，结合分期和患者状况制定内镜切除、根治性手术或系统治疗。</x:v>
      </x:c>
      <x:c r="E13" s="56" t="str">
        <x:v>评估出血程度、贫血、血块尿潴留和肾功能；尿潴留时导尿冲洗，持续活动性出血时泌尿外科急诊处理。</x:v>
      </x:c>
      <x:c r="F13" s="56" t="str">
        <x:v>按病例诊断和严重度</x:v>
      </x:c>
      <x:c r="G13" s="56" t="str">
        <x:v>满足急症触发条件</x:v>
      </x:c>
      <x:c r="H13" s="56" t="str">
        <x:v>待专家确认</x:v>
      </x:c>
      <x:c r="I13" s="56" t="str">
        <x:v>未取得病理和分期即实施确定性肿瘤治疗；血块尿潴留或严重出血未处理</x:v>
      </x:c>
      <x:c r="J13" s="56" t="str">
        <x:v>泌尿外科；影像科；心内科；呼吸内科；麻醉科；ICU；肿瘤内科；必要时胸外科。</x:v>
      </x:c>
      <x:c r="K13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L13" s="56" t="str">
        <x:v>待专家核对</x:v>
      </x:c>
      <x:c r="M13" s="59" t="str">
        <x:v>待专家确认</x:v>
      </x:c>
    </x:row>
    <x:row r="14">
      <x:c r="A14" s="56" t="str">
        <x:v>P003</x:v>
      </x:c>
      <x:c r="B14" s="56" t="str">
        <x:v>P003</x:v>
      </x:c>
      <x:c r="C14" s="56" t="str">
        <x:v>病因/确定性治疗</x:v>
      </x:c>
      <x:c r="D14" s="56" t="str">
        <x:v>评估出血程度、贫血、血块尿潴留和肾功能；尿潴留时导尿冲洗，持续活动性出血时泌尿外科急诊处理。
完成膀胱镜/输尿管镜或影像定位并取得病理，结合分期和患者状况制定内镜切除、根治性手术或系统治疗。</x:v>
      </x:c>
      <x:c r="E14" s="56" t="str">
        <x:v>完成膀胱镜/输尿管镜或影像定位并取得病理，结合分期和患者状况制定内镜切除、根治性手术或系统治疗。</x:v>
      </x:c>
      <x:c r="F14" s="56" t="str">
        <x:v>按病例诊断和严重度</x:v>
      </x:c>
      <x:c r="G14" s="56" t="str">
        <x:v>完成必要诊断和分期</x:v>
      </x:c>
      <x:c r="H14" s="56" t="str">
        <x:v>待专家确认</x:v>
      </x:c>
      <x:c r="I14" s="56" t="str">
        <x:v>未取得病理和分期即实施确定性肿瘤治疗；血块尿潴留或严重出血未处理</x:v>
      </x:c>
      <x:c r="J14" s="56" t="str">
        <x:v>泌尿外科；影像科；心内科；呼吸内科；麻醉科；ICU；肿瘤内科；必要时胸外科。</x:v>
      </x:c>
      <x:c r="K14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L14" s="56" t="str">
        <x:v>待专家核对</x:v>
      </x:c>
      <x:c r="M14" s="59" t="str">
        <x:v>待专家确认</x:v>
      </x:c>
    </x:row>
    <x:row r="15">
      <x:c r="A15" s="56" t="str">
        <x:v>P003</x:v>
      </x:c>
      <x:c r="B15" s="56" t="str">
        <x:v>P003</x:v>
      </x:c>
      <x:c r="C15" s="56" t="str">
        <x:v>随访与教育</x:v>
      </x:c>
      <x:c r="D15" s="56" t="str">
        <x:v>评估出血程度、贫血、血块尿潴留和肾功能；尿潴留时导尿冲洗，持续活动性出血时泌尿外科急诊处理。
完成膀胱镜/输尿管镜或影像定位并取得病理，结合分期和患者状况制定内镜切除、根治性手术或系统治疗。</x:v>
      </x:c>
      <x:c r="E15" s="56" t="str">
        <x:v>按肿瘤类型、分期和治疗方式复查尿检、膀胱镜、影像和肾功能；进行戒烟和职业暴露教育。</x:v>
      </x:c>
      <x:c r="F15" s="56" t="str">
        <x:v>按病例诊断和严重度</x:v>
      </x:c>
      <x:c r="G15" s="56" t="str">
        <x:v>完成治疗或进入观察</x:v>
      </x:c>
      <x:c r="H15" s="56" t="str">
        <x:v>待专家确认</x:v>
      </x:c>
      <x:c r="I15" s="56" t="str">
        <x:v>遗漏安全网需扣分</x:v>
      </x:c>
      <x:c r="J15" s="56" t="str">
        <x:v>泌尿外科；影像科；心内科；呼吸内科；麻醉科；ICU；肿瘤内科；必要时胸外科。</x:v>
      </x:c>
      <x:c r="K15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L15" s="56" t="str">
        <x:v>待专家核对</x:v>
      </x:c>
      <x:c r="M15" s="59" t="str">
        <x:v>待专家确认</x:v>
      </x:c>
    </x:row>
    <x:row r="16">
      <x:c r="A16" s="56" t="str">
        <x:v>P004</x:v>
      </x:c>
      <x:c r="B16" s="56" t="str">
        <x:v>P004</x:v>
      </x:c>
      <x:c r="C16" s="56" t="str">
        <x:v>病因/确定性治疗</x:v>
      </x:c>
      <x:c r="D16" s="56" t="str">
        <x:v>评估出血程度、贫血、血块尿潴留和肾功能；尿潴留时导尿冲洗，持续活动性出血时泌尿外科急诊处理。
完成膀胱镜/输尿管镜或影像定位并取得病理，结合分期和患者状况制定内镜切除、根治性手术或系统治疗。</x:v>
      </x:c>
      <x:c r="E16" s="56" t="str">
        <x:v>依据肾脏多期增强影像完成分期；按肿瘤大小、分期、肾功能和患者因素选择部分或根治性肾切除。</x:v>
      </x:c>
      <x:c r="F16" s="56" t="str">
        <x:v>按病例诊断和严重度</x:v>
      </x:c>
      <x:c r="G16" s="56" t="str">
        <x:v>完成分期和手术风险评估</x:v>
      </x:c>
      <x:c r="H16" s="56" t="str">
        <x:v>待专家确认</x:v>
      </x:c>
      <x:c r="I16" s="56" t="str">
        <x:v>未完成必要分期不得直接确定治疗</x:v>
      </x:c>
      <x:c r="J16" s="56" t="str">
        <x:v>泌尿外科；影像科；血管外科；麻醉科；ICU；肿瘤内科；放疗科；骨科/脊柱外科；输血科。</x:v>
      </x:c>
      <x:c r="K16" s="56" t="str">
        <x:v>https://uroweb.org/guidelines/renal-cell-carcinoma</x:v>
      </x:c>
      <x:c r="L16" s="56" t="str">
        <x:v>Disease management</x:v>
      </x:c>
      <x:c r="M16" s="59" t="str">
        <x:v>待专家确认</x:v>
      </x:c>
    </x:row>
    <x:row r="17">
      <x:c r="A17" s="56" t="str">
        <x:v>P004</x:v>
      </x:c>
      <x:c r="B17" s="56" t="str">
        <x:v>P004</x:v>
      </x:c>
      <x:c r="C17" s="56" t="str">
        <x:v>穿刺/系统治疗</x:v>
      </x:c>
      <x:c r="D17" s="56" t="str">
        <x:v>评估出血程度、贫血、血块尿潴留和肾功能；尿潴留时导尿冲洗，持续活动性出血时泌尿外科急诊处理。
完成膀胱镜/输尿管镜或影像定位并取得病理，结合分期和患者状况制定内镜切除、根治性手术或系统治疗。</x:v>
      </x:c>
      <x:c r="E17" s="56" t="str">
        <x:v>仅当病理结果会改变消融、系统治疗或主动监测决策时考虑穿刺。</x:v>
      </x:c>
      <x:c r="F17" s="56" t="str">
        <x:v>按病例诊断和严重度</x:v>
      </x:c>
      <x:c r="G17" s="56" t="str">
        <x:v>结果将改变治疗</x:v>
      </x:c>
      <x:c r="H17" s="56" t="str">
        <x:v>待专家确认</x:v>
      </x:c>
      <x:c r="I17" s="56" t="str">
        <x:v>不得把穿刺设为所有RCC必经步骤</x:v>
      </x:c>
      <x:c r="J17" s="56" t="str">
        <x:v>泌尿外科；影像科；血管外科；麻醉科；ICU；肿瘤内科；放疗科；骨科/脊柱外科；输血科。</x:v>
      </x:c>
      <x:c r="K17" s="56" t="str">
        <x:v>https://uroweb.org/guidelines/renal-cell-carcinoma</x:v>
      </x:c>
      <x:c r="L17" s="56" t="str">
        <x:v>Renal tumour biopsy</x:v>
      </x:c>
      <x:c r="M17" s="59" t="str">
        <x:v>待专家确认</x:v>
      </x:c>
    </x:row>
    <x:row r="18">
      <x:c r="A18" s="56" t="str">
        <x:v>P005</x:v>
      </x:c>
      <x:c r="B18" s="56" t="str">
        <x:v>P005</x:v>
      </x:c>
      <x:c r="C18" s="56" t="str">
        <x:v>稳定措施</x:v>
      </x:c>
      <x:c r="D18" s="56" t="str">
        <x:v>评估尿潴留、血块、感染和肾功能；急性尿潴留时规范导尿，血块堵塞时考虑三腔导尿和膀胱冲洗。
评估症状、残余尿和前列腺体积，采用药物治疗；反复潴留、出血、感染或肾功能受损时评估手术。</x:v>
      </x:c>
      <x:c r="E18" s="56" t="str">
        <x:v>评估生命体征、出血、尿潴留、感染和AKI。</x:v>
      </x:c>
      <x:c r="F18" s="56" t="str">
        <x:v>按病例诊断和严重度</x:v>
      </x:c>
      <x:c r="G18" s="56" t="str">
        <x:v>进入相应阶段</x:v>
      </x:c>
      <x:c r="H18" s="56" t="str">
        <x:v>待专家确认</x:v>
      </x:c>
      <x:c r="I18" s="56" t="str">
        <x:v>危险顺序需病例特异审核</x:v>
      </x:c>
      <x:c r="J18" s="56" t="str">
        <x:v>泌尿外科；心内科；内分泌科；麻醉科；必要时肿瘤内科/放疗科。</x:v>
      </x:c>
      <x:c r="K18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L18" s="56" t="str">
        <x:v>待专家核对</x:v>
      </x:c>
      <x:c r="M18" s="59" t="str">
        <x:v>待专家确认</x:v>
      </x:c>
    </x:row>
    <x:row r="19">
      <x:c r="A19" s="56" t="str">
        <x:v>P005</x:v>
      </x:c>
      <x:c r="B19" s="56" t="str">
        <x:v>P005</x:v>
      </x:c>
      <x:c r="C19" s="56" t="str">
        <x:v>急诊处理</x:v>
      </x:c>
      <x:c r="D19" s="56" t="str">
        <x:v>评估尿潴留、血块、感染和肾功能；急性尿潴留时规范导尿，血块堵塞时考虑三腔导尿和膀胱冲洗。
评估症状、残余尿和前列腺体积，采用药物治疗；反复潴留、出血、感染或肾功能受损时评估手术。</x:v>
      </x:c>
      <x:c r="E19" s="56" t="str">
        <x:v>评估尿潴留、血块、感染和肾功能；急性尿潴留时规范导尿，血块堵塞时考虑三腔导尿和膀胱冲洗。</x:v>
      </x:c>
      <x:c r="F19" s="56" t="str">
        <x:v>按病例诊断和严重度</x:v>
      </x:c>
      <x:c r="G19" s="56" t="str">
        <x:v>满足急症触发条件</x:v>
      </x:c>
      <x:c r="H19" s="56" t="str">
        <x:v>待专家确认</x:v>
      </x:c>
      <x:c r="I19" s="56" t="str">
        <x:v>尿潴留或血块堵塞未及时解除；仅凭PSA直接诊断前列腺癌</x:v>
      </x:c>
      <x:c r="J19" s="56" t="str">
        <x:v>泌尿外科；心内科；内分泌科；麻醉科；必要时肿瘤内科/放疗科。</x:v>
      </x:c>
      <x:c r="K19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L19" s="56" t="str">
        <x:v>待专家核对</x:v>
      </x:c>
      <x:c r="M19" s="59" t="str">
        <x:v>待专家确认</x:v>
      </x:c>
    </x:row>
    <x:row r="20">
      <x:c r="A20" s="56" t="str">
        <x:v>P005</x:v>
      </x:c>
      <x:c r="B20" s="56" t="str">
        <x:v>P005</x:v>
      </x:c>
      <x:c r="C20" s="56" t="str">
        <x:v>病因/确定性治疗</x:v>
      </x:c>
      <x:c r="D20" s="56" t="str">
        <x:v>评估尿潴留、血块、感染和肾功能；急性尿潴留时规范导尿，血块堵塞时考虑三腔导尿和膀胱冲洗。
评估症状、残余尿和前列腺体积，采用药物治疗；反复潴留、出血、感染或肾功能受损时评估手术。</x:v>
      </x:c>
      <x:c r="E20" s="56" t="str">
        <x:v>评估症状、残余尿和前列腺体积，采用药物治疗；反复潴留、出血、感染或肾功能受损时评估手术。</x:v>
      </x:c>
      <x:c r="F20" s="56" t="str">
        <x:v>按病例诊断和严重度</x:v>
      </x:c>
      <x:c r="G20" s="56" t="str">
        <x:v>完成必要诊断和分期</x:v>
      </x:c>
      <x:c r="H20" s="56" t="str">
        <x:v>待专家确认</x:v>
      </x:c>
      <x:c r="I20" s="56" t="str">
        <x:v>尿潴留或血块堵塞未及时解除；仅凭PSA直接诊断前列腺癌</x:v>
      </x:c>
      <x:c r="J20" s="56" t="str">
        <x:v>泌尿外科；心内科；内分泌科；麻醉科；必要时肿瘤内科/放疗科。</x:v>
      </x:c>
      <x:c r="K20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L20" s="56" t="str">
        <x:v>待专家核对</x:v>
      </x:c>
      <x:c r="M20" s="59" t="str">
        <x:v>待专家确认</x:v>
      </x:c>
    </x:row>
    <x:row r="21">
      <x:c r="A21" s="56" t="str">
        <x:v>P005</x:v>
      </x:c>
      <x:c r="B21" s="56" t="str">
        <x:v>P005</x:v>
      </x:c>
      <x:c r="C21" s="56" t="str">
        <x:v>随访与教育</x:v>
      </x:c>
      <x:c r="D21" s="56" t="str">
        <x:v>评估尿潴留、血块、感染和肾功能；急性尿潴留时规范导尿，血块堵塞时考虑三腔导尿和膀胱冲洗。
评估症状、残余尿和前列腺体积，采用药物治疗；反复潴留、出血、感染或肾功能受损时评估手术。</x:v>
      </x:c>
      <x:c r="E21" s="56" t="str">
        <x:v>复查下尿路症状、残余尿、尿常规和肾功能；按诊断进行PSA、影像或肿瘤随访。</x:v>
      </x:c>
      <x:c r="F21" s="56" t="str">
        <x:v>按病例诊断和严重度</x:v>
      </x:c>
      <x:c r="G21" s="56" t="str">
        <x:v>完成治疗或进入观察</x:v>
      </x:c>
      <x:c r="H21" s="56" t="str">
        <x:v>待专家确认</x:v>
      </x:c>
      <x:c r="I21" s="56" t="str">
        <x:v>遗漏安全网需扣分</x:v>
      </x:c>
      <x:c r="J21" s="56" t="str">
        <x:v>泌尿外科；心内科；内分泌科；麻醉科；必要时肿瘤内科/放疗科。</x:v>
      </x:c>
      <x:c r="K21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L21" s="56" t="str">
        <x:v>待专家核对</x:v>
      </x:c>
      <x:c r="M21" s="59" t="str">
        <x:v>待专家确认</x:v>
      </x:c>
    </x:row>
    <x:row r="22">
      <x:c r="A22" s="56" t="str">
        <x:v>P006</x:v>
      </x:c>
      <x:c r="B22" s="56" t="str">
        <x:v>P006</x:v>
      </x:c>
      <x:c r="C22" s="56" t="str">
        <x:v>稳定措施</x:v>
      </x:c>
      <x:c r="D22" s="56" t="str">
        <x:v>评估是否系统性感染或脓毒症；规范留取尿培养，必要时血培养，给予经验性抗感染和支持治疗。若合并梗阻，必须同步紧急引流。
依据培养和药敏调整抗菌药，处理结石、残余尿、糖尿病、导尿等复杂因素；持续血尿需进入完整血尿评估路径。</x:v>
      </x:c>
      <x:c r="E22" s="56" t="str">
        <x:v>评估生命体征、出血、尿潴留、感染和AKI。</x:v>
      </x:c>
      <x:c r="F22" s="56" t="str">
        <x:v>按病例诊断和严重度</x:v>
      </x:c>
      <x:c r="G22" s="56" t="str">
        <x:v>进入相应阶段</x:v>
      </x:c>
      <x:c r="H22" s="56" t="str">
        <x:v>待专家确认</x:v>
      </x:c>
      <x:c r="I22" s="56" t="str">
        <x:v>危险顺序需病例特异审核</x:v>
      </x:c>
      <x:c r="J22" s="56" t="str">
        <x:v>通常不需MDT；若妊娠、复发复杂感染或疑妇科出血，可请妇产科；耐药或反复感染可请感染科。</x:v>
      </x:c>
      <x:c r="K22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L22" s="56" t="str">
        <x:v>待专家核对</x:v>
      </x:c>
      <x:c r="M22" s="59" t="str">
        <x:v>待专家确认</x:v>
      </x:c>
    </x:row>
    <x:row r="23">
      <x:c r="A23" s="56" t="str">
        <x:v>P006</x:v>
      </x:c>
      <x:c r="B23" s="56" t="str">
        <x:v>P006</x:v>
      </x:c>
      <x:c r="C23" s="56" t="str">
        <x:v>急诊处理</x:v>
      </x:c>
      <x:c r="D23" s="56" t="str">
        <x:v>评估是否系统性感染或脓毒症；规范留取尿培养，必要时血培养，给予经验性抗感染和支持治疗。若合并梗阻，必须同步紧急引流。
依据培养和药敏调整抗菌药，处理结石、残余尿、糖尿病、导尿等复杂因素；持续血尿需进入完整血尿评估路径。</x:v>
      </x:c>
      <x:c r="E23" s="56" t="str">
        <x:v>评估是否系统性感染或脓毒症；规范留取尿培养，必要时血培养，给予经验性抗感染和支持治疗。若合并梗阻，必须同步紧急引流。</x:v>
      </x:c>
      <x:c r="F23" s="56" t="str">
        <x:v>按病例诊断和严重度</x:v>
      </x:c>
      <x:c r="G23" s="56" t="str">
        <x:v>满足急症触发条件</x:v>
      </x:c>
      <x:c r="H23" s="56" t="str">
        <x:v>待专家确认</x:v>
      </x:c>
      <x:c r="I23" s="56" t="str">
        <x:v>脓毒症或感染性梗阻未及时识别；未留取培养即长期盲目用药</x:v>
      </x:c>
      <x:c r="J23" s="56" t="str">
        <x:v>通常不需MDT；若妊娠、复发复杂感染或疑妇科出血，可请妇产科；耐药或反复感染可请感染科。</x:v>
      </x:c>
      <x:c r="K23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L23" s="56" t="str">
        <x:v>待专家核对</x:v>
      </x:c>
      <x:c r="M23" s="59" t="str">
        <x:v>待专家确认</x:v>
      </x:c>
    </x:row>
    <x:row r="24">
      <x:c r="A24" s="56" t="str">
        <x:v>P006</x:v>
      </x:c>
      <x:c r="B24" s="56" t="str">
        <x:v>P006</x:v>
      </x:c>
      <x:c r="C24" s="56" t="str">
        <x:v>病因/确定性治疗</x:v>
      </x:c>
      <x:c r="D24" s="56" t="str">
        <x:v>评估是否系统性感染或脓毒症；规范留取尿培养，必要时血培养，给予经验性抗感染和支持治疗。若合并梗阻，必须同步紧急引流。
依据培养和药敏调整抗菌药，处理结石、残余尿、糖尿病、导尿等复杂因素；持续血尿需进入完整血尿评估路径。</x:v>
      </x:c>
      <x:c r="E24" s="56" t="str">
        <x:v>依据培养和药敏调整抗菌药，处理结石、残余尿、糖尿病、导尿等复杂因素；持续血尿需进入完整血尿评估路径。</x:v>
      </x:c>
      <x:c r="F24" s="56" t="str">
        <x:v>按病例诊断和严重度</x:v>
      </x:c>
      <x:c r="G24" s="56" t="str">
        <x:v>完成必要诊断和分期</x:v>
      </x:c>
      <x:c r="H24" s="56" t="str">
        <x:v>待专家确认</x:v>
      </x:c>
      <x:c r="I24" s="56" t="str">
        <x:v>脓毒症或感染性梗阻未及时识别；未留取培养即长期盲目用药</x:v>
      </x:c>
      <x:c r="J24" s="56" t="str">
        <x:v>通常不需MDT；若妊娠、复发复杂感染或疑妇科出血，可请妇产科；耐药或反复感染可请感染科。</x:v>
      </x:c>
      <x:c r="K24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L24" s="56" t="str">
        <x:v>待专家核对</x:v>
      </x:c>
      <x:c r="M24" s="59" t="str">
        <x:v>待专家确认</x:v>
      </x:c>
    </x:row>
    <x:row r="25">
      <x:c r="A25" s="56" t="str">
        <x:v>P006</x:v>
      </x:c>
      <x:c r="B25" s="56" t="str">
        <x:v>P006</x:v>
      </x:c>
      <x:c r="C25" s="56" t="str">
        <x:v>随访与教育</x:v>
      </x:c>
      <x:c r="D25" s="56" t="str">
        <x:v>评估是否系统性感染或脓毒症；规范留取尿培养，必要时血培养，给予经验性抗感染和支持治疗。若合并梗阻，必须同步紧急引流。
依据培养和药敏调整抗菌药，处理结石、残余尿、糖尿病、导尿等复杂因素；持续血尿需进入完整血尿评估路径。</x:v>
      </x:c>
      <x:c r="E25" s="56" t="str">
        <x:v>按病情复查症状、尿常规和培养；复发感染需评估解剖和功能因素，血尿不消失时排查肿瘤、结石或肾小球病。</x:v>
      </x:c>
      <x:c r="F25" s="56" t="str">
        <x:v>按病例诊断和严重度</x:v>
      </x:c>
      <x:c r="G25" s="56" t="str">
        <x:v>完成治疗或进入观察</x:v>
      </x:c>
      <x:c r="H25" s="56" t="str">
        <x:v>待专家确认</x:v>
      </x:c>
      <x:c r="I25" s="56" t="str">
        <x:v>遗漏安全网需扣分</x:v>
      </x:c>
      <x:c r="J25" s="56" t="str">
        <x:v>通常不需MDT；若妊娠、复发复杂感染或疑妇科出血，可请妇产科；耐药或反复感染可请感染科。</x:v>
      </x:c>
      <x:c r="K25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L25" s="56" t="str">
        <x:v>待专家核对</x:v>
      </x:c>
      <x:c r="M25" s="59" t="str">
        <x:v>待专家确认</x:v>
      </x:c>
    </x:row>
    <x:row r="26">
      <x:c r="A26" s="56" t="str">
        <x:v>P007</x:v>
      </x:c>
      <x:c r="B26" s="56" t="str">
        <x:v>P007</x:v>
      </x:c>
      <x:c r="C26" s="56" t="str">
        <x:v>稳定措施</x:v>
      </x:c>
      <x:c r="D26" s="56" t="str">
        <x:v>评估尿潴留、血块、感染和肾功能；急性尿潴留时规范导尿，血块堵塞时考虑三腔导尿和膀胱冲洗。
评估症状、残余尿和前列腺体积，采用药物治疗；反复潴留、出血、感染或肾功能受损时评估手术。</x:v>
      </x:c>
      <x:c r="E26" s="56" t="str">
        <x:v>评估生命体征、出血、尿潴留、感染和AKI。</x:v>
      </x:c>
      <x:c r="F26" s="56" t="str">
        <x:v>按病例诊断和严重度</x:v>
      </x:c>
      <x:c r="G26" s="56" t="str">
        <x:v>进入相应阶段</x:v>
      </x:c>
      <x:c r="H26" s="56" t="str">
        <x:v>待专家确认</x:v>
      </x:c>
      <x:c r="I26" s="56" t="str">
        <x:v>危险顺序需病例特异审核</x:v>
      </x:c>
      <x:c r="J26" s="56" t="str">
        <x:v>泌尿外科为主；影像科；麻醉科；若PSA/MRI可疑肿瘤则病理科/肿瘤内科按需。</x:v>
      </x:c>
      <x:c r="K26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L26" s="56" t="str">
        <x:v>待专家核对</x:v>
      </x:c>
      <x:c r="M26" s="59" t="str">
        <x:v>待专家确认</x:v>
      </x:c>
    </x:row>
    <x:row r="27">
      <x:c r="A27" s="56" t="str">
        <x:v>P007</x:v>
      </x:c>
      <x:c r="B27" s="56" t="str">
        <x:v>P007</x:v>
      </x:c>
      <x:c r="C27" s="56" t="str">
        <x:v>急诊处理</x:v>
      </x:c>
      <x:c r="D27" s="56" t="str">
        <x:v>评估尿潴留、血块、感染和肾功能；急性尿潴留时规范导尿，血块堵塞时考虑三腔导尿和膀胱冲洗。
评估症状、残余尿和前列腺体积，采用药物治疗；反复潴留、出血、感染或肾功能受损时评估手术。</x:v>
      </x:c>
      <x:c r="E27" s="56" t="str">
        <x:v>评估尿潴留、血块、感染和肾功能；急性尿潴留时规范导尿，血块堵塞时考虑三腔导尿和膀胱冲洗。</x:v>
      </x:c>
      <x:c r="F27" s="56" t="str">
        <x:v>按病例诊断和严重度</x:v>
      </x:c>
      <x:c r="G27" s="56" t="str">
        <x:v>满足急症触发条件</x:v>
      </x:c>
      <x:c r="H27" s="56" t="str">
        <x:v>待专家确认</x:v>
      </x:c>
      <x:c r="I27" s="56" t="str">
        <x:v>尿潴留或血块堵塞未及时解除；仅凭PSA直接诊断前列腺癌</x:v>
      </x:c>
      <x:c r="J27" s="56" t="str">
        <x:v>泌尿外科为主；影像科；麻醉科；若PSA/MRI可疑肿瘤则病理科/肿瘤内科按需。</x:v>
      </x:c>
      <x:c r="K27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L27" s="56" t="str">
        <x:v>待专家核对</x:v>
      </x:c>
      <x:c r="M27" s="59" t="str">
        <x:v>待专家确认</x:v>
      </x:c>
    </x:row>
    <x:row r="28">
      <x:c r="A28" s="56" t="str">
        <x:v>P007</x:v>
      </x:c>
      <x:c r="B28" s="56" t="str">
        <x:v>P007</x:v>
      </x:c>
      <x:c r="C28" s="56" t="str">
        <x:v>病因/确定性治疗</x:v>
      </x:c>
      <x:c r="D28" s="56" t="str">
        <x:v>评估尿潴留、血块、感染和肾功能；急性尿潴留时规范导尿，血块堵塞时考虑三腔导尿和膀胱冲洗。
评估症状、残余尿和前列腺体积，采用药物治疗；反复潴留、出血、感染或肾功能受损时评估手术。</x:v>
      </x:c>
      <x:c r="E28" s="56" t="str">
        <x:v>评估症状、残余尿和前列腺体积，采用药物治疗；反复潴留、出血、感染或肾功能受损时评估手术。</x:v>
      </x:c>
      <x:c r="F28" s="56" t="str">
        <x:v>按病例诊断和严重度</x:v>
      </x:c>
      <x:c r="G28" s="56" t="str">
        <x:v>完成必要诊断和分期</x:v>
      </x:c>
      <x:c r="H28" s="56" t="str">
        <x:v>待专家确认</x:v>
      </x:c>
      <x:c r="I28" s="56" t="str">
        <x:v>尿潴留或血块堵塞未及时解除；仅凭PSA直接诊断前列腺癌</x:v>
      </x:c>
      <x:c r="J28" s="56" t="str">
        <x:v>泌尿外科为主；影像科；麻醉科；若PSA/MRI可疑肿瘤则病理科/肿瘤内科按需。</x:v>
      </x:c>
      <x:c r="K28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L28" s="56" t="str">
        <x:v>待专家核对</x:v>
      </x:c>
      <x:c r="M28" s="59" t="str">
        <x:v>待专家确认</x:v>
      </x:c>
    </x:row>
    <x:row r="29">
      <x:c r="A29" s="56" t="str">
        <x:v>P007</x:v>
      </x:c>
      <x:c r="B29" s="56" t="str">
        <x:v>P007</x:v>
      </x:c>
      <x:c r="C29" s="56" t="str">
        <x:v>随访与教育</x:v>
      </x:c>
      <x:c r="D29" s="56" t="str">
        <x:v>评估尿潴留、血块、感染和肾功能；急性尿潴留时规范导尿，血块堵塞时考虑三腔导尿和膀胱冲洗。
评估症状、残余尿和前列腺体积，采用药物治疗；反复潴留、出血、感染或肾功能受损时评估手术。</x:v>
      </x:c>
      <x:c r="E29" s="56" t="str">
        <x:v>复查下尿路症状、残余尿、尿常规和肾功能；按诊断进行PSA、影像或肿瘤随访。</x:v>
      </x:c>
      <x:c r="F29" s="56" t="str">
        <x:v>按病例诊断和严重度</x:v>
      </x:c>
      <x:c r="G29" s="56" t="str">
        <x:v>完成治疗或进入观察</x:v>
      </x:c>
      <x:c r="H29" s="56" t="str">
        <x:v>待专家确认</x:v>
      </x:c>
      <x:c r="I29" s="56" t="str">
        <x:v>遗漏安全网需扣分</x:v>
      </x:c>
      <x:c r="J29" s="56" t="str">
        <x:v>泌尿外科为主；影像科；麻醉科；若PSA/MRI可疑肿瘤则病理科/肿瘤内科按需。</x:v>
      </x:c>
      <x:c r="K29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L29" s="56" t="str">
        <x:v>待专家核对</x:v>
      </x:c>
      <x:c r="M29" s="59" t="str">
        <x:v>待专家确认</x:v>
      </x:c>
    </x:row>
    <x:row r="30">
      <x:c r="A30" s="56" t="str">
        <x:v>P008</x:v>
      </x:c>
      <x:c r="B30" s="56" t="str">
        <x:v>P008</x:v>
      </x:c>
      <x:c r="C30" s="56" t="str">
        <x:v>确定性治疗</x:v>
      </x:c>
      <x:c r="D30" s="56" t="str">
        <x:v>评估尿潴留、血块、感染和肾功能；急性尿潴留时规范导尿，血块堵塞时考虑三腔导尿和膀胱冲洗。
评估症状、残余尿和前列腺体积，采用药物治疗；反复潴留、出血、感染或肾功能受损时评估手术。</x:v>
      </x:c>
      <x:c r="E30" s="56" t="str">
        <x:v>清除膀胱结石，并同步评估和处理BPH/膀胱出口梗阻。</x:v>
      </x:c>
      <x:c r="F30" s="56" t="str">
        <x:v>按病例诊断和严重度</x:v>
      </x:c>
      <x:c r="G30" s="56" t="str">
        <x:v>确认结石及梗阻</x:v>
      </x:c>
      <x:c r="H30" s="56" t="str">
        <x:v>待专家确认</x:v>
      </x:c>
      <x:c r="I30" s="56" t="str">
        <x:v>不得只处理BPH而遗漏结石</x:v>
      </x:c>
      <x:c r="J30" s="56" t="str">
        <x:v>泌尿外科；影像科；麻醉科；若抗血小板围术期风险高可请心内科。</x:v>
      </x:c>
      <x:c r="K30" s="56" t="str">
        <x:v>https://uroweb.org/guidelines/urolithiasis</x:v>
      </x:c>
      <x:c r="L30" s="56" t="str">
        <x:v>Bladder stones treatment</x:v>
      </x:c>
      <x:c r="M30" s="59" t="str">
        <x:v>待专家确认</x:v>
      </x:c>
    </x:row>
    <x:row r="31">
      <x:c r="A31" s="56" t="str">
        <x:v>P008</x:v>
      </x:c>
      <x:c r="B31" s="56" t="str">
        <x:v>P008</x:v>
      </x:c>
      <x:c r="C31" s="56" t="str">
        <x:v>围术期</x:v>
      </x:c>
      <x:c r="D31" s="56" t="str">
        <x:v>评估尿潴留、血块、感染和肾功能；急性尿潴留时规范导尿，血块堵塞时考虑三腔导尿和膀胱冲洗。
评估症状、残余尿和前列腺体积，采用药物治疗；反复潴留、出血、感染或肾功能受损时评估手术。</x:v>
      </x:c>
      <x:c r="E31" s="56" t="str">
        <x:v>感染存在时先培养并控制感染；评估残余尿、膀胱功能及复发原因。</x:v>
      </x:c>
      <x:c r="F31" s="56" t="str">
        <x:v>按病例诊断和严重度</x:v>
      </x:c>
      <x:c r="G31" s="56" t="str">
        <x:v>术前评估</x:v>
      </x:c>
      <x:c r="H31" s="56" t="str">
        <x:v>待专家确认</x:v>
      </x:c>
      <x:c r="I31" s="56" t="str">
        <x:v>感染未控制不得贸然操作</x:v>
      </x:c>
      <x:c r="J31" s="56" t="str">
        <x:v>泌尿外科；影像科；麻醉科；若抗血小板围术期风险高可请心内科。</x:v>
      </x:c>
      <x:c r="K31" s="56" t="str">
        <x:v>https://uroweb.org/guidelines/urolithiasis</x:v>
      </x:c>
      <x:c r="L31" s="56" t="str">
        <x:v>Bladder stones</x:v>
      </x:c>
      <x:c r="M31" s="59" t="str">
        <x:v>待专家确认</x:v>
      </x:c>
    </x:row>
    <x:row r="32">
      <x:c r="A32" s="56" t="str">
        <x:v>P009</x:v>
      </x:c>
      <x:c r="B32" s="56" t="str">
        <x:v>P009</x:v>
      </x:c>
      <x:c r="C32" s="56" t="str">
        <x:v>稳定措施</x:v>
      </x:c>
      <x:c r="D32" s="56" t="str">
        <x:v>评估是否系统性感染或脓毒症；规范留取尿培养，必要时血培养，给予经验性抗感染和支持治疗。若合并梗阻，必须同步紧急引流。
依据培养和药敏调整抗菌药，处理结石、残余尿、糖尿病、导尿等复杂因素；持续血尿需进入完整血尿评估路径。</x:v>
      </x:c>
      <x:c r="E32" s="56" t="str">
        <x:v>评估生命体征、出血、尿潴留、感染和AKI。</x:v>
      </x:c>
      <x:c r="F32" s="56" t="str">
        <x:v>按病例诊断和严重度</x:v>
      </x:c>
      <x:c r="G32" s="56" t="str">
        <x:v>进入相应阶段</x:v>
      </x:c>
      <x:c r="H32" s="56" t="str">
        <x:v>待专家确认</x:v>
      </x:c>
      <x:c r="I32" s="56" t="str">
        <x:v>危险顺序需病例特异审核</x:v>
      </x:c>
      <x:c r="J32" s="56" t="str">
        <x:v>泌尿外科；感染科按需；麻醉科；若出现发热、脓毒症或肾功能恶化需ICU/介入放射科。</x:v>
      </x:c>
      <x:c r="K32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L32" s="56" t="str">
        <x:v>待专家核对</x:v>
      </x:c>
      <x:c r="M32" s="59" t="str">
        <x:v>待专家确认</x:v>
      </x:c>
    </x:row>
    <x:row r="33">
      <x:c r="A33" s="56" t="str">
        <x:v>P009</x:v>
      </x:c>
      <x:c r="B33" s="56" t="str">
        <x:v>P009</x:v>
      </x:c>
      <x:c r="C33" s="56" t="str">
        <x:v>急诊处理</x:v>
      </x:c>
      <x:c r="D33" s="56" t="str">
        <x:v>评估是否系统性感染或脓毒症；规范留取尿培养，必要时血培养，给予经验性抗感染和支持治疗。若合并梗阻，必须同步紧急引流。
依据培养和药敏调整抗菌药，处理结石、残余尿、糖尿病、导尿等复杂因素；持续血尿需进入完整血尿评估路径。</x:v>
      </x:c>
      <x:c r="E33" s="56" t="str">
        <x:v>评估是否系统性感染或脓毒症；规范留取尿培养，必要时血培养，给予经验性抗感染和支持治疗。若合并梗阻，必须同步紧急引流。</x:v>
      </x:c>
      <x:c r="F33" s="56" t="str">
        <x:v>按病例诊断和严重度</x:v>
      </x:c>
      <x:c r="G33" s="56" t="str">
        <x:v>满足急症触发条件</x:v>
      </x:c>
      <x:c r="H33" s="56" t="str">
        <x:v>待专家确认</x:v>
      </x:c>
      <x:c r="I33" s="56" t="str">
        <x:v>脓毒症或感染性梗阻未及时识别；未留取培养即长期盲目用药</x:v>
      </x:c>
      <x:c r="J33" s="56" t="str">
        <x:v>泌尿外科；感染科按需；麻醉科；若出现发热、脓毒症或肾功能恶化需ICU/介入放射科。</x:v>
      </x:c>
      <x:c r="K33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L33" s="56" t="str">
        <x:v>待专家核对</x:v>
      </x:c>
      <x:c r="M33" s="59" t="str">
        <x:v>待专家确认</x:v>
      </x:c>
    </x:row>
    <x:row r="34">
      <x:c r="A34" s="56" t="str">
        <x:v>P009</x:v>
      </x:c>
      <x:c r="B34" s="56" t="str">
        <x:v>P009</x:v>
      </x:c>
      <x:c r="C34" s="56" t="str">
        <x:v>病因/确定性治疗</x:v>
      </x:c>
      <x:c r="D34" s="56" t="str">
        <x:v>评估是否系统性感染或脓毒症；规范留取尿培养，必要时血培养，给予经验性抗感染和支持治疗。若合并梗阻，必须同步紧急引流。
依据培养和药敏调整抗菌药，处理结石、残余尿、糖尿病、导尿等复杂因素；持续血尿需进入完整血尿评估路径。</x:v>
      </x:c>
      <x:c r="E34" s="56" t="str">
        <x:v>依据培养和药敏调整抗菌药，处理结石、残余尿、糖尿病、导尿等复杂因素；持续血尿需进入完整血尿评估路径。</x:v>
      </x:c>
      <x:c r="F34" s="56" t="str">
        <x:v>按病例诊断和严重度</x:v>
      </x:c>
      <x:c r="G34" s="56" t="str">
        <x:v>完成必要诊断和分期</x:v>
      </x:c>
      <x:c r="H34" s="56" t="str">
        <x:v>待专家确认</x:v>
      </x:c>
      <x:c r="I34" s="56" t="str">
        <x:v>脓毒症或感染性梗阻未及时识别；未留取培养即长期盲目用药</x:v>
      </x:c>
      <x:c r="J34" s="56" t="str">
        <x:v>泌尿外科；感染科按需；麻醉科；若出现发热、脓毒症或肾功能恶化需ICU/介入放射科。</x:v>
      </x:c>
      <x:c r="K34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L34" s="56" t="str">
        <x:v>待专家核对</x:v>
      </x:c>
      <x:c r="M34" s="59" t="str">
        <x:v>待专家确认</x:v>
      </x:c>
    </x:row>
    <x:row r="35">
      <x:c r="A35" s="56" t="str">
        <x:v>P009</x:v>
      </x:c>
      <x:c r="B35" s="56" t="str">
        <x:v>P009</x:v>
      </x:c>
      <x:c r="C35" s="56" t="str">
        <x:v>随访与教育</x:v>
      </x:c>
      <x:c r="D35" s="56" t="str">
        <x:v>评估是否系统性感染或脓毒症；规范留取尿培养，必要时血培养，给予经验性抗感染和支持治疗。若合并梗阻，必须同步紧急引流。
依据培养和药敏调整抗菌药，处理结石、残余尿、糖尿病、导尿等复杂因素；持续血尿需进入完整血尿评估路径。</x:v>
      </x:c>
      <x:c r="E35" s="56" t="str">
        <x:v>按病情复查症状、尿常规和培养；复发感染需评估解剖和功能因素，血尿不消失时排查肿瘤、结石或肾小球病。</x:v>
      </x:c>
      <x:c r="F35" s="56" t="str">
        <x:v>按病例诊断和严重度</x:v>
      </x:c>
      <x:c r="G35" s="56" t="str">
        <x:v>完成治疗或进入观察</x:v>
      </x:c>
      <x:c r="H35" s="56" t="str">
        <x:v>待专家确认</x:v>
      </x:c>
      <x:c r="I35" s="56" t="str">
        <x:v>遗漏安全网需扣分</x:v>
      </x:c>
      <x:c r="J35" s="56" t="str">
        <x:v>泌尿外科；感染科按需；麻醉科；若出现发热、脓毒症或肾功能恶化需ICU/介入放射科。</x:v>
      </x:c>
      <x:c r="K35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L35" s="56" t="str">
        <x:v>待专家核对</x:v>
      </x:c>
      <x:c r="M35" s="59" t="str">
        <x:v>待专家确认</x:v>
      </x:c>
    </x:row>
    <x:row r="36">
      <x:c r="A36" s="56" t="str">
        <x:v>P010</x:v>
      </x:c>
      <x:c r="B36" s="56" t="str">
        <x:v>P010</x:v>
      </x:c>
      <x:c r="C36" s="56" t="str">
        <x:v>稳定措施</x:v>
      </x:c>
      <x:c r="D36" s="56" t="str">
        <x:v>评估生命体征、疼痛、感染、尿量、肾功能和梗阻；给予适当镇痛止吐。合并感染性梗阻、孤立肾或AKI时优先急诊引流。
根据结石位置、大小、密度、解剖和患者因素选择观察排石、SWL、输尿管镜或PCNL；处理相关梗阻和感染。</x:v>
      </x:c>
      <x:c r="E36" s="56" t="str">
        <x:v>评估生命体征、出血、尿潴留、感染和AKI。</x:v>
      </x:c>
      <x:c r="F36" s="56" t="str">
        <x:v>按病例诊断和严重度</x:v>
      </x:c>
      <x:c r="G36" s="56" t="str">
        <x:v>进入相应阶段</x:v>
      </x:c>
      <x:c r="H36" s="56" t="str">
        <x:v>待专家确认</x:v>
      </x:c>
      <x:c r="I36" s="56" t="str">
        <x:v>危险顺序需病例特异审核</x:v>
      </x:c>
      <x:c r="J36" s="56" t="str">
        <x:v>泌尿外科；感染科按需；麻醉科；输血科按需。</x:v>
      </x:c>
      <x:c r="K36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L36" s="56" t="str">
        <x:v>待专家核对</x:v>
      </x:c>
      <x:c r="M36" s="59" t="str">
        <x:v>待专家确认</x:v>
      </x:c>
    </x:row>
    <x:row r="37">
      <x:c r="A37" s="56" t="str">
        <x:v>P010</x:v>
      </x:c>
      <x:c r="B37" s="56" t="str">
        <x:v>P010</x:v>
      </x:c>
      <x:c r="C37" s="56" t="str">
        <x:v>急诊处理</x:v>
      </x:c>
      <x:c r="D37" s="56" t="str">
        <x:v>评估生命体征、疼痛、感染、尿量、肾功能和梗阻；给予适当镇痛止吐。合并感染性梗阻、孤立肾或AKI时优先急诊引流。
根据结石位置、大小、密度、解剖和患者因素选择观察排石、SWL、输尿管镜或PCNL；处理相关梗阻和感染。</x:v>
      </x:c>
      <x:c r="E37" s="56" t="str">
        <x:v>评估生命体征、疼痛、感染、尿量、肾功能和梗阻；给予适当镇痛止吐。合并感染性梗阻、孤立肾或AKI时优先急诊引流。</x:v>
      </x:c>
      <x:c r="F37" s="56" t="str">
        <x:v>按病例诊断和严重度</x:v>
      </x:c>
      <x:c r="G37" s="56" t="str">
        <x:v>满足急症触发条件</x:v>
      </x:c>
      <x:c r="H37" s="56" t="str">
        <x:v>待专家确认</x:v>
      </x:c>
      <x:c r="I37" s="56" t="str">
        <x:v>感染性梗阻未引流即碎石；未评估肾功能和感染</x:v>
      </x:c>
      <x:c r="J37" s="56" t="str">
        <x:v>泌尿外科；感染科按需；麻醉科；输血科按需。</x:v>
      </x:c>
      <x:c r="K37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L37" s="56" t="str">
        <x:v>待专家核对</x:v>
      </x:c>
      <x:c r="M37" s="59" t="str">
        <x:v>待专家确认</x:v>
      </x:c>
    </x:row>
    <x:row r="38">
      <x:c r="A38" s="56" t="str">
        <x:v>P010</x:v>
      </x:c>
      <x:c r="B38" s="56" t="str">
        <x:v>P010</x:v>
      </x:c>
      <x:c r="C38" s="56" t="str">
        <x:v>病因/确定性治疗</x:v>
      </x:c>
      <x:c r="D38" s="56" t="str">
        <x:v>评估生命体征、疼痛、感染、尿量、肾功能和梗阻；给予适当镇痛止吐。合并感染性梗阻、孤立肾或AKI时优先急诊引流。
根据结石位置、大小、密度、解剖和患者因素选择观察排石、SWL、输尿管镜或PCNL；处理相关梗阻和感染。</x:v>
      </x:c>
      <x:c r="E38" s="56" t="str">
        <x:v>根据结石位置、大小、密度、解剖和患者因素选择观察排石、SWL、输尿管镜或PCNL；处理相关梗阻和感染。</x:v>
      </x:c>
      <x:c r="F38" s="56" t="str">
        <x:v>按病例诊断和严重度</x:v>
      </x:c>
      <x:c r="G38" s="56" t="str">
        <x:v>完成必要诊断和分期</x:v>
      </x:c>
      <x:c r="H38" s="56" t="str">
        <x:v>待专家确认</x:v>
      </x:c>
      <x:c r="I38" s="56" t="str">
        <x:v>感染性梗阻未引流即碎石；未评估肾功能和感染</x:v>
      </x:c>
      <x:c r="J38" s="56" t="str">
        <x:v>泌尿外科；感染科按需；麻醉科；输血科按需。</x:v>
      </x:c>
      <x:c r="K38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L38" s="56" t="str">
        <x:v>待专家核对</x:v>
      </x:c>
      <x:c r="M38" s="59" t="str">
        <x:v>待专家确认</x:v>
      </x:c>
    </x:row>
    <x:row r="39">
      <x:c r="A39" s="56" t="str">
        <x:v>P010</x:v>
      </x:c>
      <x:c r="B39" s="56" t="str">
        <x:v>P010</x:v>
      </x:c>
      <x:c r="C39" s="56" t="str">
        <x:v>随访与教育</x:v>
      </x:c>
      <x:c r="D39" s="56" t="str">
        <x:v>评估生命体征、疼痛、感染、尿量、肾功能和梗阻；给予适当镇痛止吐。合并感染性梗阻、孤立肾或AKI时优先急诊引流。
根据结石位置、大小、密度、解剖和患者因素选择观察排石、SWL、输尿管镜或PCNL；处理相关梗阻和感染。</x:v>
      </x:c>
      <x:c r="E39" s="56" t="str">
        <x:v>影像确认清石和解除梗阻；进行结石成分与代谢评估，制定饮水、饮食和药物预防方案。</x:v>
      </x:c>
      <x:c r="F39" s="56" t="str">
        <x:v>按病例诊断和严重度</x:v>
      </x:c>
      <x:c r="G39" s="56" t="str">
        <x:v>完成治疗或进入观察</x:v>
      </x:c>
      <x:c r="H39" s="56" t="str">
        <x:v>待专家确认</x:v>
      </x:c>
      <x:c r="I39" s="56" t="str">
        <x:v>遗漏安全网需扣分</x:v>
      </x:c>
      <x:c r="J39" s="56" t="str">
        <x:v>泌尿外科；感染科按需；麻醉科；输血科按需。</x:v>
      </x:c>
      <x:c r="K39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L39" s="56" t="str">
        <x:v>待专家核对</x:v>
      </x:c>
      <x:c r="M39" s="59" t="str">
        <x:v>待专家确认</x:v>
      </x:c>
    </x:row>
    <x:row r="40">
      <x:c r="A40" s="56" t="str">
        <x:v>P011</x:v>
      </x:c>
      <x:c r="B40" s="56" t="str">
        <x:v>P011</x:v>
      </x:c>
      <x:c r="C40" s="56" t="str">
        <x:v>稳定措施</x:v>
      </x:c>
      <x:c r="D40" s="56" t="str">
        <x:v>评估血压、尿量、水肿、肾功能、电解质和尿蛋白；出现AKI、严重高血压、肺水肿或少尿时紧急肾内科处理。
由肾内科结合尿沉渣红细胞形态、蛋白定量、免疫学和必要时肾活检明确病理类型，实施支持治疗和病因特异治疗。</x:v>
      </x:c>
      <x:c r="E40" s="56" t="str">
        <x:v>评估生命体征、出血、尿潴留、感染和AKI。</x:v>
      </x:c>
      <x:c r="F40" s="56" t="str">
        <x:v>按病例诊断和严重度</x:v>
      </x:c>
      <x:c r="G40" s="56" t="str">
        <x:v>进入相应阶段</x:v>
      </x:c>
      <x:c r="H40" s="56" t="str">
        <x:v>待专家确认</x:v>
      </x:c>
      <x:c r="I40" s="56" t="str">
        <x:v>危险顺序需病例特异审核</x:v>
      </x:c>
      <x:c r="J40" s="56" t="str">
        <x:v>肾内科必须；儿科/儿肾科按年龄；感染科按需；风湿免疫科按需。</x:v>
      </x:c>
      <x:c r="K40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L40" s="56" t="str">
        <x:v>待专家核对</x:v>
      </x:c>
      <x:c r="M40" s="59" t="str">
        <x:v>待专家确认</x:v>
      </x:c>
    </x:row>
    <x:row r="41">
      <x:c r="A41" s="56" t="str">
        <x:v>P011</x:v>
      </x:c>
      <x:c r="B41" s="56" t="str">
        <x:v>P011</x:v>
      </x:c>
      <x:c r="C41" s="56" t="str">
        <x:v>急诊处理</x:v>
      </x:c>
      <x:c r="D41" s="56" t="str">
        <x:v>评估血压、尿量、水肿、肾功能、电解质和尿蛋白；出现AKI、严重高血压、肺水肿或少尿时紧急肾内科处理。
由肾内科结合尿沉渣红细胞形态、蛋白定量、免疫学和必要时肾活检明确病理类型，实施支持治疗和病因特异治疗。</x:v>
      </x:c>
      <x:c r="E41" s="56" t="str">
        <x:v>评估血压、尿量、水肿、肾功能、电解质和尿蛋白；出现AKI、严重高血压、肺水肿或少尿时紧急肾内科处理。</x:v>
      </x:c>
      <x:c r="F41" s="56" t="str">
        <x:v>按病例诊断和严重度</x:v>
      </x:c>
      <x:c r="G41" s="56" t="str">
        <x:v>满足急症触发条件</x:v>
      </x:c>
      <x:c r="H41" s="56" t="str">
        <x:v>待专家确认</x:v>
      </x:c>
      <x:c r="I41" s="56" t="str">
        <x:v>忽略蛋白尿、畸形红细胞或RBC管型；肾功能恶化时未触发肾内科安全网</x:v>
      </x:c>
      <x:c r="J41" s="56" t="str">
        <x:v>肾内科必须；儿科/儿肾科按年龄；感染科按需；风湿免疫科按需。</x:v>
      </x:c>
      <x:c r="K41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L41" s="56" t="str">
        <x:v>待专家核对</x:v>
      </x:c>
      <x:c r="M41" s="59" t="str">
        <x:v>待专家确认</x:v>
      </x:c>
    </x:row>
    <x:row r="42">
      <x:c r="A42" s="56" t="str">
        <x:v>P011</x:v>
      </x:c>
      <x:c r="B42" s="56" t="str">
        <x:v>P011</x:v>
      </x:c>
      <x:c r="C42" s="56" t="str">
        <x:v>病因/确定性治疗</x:v>
      </x:c>
      <x:c r="D42" s="56" t="str">
        <x:v>评估血压、尿量、水肿、肾功能、电解质和尿蛋白；出现AKI、严重高血压、肺水肿或少尿时紧急肾内科处理。
由肾内科结合尿沉渣红细胞形态、蛋白定量、免疫学和必要时肾活检明确病理类型，实施支持治疗和病因特异治疗。</x:v>
      </x:c>
      <x:c r="E42" s="56" t="str">
        <x:v>由肾内科结合尿沉渣红细胞形态、蛋白定量、免疫学和必要时肾活检明确病理类型，实施支持治疗和病因特异治疗。</x:v>
      </x:c>
      <x:c r="F42" s="56" t="str">
        <x:v>按病例诊断和严重度</x:v>
      </x:c>
      <x:c r="G42" s="56" t="str">
        <x:v>完成必要诊断和分期</x:v>
      </x:c>
      <x:c r="H42" s="56" t="str">
        <x:v>待专家确认</x:v>
      </x:c>
      <x:c r="I42" s="56" t="str">
        <x:v>忽略蛋白尿、畸形红细胞或RBC管型；肾功能恶化时未触发肾内科安全网</x:v>
      </x:c>
      <x:c r="J42" s="56" t="str">
        <x:v>肾内科必须；儿科/儿肾科按年龄；感染科按需；风湿免疫科按需。</x:v>
      </x:c>
      <x:c r="K42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L42" s="56" t="str">
        <x:v>待专家核对</x:v>
      </x:c>
      <x:c r="M42" s="59" t="str">
        <x:v>待专家确认</x:v>
      </x:c>
    </x:row>
    <x:row r="43">
      <x:c r="A43" s="56" t="str">
        <x:v>P011</x:v>
      </x:c>
      <x:c r="B43" s="56" t="str">
        <x:v>P011</x:v>
      </x:c>
      <x:c r="C43" s="56" t="str">
        <x:v>随访与教育</x:v>
      </x:c>
      <x:c r="D43" s="56" t="str">
        <x:v>评估血压、尿量、水肿、肾功能、电解质和尿蛋白；出现AKI、严重高血压、肺水肿或少尿时紧急肾内科处理。
由肾内科结合尿沉渣红细胞形态、蛋白定量、免疫学和必要时肾活检明确病理类型，实施支持治疗和病因特异治疗。</x:v>
      </x:c>
      <x:c r="E43" s="56" t="str">
        <x:v>动态复查血压、尿常规、尿蛋白定量、肌酐/eGFR和病因相关指标；教育避免肾毒性药物并识别少尿、水肿和呼吸困难。</x:v>
      </x:c>
      <x:c r="F43" s="56" t="str">
        <x:v>按病例诊断和严重度</x:v>
      </x:c>
      <x:c r="G43" s="56" t="str">
        <x:v>完成治疗或进入观察</x:v>
      </x:c>
      <x:c r="H43" s="56" t="str">
        <x:v>待专家确认</x:v>
      </x:c>
      <x:c r="I43" s="56" t="str">
        <x:v>遗漏安全网需扣分</x:v>
      </x:c>
      <x:c r="J43" s="56" t="str">
        <x:v>肾内科必须；儿科/儿肾科按年龄；感染科按需；风湿免疫科按需。</x:v>
      </x:c>
      <x:c r="K43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L43" s="56" t="str">
        <x:v>待专家核对</x:v>
      </x:c>
      <x:c r="M43" s="59" t="str">
        <x:v>待专家确认</x:v>
      </x:c>
    </x:row>
    <x:row r="44">
      <x:c r="A44" s="56" t="str">
        <x:v>P012</x:v>
      </x:c>
      <x:c r="B44" s="56" t="str">
        <x:v>P012</x:v>
      </x:c>
      <x:c r="C44" s="56" t="str">
        <x:v>稳定措施</x:v>
      </x:c>
      <x:c r="D44" s="56" t="str">
        <x:v>评估血压、尿量、水肿、肾功能、电解质和尿蛋白；出现AKI、严重高血压、肺水肿或少尿时紧急肾内科处理。
由肾内科结合尿沉渣红细胞形态、蛋白定量、免疫学和必要时肾活检明确病理类型，实施支持治疗和病因特异治疗。</x:v>
      </x:c>
      <x:c r="E44" s="56" t="str">
        <x:v>评估生命体征、出血、尿潴留、感染和AKI。</x:v>
      </x:c>
      <x:c r="F44" s="56" t="str">
        <x:v>按病例诊断和严重度</x:v>
      </x:c>
      <x:c r="G44" s="56" t="str">
        <x:v>进入相应阶段</x:v>
      </x:c>
      <x:c r="H44" s="56" t="str">
        <x:v>待专家确认</x:v>
      </x:c>
      <x:c r="I44" s="56" t="str">
        <x:v>危险顺序需病例特异审核</x:v>
      </x:c>
      <x:c r="J44" s="56" t="str">
        <x:v>肾内科必须；风湿免疫科按免疫异常；病理科参与肾活检判读。</x:v>
      </x:c>
      <x:c r="K44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L44" s="56" t="str">
        <x:v>待专家核对</x:v>
      </x:c>
      <x:c r="M44" s="59" t="str">
        <x:v>待专家确认</x:v>
      </x:c>
    </x:row>
    <x:row r="45">
      <x:c r="A45" s="56" t="str">
        <x:v>P012</x:v>
      </x:c>
      <x:c r="B45" s="56" t="str">
        <x:v>P012</x:v>
      </x:c>
      <x:c r="C45" s="56" t="str">
        <x:v>急诊处理</x:v>
      </x:c>
      <x:c r="D45" s="56" t="str">
        <x:v>评估血压、尿量、水肿、肾功能、电解质和尿蛋白；出现AKI、严重高血压、肺水肿或少尿时紧急肾内科处理。
由肾内科结合尿沉渣红细胞形态、蛋白定量、免疫学和必要时肾活检明确病理类型，实施支持治疗和病因特异治疗。</x:v>
      </x:c>
      <x:c r="E45" s="56" t="str">
        <x:v>评估血压、尿量、水肿、肾功能、电解质和尿蛋白；出现AKI、严重高血压、肺水肿或少尿时紧急肾内科处理。</x:v>
      </x:c>
      <x:c r="F45" s="56" t="str">
        <x:v>按病例诊断和严重度</x:v>
      </x:c>
      <x:c r="G45" s="56" t="str">
        <x:v>满足急症触发条件</x:v>
      </x:c>
      <x:c r="H45" s="56" t="str">
        <x:v>待专家确认</x:v>
      </x:c>
      <x:c r="I45" s="56" t="str">
        <x:v>忽略蛋白尿、畸形红细胞或RBC管型；肾功能恶化时未触发肾内科安全网</x:v>
      </x:c>
      <x:c r="J45" s="56" t="str">
        <x:v>肾内科必须；风湿免疫科按免疫异常；病理科参与肾活检判读。</x:v>
      </x:c>
      <x:c r="K45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L45" s="56" t="str">
        <x:v>待专家核对</x:v>
      </x:c>
      <x:c r="M45" s="59" t="str">
        <x:v>待专家确认</x:v>
      </x:c>
    </x:row>
    <x:row r="46">
      <x:c r="A46" s="56" t="str">
        <x:v>P012</x:v>
      </x:c>
      <x:c r="B46" s="56" t="str">
        <x:v>P012</x:v>
      </x:c>
      <x:c r="C46" s="56" t="str">
        <x:v>病因/确定性治疗</x:v>
      </x:c>
      <x:c r="D46" s="56" t="str">
        <x:v>评估血压、尿量、水肿、肾功能、电解质和尿蛋白；出现AKI、严重高血压、肺水肿或少尿时紧急肾内科处理。
由肾内科结合尿沉渣红细胞形态、蛋白定量、免疫学和必要时肾活检明确病理类型，实施支持治疗和病因特异治疗。</x:v>
      </x:c>
      <x:c r="E46" s="56" t="str">
        <x:v>由肾内科结合尿沉渣红细胞形态、蛋白定量、免疫学和必要时肾活检明确病理类型，实施支持治疗和病因特异治疗。</x:v>
      </x:c>
      <x:c r="F46" s="56" t="str">
        <x:v>按病例诊断和严重度</x:v>
      </x:c>
      <x:c r="G46" s="56" t="str">
        <x:v>完成必要诊断和分期</x:v>
      </x:c>
      <x:c r="H46" s="56" t="str">
        <x:v>待专家确认</x:v>
      </x:c>
      <x:c r="I46" s="56" t="str">
        <x:v>忽略蛋白尿、畸形红细胞或RBC管型；肾功能恶化时未触发肾内科安全网</x:v>
      </x:c>
      <x:c r="J46" s="56" t="str">
        <x:v>肾内科必须；风湿免疫科按免疫异常；病理科参与肾活检判读。</x:v>
      </x:c>
      <x:c r="K46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L46" s="56" t="str">
        <x:v>待专家核对</x:v>
      </x:c>
      <x:c r="M46" s="59" t="str">
        <x:v>待专家确认</x:v>
      </x:c>
    </x:row>
    <x:row r="47">
      <x:c r="A47" s="56" t="str">
        <x:v>P012</x:v>
      </x:c>
      <x:c r="B47" s="56" t="str">
        <x:v>P012</x:v>
      </x:c>
      <x:c r="C47" s="56" t="str">
        <x:v>随访与教育</x:v>
      </x:c>
      <x:c r="D47" s="56" t="str">
        <x:v>评估血压、尿量、水肿、肾功能、电解质和尿蛋白；出现AKI、严重高血压、肺水肿或少尿时紧急肾内科处理。
由肾内科结合尿沉渣红细胞形态、蛋白定量、免疫学和必要时肾活检明确病理类型，实施支持治疗和病因特异治疗。</x:v>
      </x:c>
      <x:c r="E47" s="56" t="str">
        <x:v>动态复查血压、尿常规、尿蛋白定量、肌酐/eGFR和病因相关指标；教育避免肾毒性药物并识别少尿、水肿和呼吸困难。</x:v>
      </x:c>
      <x:c r="F47" s="56" t="str">
        <x:v>按病例诊断和严重度</x:v>
      </x:c>
      <x:c r="G47" s="56" t="str">
        <x:v>完成治疗或进入观察</x:v>
      </x:c>
      <x:c r="H47" s="56" t="str">
        <x:v>待专家确认</x:v>
      </x:c>
      <x:c r="I47" s="56" t="str">
        <x:v>遗漏安全网需扣分</x:v>
      </x:c>
      <x:c r="J47" s="56" t="str">
        <x:v>肾内科必须；风湿免疫科按免疫异常；病理科参与肾活检判读。</x:v>
      </x:c>
      <x:c r="K47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L47" s="56" t="str">
        <x:v>待专家核对</x:v>
      </x:c>
      <x:c r="M47" s="59" t="str">
        <x:v>待专家确认</x:v>
      </x:c>
    </x:row>
    <x:row r="48">
      <x:c r="A48" s="56" t="str">
        <x:v>P013</x:v>
      </x:c>
      <x:c r="B48" s="56" t="str">
        <x:v>HX-ADD-001</x:v>
      </x:c>
      <x:c r="C48" s="56" t="str">
        <x:v>稳定措施</x:v>
      </x:c>
      <x:c r="D48" s="56" t="str">
        <x:v>评估出血程度、贫血、血块尿潴留和肾功能；尿潴留时导尿冲洗，持续活动性出血时泌尿外科急诊处理。
完成膀胱镜/输尿管镜或影像定位并取得病理，结合分期和患者状况制定内镜切除、根治性手术或系统治疗。</x:v>
      </x:c>
      <x:c r="E48" s="56" t="str">
        <x:v>评估生命体征、出血、尿潴留、感染和AKI。</x:v>
      </x:c>
      <x:c r="F48" s="56" t="str">
        <x:v>按病例诊断和严重度</x:v>
      </x:c>
      <x:c r="G48" s="56" t="str">
        <x:v>进入相应阶段</x:v>
      </x:c>
      <x:c r="H48" s="56" t="str">
        <x:v>待专家确认</x:v>
      </x:c>
      <x:c r="I48" s="56" t="str">
        <x:v>危险顺序需病例特异审核</x:v>
      </x:c>
      <x:c r="J48" s="56" t="str">
        <x:v>泌尿外科、影像科、病理科、肿瘤内科</x:v>
      </x:c>
      <x:c r="K48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L48" s="56" t="str">
        <x:v>待专家核对</x:v>
      </x:c>
      <x:c r="M48" s="59" t="str">
        <x:v>待专家确认</x:v>
      </x:c>
    </x:row>
    <x:row r="49">
      <x:c r="A49" s="56" t="str">
        <x:v>P013</x:v>
      </x:c>
      <x:c r="B49" s="56" t="str">
        <x:v>HX-ADD-001</x:v>
      </x:c>
      <x:c r="C49" s="56" t="str">
        <x:v>急诊处理</x:v>
      </x:c>
      <x:c r="D49" s="56" t="str">
        <x:v>评估出血程度、贫血、血块尿潴留和肾功能；尿潴留时导尿冲洗，持续活动性出血时泌尿外科急诊处理。
完成膀胱镜/输尿管镜或影像定位并取得病理，结合分期和患者状况制定内镜切除、根治性手术或系统治疗。</x:v>
      </x:c>
      <x:c r="E49" s="56" t="str">
        <x:v>评估出血程度、贫血、血块尿潴留和肾功能；尿潴留时导尿冲洗，持续活动性出血时泌尿外科急诊处理。</x:v>
      </x:c>
      <x:c r="F49" s="56" t="str">
        <x:v>按病例诊断和严重度</x:v>
      </x:c>
      <x:c r="G49" s="56" t="str">
        <x:v>满足急症触发条件</x:v>
      </x:c>
      <x:c r="H49" s="56" t="str">
        <x:v>待专家确认</x:v>
      </x:c>
      <x:c r="I49" s="56" t="str">
        <x:v>未取得病理和分期即实施确定性肿瘤治疗；血块尿潴留或严重出血未处理</x:v>
      </x:c>
      <x:c r="J49" s="56" t="str">
        <x:v>泌尿外科、影像科、病理科、肿瘤内科</x:v>
      </x:c>
      <x:c r="K49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L49" s="56" t="str">
        <x:v>待专家核对</x:v>
      </x:c>
      <x:c r="M49" s="59" t="str">
        <x:v>待专家确认</x:v>
      </x:c>
    </x:row>
    <x:row r="50">
      <x:c r="A50" s="56" t="str">
        <x:v>P013</x:v>
      </x:c>
      <x:c r="B50" s="56" t="str">
        <x:v>HX-ADD-001</x:v>
      </x:c>
      <x:c r="C50" s="56" t="str">
        <x:v>病因/确定性治疗</x:v>
      </x:c>
      <x:c r="D50" s="56" t="str">
        <x:v>评估出血程度、贫血、血块尿潴留和肾功能；尿潴留时导尿冲洗，持续活动性出血时泌尿外科急诊处理。
完成膀胱镜/输尿管镜或影像定位并取得病理，结合分期和患者状况制定内镜切除、根治性手术或系统治疗。</x:v>
      </x:c>
      <x:c r="E50" s="56" t="str">
        <x:v>完成膀胱镜/输尿管镜或影像定位并取得病理，结合分期和患者状况制定内镜切除、根治性手术或系统治疗。</x:v>
      </x:c>
      <x:c r="F50" s="56" t="str">
        <x:v>按病例诊断和严重度</x:v>
      </x:c>
      <x:c r="G50" s="56" t="str">
        <x:v>完成必要诊断和分期</x:v>
      </x:c>
      <x:c r="H50" s="56" t="str">
        <x:v>待专家确认</x:v>
      </x:c>
      <x:c r="I50" s="56" t="str">
        <x:v>未取得病理和分期即实施确定性肿瘤治疗；血块尿潴留或严重出血未处理</x:v>
      </x:c>
      <x:c r="J50" s="56" t="str">
        <x:v>泌尿外科、影像科、病理科、肿瘤内科</x:v>
      </x:c>
      <x:c r="K50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L50" s="56" t="str">
        <x:v>待专家核对</x:v>
      </x:c>
      <x:c r="M50" s="59" t="str">
        <x:v>待专家确认</x:v>
      </x:c>
    </x:row>
    <x:row r="51">
      <x:c r="A51" s="56" t="str">
        <x:v>P013</x:v>
      </x:c>
      <x:c r="B51" s="56" t="str">
        <x:v>HX-ADD-001</x:v>
      </x:c>
      <x:c r="C51" s="56" t="str">
        <x:v>随访与教育</x:v>
      </x:c>
      <x:c r="D51" s="56" t="str">
        <x:v>评估出血程度、贫血、血块尿潴留和肾功能；尿潴留时导尿冲洗，持续活动性出血时泌尿外科急诊处理。
完成膀胱镜/输尿管镜或影像定位并取得病理，结合分期和患者状况制定内镜切除、根治性手术或系统治疗。</x:v>
      </x:c>
      <x:c r="E51" s="56" t="str">
        <x:v>按肿瘤类型、分期和治疗方式复查尿检、膀胱镜、影像和肾功能；进行戒烟和职业暴露教育。</x:v>
      </x:c>
      <x:c r="F51" s="56" t="str">
        <x:v>按病例诊断和严重度</x:v>
      </x:c>
      <x:c r="G51" s="56" t="str">
        <x:v>完成治疗或进入观察</x:v>
      </x:c>
      <x:c r="H51" s="56" t="str">
        <x:v>待专家确认</x:v>
      </x:c>
      <x:c r="I51" s="56" t="str">
        <x:v>遗漏安全网需扣分</x:v>
      </x:c>
      <x:c r="J51" s="56" t="str">
        <x:v>泌尿外科、影像科、病理科、肿瘤内科</x:v>
      </x:c>
      <x:c r="K51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L51" s="56" t="str">
        <x:v>待专家核对</x:v>
      </x:c>
      <x:c r="M51" s="59" t="str">
        <x:v>待专家确认</x:v>
      </x:c>
    </x:row>
    <x:row r="52">
      <x:c r="A52" s="56" t="str">
        <x:v>P014</x:v>
      </x:c>
      <x:c r="B52" s="56" t="str">
        <x:v>HX-ADD-002</x:v>
      </x:c>
      <x:c r="C52" s="56" t="str">
        <x:v>稳定措施</x:v>
      </x:c>
      <x:c r="D52" s="56" t="str">
        <x:v>评估出血程度、贫血、血块尿潴留和肾功能；尿潴留时导尿冲洗，持续活动性出血时泌尿外科急诊处理。
完成膀胱镜/输尿管镜或影像定位并取得病理，结合分期和患者状况制定内镜切除、根治性手术或系统治疗。</x:v>
      </x:c>
      <x:c r="E52" s="56" t="str">
        <x:v>评估生命体征、出血、尿潴留、感染和AKI。</x:v>
      </x:c>
      <x:c r="F52" s="56" t="str">
        <x:v>按病例诊断和严重度</x:v>
      </x:c>
      <x:c r="G52" s="56" t="str">
        <x:v>进入相应阶段</x:v>
      </x:c>
      <x:c r="H52" s="56" t="str">
        <x:v>待专家确认</x:v>
      </x:c>
      <x:c r="I52" s="56" t="str">
        <x:v>危险顺序需病例特异审核</x:v>
      </x:c>
      <x:c r="J52" s="56" t="str">
        <x:v>泌尿外科、影像科、病理科、肿瘤内科</x:v>
      </x:c>
      <x:c r="K52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L52" s="56" t="str">
        <x:v>待专家核对</x:v>
      </x:c>
      <x:c r="M52" s="59" t="str">
        <x:v>待专家确认</x:v>
      </x:c>
    </x:row>
    <x:row r="53">
      <x:c r="A53" s="56" t="str">
        <x:v>P014</x:v>
      </x:c>
      <x:c r="B53" s="56" t="str">
        <x:v>HX-ADD-002</x:v>
      </x:c>
      <x:c r="C53" s="56" t="str">
        <x:v>急诊处理</x:v>
      </x:c>
      <x:c r="D53" s="56" t="str">
        <x:v>评估出血程度、贫血、血块尿潴留和肾功能；尿潴留时导尿冲洗，持续活动性出血时泌尿外科急诊处理。
完成膀胱镜/输尿管镜或影像定位并取得病理，结合分期和患者状况制定内镜切除、根治性手术或系统治疗。</x:v>
      </x:c>
      <x:c r="E53" s="56" t="str">
        <x:v>评估出血程度、贫血、血块尿潴留和肾功能；尿潴留时导尿冲洗，持续活动性出血时泌尿外科急诊处理。</x:v>
      </x:c>
      <x:c r="F53" s="56" t="str">
        <x:v>按病例诊断和严重度</x:v>
      </x:c>
      <x:c r="G53" s="56" t="str">
        <x:v>满足急症触发条件</x:v>
      </x:c>
      <x:c r="H53" s="56" t="str">
        <x:v>待专家确认</x:v>
      </x:c>
      <x:c r="I53" s="56" t="str">
        <x:v>未取得病理和分期即实施确定性肿瘤治疗；血块尿潴留或严重出血未处理</x:v>
      </x:c>
      <x:c r="J53" s="56" t="str">
        <x:v>泌尿外科、影像科、病理科、肿瘤内科</x:v>
      </x:c>
      <x:c r="K53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L53" s="56" t="str">
        <x:v>待专家核对</x:v>
      </x:c>
      <x:c r="M53" s="59" t="str">
        <x:v>待专家确认</x:v>
      </x:c>
    </x:row>
    <x:row r="54">
      <x:c r="A54" s="56" t="str">
        <x:v>P014</x:v>
      </x:c>
      <x:c r="B54" s="56" t="str">
        <x:v>HX-ADD-002</x:v>
      </x:c>
      <x:c r="C54" s="56" t="str">
        <x:v>病因/确定性治疗</x:v>
      </x:c>
      <x:c r="D54" s="56" t="str">
        <x:v>评估出血程度、贫血、血块尿潴留和肾功能；尿潴留时导尿冲洗，持续活动性出血时泌尿外科急诊处理。
完成膀胱镜/输尿管镜或影像定位并取得病理，结合分期和患者状况制定内镜切除、根治性手术或系统治疗。</x:v>
      </x:c>
      <x:c r="E54" s="56" t="str">
        <x:v>完成膀胱镜/输尿管镜或影像定位并取得病理，结合分期和患者状况制定内镜切除、根治性手术或系统治疗。</x:v>
      </x:c>
      <x:c r="F54" s="56" t="str">
        <x:v>按病例诊断和严重度</x:v>
      </x:c>
      <x:c r="G54" s="56" t="str">
        <x:v>完成必要诊断和分期</x:v>
      </x:c>
      <x:c r="H54" s="56" t="str">
        <x:v>待专家确认</x:v>
      </x:c>
      <x:c r="I54" s="56" t="str">
        <x:v>未取得病理和分期即实施确定性肿瘤治疗；血块尿潴留或严重出血未处理</x:v>
      </x:c>
      <x:c r="J54" s="56" t="str">
        <x:v>泌尿外科、影像科、病理科、肿瘤内科</x:v>
      </x:c>
      <x:c r="K54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L54" s="56" t="str">
        <x:v>待专家核对</x:v>
      </x:c>
      <x:c r="M54" s="59" t="str">
        <x:v>待专家确认</x:v>
      </x:c>
    </x:row>
    <x:row r="55">
      <x:c r="A55" s="56" t="str">
        <x:v>P014</x:v>
      </x:c>
      <x:c r="B55" s="56" t="str">
        <x:v>HX-ADD-002</x:v>
      </x:c>
      <x:c r="C55" s="56" t="str">
        <x:v>随访与教育</x:v>
      </x:c>
      <x:c r="D55" s="56" t="str">
        <x:v>评估出血程度、贫血、血块尿潴留和肾功能；尿潴留时导尿冲洗，持续活动性出血时泌尿外科急诊处理。
完成膀胱镜/输尿管镜或影像定位并取得病理，结合分期和患者状况制定内镜切除、根治性手术或系统治疗。</x:v>
      </x:c>
      <x:c r="E55" s="56" t="str">
        <x:v>按肿瘤类型、分期和治疗方式复查尿检、膀胱镜、影像和肾功能；进行戒烟和职业暴露教育。</x:v>
      </x:c>
      <x:c r="F55" s="56" t="str">
        <x:v>按病例诊断和严重度</x:v>
      </x:c>
      <x:c r="G55" s="56" t="str">
        <x:v>完成治疗或进入观察</x:v>
      </x:c>
      <x:c r="H55" s="56" t="str">
        <x:v>待专家确认</x:v>
      </x:c>
      <x:c r="I55" s="56" t="str">
        <x:v>遗漏安全网需扣分</x:v>
      </x:c>
      <x:c r="J55" s="56" t="str">
        <x:v>泌尿外科、影像科、病理科、肿瘤内科</x:v>
      </x:c>
      <x:c r="K55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L55" s="56" t="str">
        <x:v>待专家核对</x:v>
      </x:c>
      <x:c r="M55" s="59" t="str">
        <x:v>待专家确认</x:v>
      </x:c>
    </x:row>
    <x:row r="56">
      <x:c r="A56" s="56" t="str">
        <x:v>P015</x:v>
      </x:c>
      <x:c r="B56" s="56" t="str">
        <x:v>HX-ADD-003</x:v>
      </x:c>
      <x:c r="C56" s="56" t="str">
        <x:v>稳定措施</x:v>
      </x:c>
      <x:c r="D56" s="56" t="str">
        <x:v>评估出血程度、贫血、血块尿潴留和肾功能；尿潴留时导尿冲洗，持续活动性出血时泌尿外科急诊处理。
完成膀胱镜/输尿管镜或影像定位并取得病理，结合分期和患者状况制定内镜切除、根治性手术或系统治疗。</x:v>
      </x:c>
      <x:c r="E56" s="56" t="str">
        <x:v>评估生命体征、出血、尿潴留、感染和AKI。</x:v>
      </x:c>
      <x:c r="F56" s="56" t="str">
        <x:v>按病例诊断和严重度</x:v>
      </x:c>
      <x:c r="G56" s="56" t="str">
        <x:v>进入相应阶段</x:v>
      </x:c>
      <x:c r="H56" s="56" t="str">
        <x:v>待专家确认</x:v>
      </x:c>
      <x:c r="I56" s="56" t="str">
        <x:v>危险顺序需病例特异审核</x:v>
      </x:c>
      <x:c r="J56" s="56" t="str">
        <x:v>泌尿外科、影像科、病理科、肿瘤内科</x:v>
      </x:c>
      <x:c r="K56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L56" s="56" t="str">
        <x:v>待专家核对</x:v>
      </x:c>
      <x:c r="M56" s="59" t="str">
        <x:v>待专家确认</x:v>
      </x:c>
    </x:row>
    <x:row r="57">
      <x:c r="A57" s="56" t="str">
        <x:v>P015</x:v>
      </x:c>
      <x:c r="B57" s="56" t="str">
        <x:v>HX-ADD-003</x:v>
      </x:c>
      <x:c r="C57" s="56" t="str">
        <x:v>急诊处理</x:v>
      </x:c>
      <x:c r="D57" s="56" t="str">
        <x:v>评估出血程度、贫血、血块尿潴留和肾功能；尿潴留时导尿冲洗，持续活动性出血时泌尿外科急诊处理。
完成膀胱镜/输尿管镜或影像定位并取得病理，结合分期和患者状况制定内镜切除、根治性手术或系统治疗。</x:v>
      </x:c>
      <x:c r="E57" s="56" t="str">
        <x:v>评估出血程度、贫血、血块尿潴留和肾功能；尿潴留时导尿冲洗，持续活动性出血时泌尿外科急诊处理。</x:v>
      </x:c>
      <x:c r="F57" s="56" t="str">
        <x:v>按病例诊断和严重度</x:v>
      </x:c>
      <x:c r="G57" s="56" t="str">
        <x:v>满足急症触发条件</x:v>
      </x:c>
      <x:c r="H57" s="56" t="str">
        <x:v>待专家确认</x:v>
      </x:c>
      <x:c r="I57" s="56" t="str">
        <x:v>未取得病理和分期即实施确定性肿瘤治疗；血块尿潴留或严重出血未处理</x:v>
      </x:c>
      <x:c r="J57" s="56" t="str">
        <x:v>泌尿外科、影像科、病理科、肿瘤内科</x:v>
      </x:c>
      <x:c r="K57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L57" s="56" t="str">
        <x:v>待专家核对</x:v>
      </x:c>
      <x:c r="M57" s="59" t="str">
        <x:v>待专家确认</x:v>
      </x:c>
    </x:row>
    <x:row r="58">
      <x:c r="A58" s="56" t="str">
        <x:v>P015</x:v>
      </x:c>
      <x:c r="B58" s="56" t="str">
        <x:v>HX-ADD-003</x:v>
      </x:c>
      <x:c r="C58" s="56" t="str">
        <x:v>病因/确定性治疗</x:v>
      </x:c>
      <x:c r="D58" s="56" t="str">
        <x:v>评估出血程度、贫血、血块尿潴留和肾功能；尿潴留时导尿冲洗，持续活动性出血时泌尿外科急诊处理。
完成膀胱镜/输尿管镜或影像定位并取得病理，结合分期和患者状况制定内镜切除、根治性手术或系统治疗。</x:v>
      </x:c>
      <x:c r="E58" s="56" t="str">
        <x:v>完成膀胱镜/输尿管镜或影像定位并取得病理，结合分期和患者状况制定内镜切除、根治性手术或系统治疗。</x:v>
      </x:c>
      <x:c r="F58" s="56" t="str">
        <x:v>按病例诊断和严重度</x:v>
      </x:c>
      <x:c r="G58" s="56" t="str">
        <x:v>完成必要诊断和分期</x:v>
      </x:c>
      <x:c r="H58" s="56" t="str">
        <x:v>待专家确认</x:v>
      </x:c>
      <x:c r="I58" s="56" t="str">
        <x:v>未取得病理和分期即实施确定性肿瘤治疗；血块尿潴留或严重出血未处理</x:v>
      </x:c>
      <x:c r="J58" s="56" t="str">
        <x:v>泌尿外科、影像科、病理科、肿瘤内科</x:v>
      </x:c>
      <x:c r="K58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L58" s="56" t="str">
        <x:v>待专家核对</x:v>
      </x:c>
      <x:c r="M58" s="59" t="str">
        <x:v>待专家确认</x:v>
      </x:c>
    </x:row>
    <x:row r="59">
      <x:c r="A59" s="56" t="str">
        <x:v>P015</x:v>
      </x:c>
      <x:c r="B59" s="56" t="str">
        <x:v>HX-ADD-003</x:v>
      </x:c>
      <x:c r="C59" s="56" t="str">
        <x:v>随访与教育</x:v>
      </x:c>
      <x:c r="D59" s="56" t="str">
        <x:v>评估出血程度、贫血、血块尿潴留和肾功能；尿潴留时导尿冲洗，持续活动性出血时泌尿外科急诊处理。
完成膀胱镜/输尿管镜或影像定位并取得病理，结合分期和患者状况制定内镜切除、根治性手术或系统治疗。</x:v>
      </x:c>
      <x:c r="E59" s="56" t="str">
        <x:v>按肿瘤类型、分期和治疗方式复查尿检、膀胱镜、影像和肾功能；进行戒烟和职业暴露教育。</x:v>
      </x:c>
      <x:c r="F59" s="56" t="str">
        <x:v>按病例诊断和严重度</x:v>
      </x:c>
      <x:c r="G59" s="56" t="str">
        <x:v>完成治疗或进入观察</x:v>
      </x:c>
      <x:c r="H59" s="56" t="str">
        <x:v>待专家确认</x:v>
      </x:c>
      <x:c r="I59" s="56" t="str">
        <x:v>遗漏安全网需扣分</x:v>
      </x:c>
      <x:c r="J59" s="56" t="str">
        <x:v>泌尿外科、影像科、病理科、肿瘤内科</x:v>
      </x:c>
      <x:c r="K59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L59" s="56" t="str">
        <x:v>待专家核对</x:v>
      </x:c>
      <x:c r="M59" s="59" t="str">
        <x:v>待专家确认</x:v>
      </x:c>
    </x:row>
    <x:row r="60">
      <x:c r="A60" s="56" t="str">
        <x:v>P016</x:v>
      </x:c>
      <x:c r="B60" s="56" t="str">
        <x:v>HX-ADD-004</x:v>
      </x:c>
      <x:c r="C60" s="56" t="str">
        <x:v>病因/确定性治疗</x:v>
      </x:c>
      <x:c r="D60" s="56" t="str">
        <x:v>评估出血程度、贫血、血块尿潴留和肾功能；尿潴留时导尿冲洗，持续活动性出血时泌尿外科急诊处理。
完成膀胱镜/输尿管镜或影像定位并取得病理，结合分期和患者状况制定内镜切除、根治性手术或系统治疗。</x:v>
      </x:c>
      <x:c r="E60" s="56" t="str">
        <x:v>依据肾脏多期增强影像完成分期；按肿瘤大小、分期、肾功能和患者因素选择部分或根治性肾切除。</x:v>
      </x:c>
      <x:c r="F60" s="56" t="str">
        <x:v>按病例诊断和严重度</x:v>
      </x:c>
      <x:c r="G60" s="56" t="str">
        <x:v>完成分期和手术风险评估</x:v>
      </x:c>
      <x:c r="H60" s="56" t="str">
        <x:v>待专家确认</x:v>
      </x:c>
      <x:c r="I60" s="56" t="str">
        <x:v>未完成必要分期不得直接确定治疗</x:v>
      </x:c>
      <x:c r="J60" s="56" t="str">
        <x:v>泌尿外科、影像科、病理科、肿瘤内科</x:v>
      </x:c>
      <x:c r="K60" s="56" t="str">
        <x:v>https://uroweb.org/guidelines/renal-cell-carcinoma</x:v>
      </x:c>
      <x:c r="L60" s="56" t="str">
        <x:v>Disease management</x:v>
      </x:c>
      <x:c r="M60" s="59" t="str">
        <x:v>待专家确认</x:v>
      </x:c>
    </x:row>
    <x:row r="61">
      <x:c r="A61" s="56" t="str">
        <x:v>P016</x:v>
      </x:c>
      <x:c r="B61" s="56" t="str">
        <x:v>HX-ADD-004</x:v>
      </x:c>
      <x:c r="C61" s="56" t="str">
        <x:v>穿刺/系统治疗</x:v>
      </x:c>
      <x:c r="D61" s="56" t="str">
        <x:v>评估出血程度、贫血、血块尿潴留和肾功能；尿潴留时导尿冲洗，持续活动性出血时泌尿外科急诊处理。
完成膀胱镜/输尿管镜或影像定位并取得病理，结合分期和患者状况制定内镜切除、根治性手术或系统治疗。</x:v>
      </x:c>
      <x:c r="E61" s="56" t="str">
        <x:v>仅当病理结果会改变消融、系统治疗或主动监测决策时考虑穿刺。</x:v>
      </x:c>
      <x:c r="F61" s="56" t="str">
        <x:v>按病例诊断和严重度</x:v>
      </x:c>
      <x:c r="G61" s="56" t="str">
        <x:v>结果将改变治疗</x:v>
      </x:c>
      <x:c r="H61" s="56" t="str">
        <x:v>待专家确认</x:v>
      </x:c>
      <x:c r="I61" s="56" t="str">
        <x:v>不得把穿刺设为所有RCC必经步骤</x:v>
      </x:c>
      <x:c r="J61" s="56" t="str">
        <x:v>泌尿外科、影像科、病理科、肿瘤内科</x:v>
      </x:c>
      <x:c r="K61" s="56" t="str">
        <x:v>https://uroweb.org/guidelines/renal-cell-carcinoma</x:v>
      </x:c>
      <x:c r="L61" s="56" t="str">
        <x:v>Renal tumour biopsy</x:v>
      </x:c>
      <x:c r="M61" s="59" t="str">
        <x:v>待专家确认</x:v>
      </x:c>
    </x:row>
    <x:row r="62">
      <x:c r="A62" s="56" t="str">
        <x:v>P017</x:v>
      </x:c>
      <x:c r="B62" s="56" t="str">
        <x:v>HX-ADD-005</x:v>
      </x:c>
      <x:c r="C62" s="56" t="str">
        <x:v>稳定措施</x:v>
      </x:c>
      <x:c r="D62" s="56" t="str">
        <x:v>评估生命体征、血红蛋白、凝血和肾功能；根据出血严重度处理血块尿潴留。核实抗凝指征并与相关专科共同评估停药或调整，不能自行把血尿归因于抗凝药。
完成风险分层的泌尿系器质性病变评估；治疗明确病因。围操作期抗栓方案由泌尿外科、心内科/神经内科、血液科和麻醉科共同决定。</x:v>
      </x:c>
      <x:c r="E62" s="56" t="str">
        <x:v>评估生命体征、出血、尿潴留、感染和AKI。</x:v>
      </x:c>
      <x:c r="F62" s="56" t="str">
        <x:v>按病例诊断和严重度</x:v>
      </x:c>
      <x:c r="G62" s="56" t="str">
        <x:v>进入相应阶段</x:v>
      </x:c>
      <x:c r="H62" s="56" t="str">
        <x:v>待专家确认</x:v>
      </x:c>
      <x:c r="I62" s="56" t="str">
        <x:v>危险顺序需病例特异审核</x:v>
      </x:c>
      <x:c r="J62" s="56" t="str">
        <x:v>泌尿外科</x:v>
      </x:c>
      <x:c r="K62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L62" s="56" t="str">
        <x:v>待专家核对</x:v>
      </x:c>
      <x:c r="M62" s="59" t="str">
        <x:v>待专家确认</x:v>
      </x:c>
    </x:row>
    <x:row r="63">
      <x:c r="A63" s="56" t="str">
        <x:v>P017</x:v>
      </x:c>
      <x:c r="B63" s="56" t="str">
        <x:v>HX-ADD-005</x:v>
      </x:c>
      <x:c r="C63" s="56" t="str">
        <x:v>急诊处理</x:v>
      </x:c>
      <x:c r="D63" s="56" t="str">
        <x:v>评估生命体征、血红蛋白、凝血和肾功能；根据出血严重度处理血块尿潴留。核实抗凝指征并与相关专科共同评估停药或调整，不能自行把血尿归因于抗凝药。
完成风险分层的泌尿系器质性病变评估；治疗明确病因。围操作期抗栓方案由泌尿外科、心内科/神经内科、血液科和麻醉科共同决定。</x:v>
      </x:c>
      <x:c r="E63" s="56" t="str">
        <x:v>评估生命体征、血红蛋白、凝血和肾功能；根据出血严重度处理血块尿潴留。核实抗凝指征并与相关专科共同评估停药或调整，不能自行把血尿归因于抗凝药。</x:v>
      </x:c>
      <x:c r="F63" s="56" t="str">
        <x:v>按病例诊断和严重度</x:v>
      </x:c>
      <x:c r="G63" s="56" t="str">
        <x:v>满足急症触发条件</x:v>
      </x:c>
      <x:c r="H63" s="56" t="str">
        <x:v>待专家确认</x:v>
      </x:c>
      <x:c r="I63" s="56" t="str">
        <x:v>将抗凝或抗血小板药作为血尿唯一解释；未评估血栓风险即自行停药</x:v>
      </x:c>
      <x:c r="J63" s="56" t="str">
        <x:v>泌尿外科</x:v>
      </x:c>
      <x:c r="K63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L63" s="56" t="str">
        <x:v>待专家核对</x:v>
      </x:c>
      <x:c r="M63" s="59" t="str">
        <x:v>待专家确认</x:v>
      </x:c>
    </x:row>
    <x:row r="64">
      <x:c r="A64" s="56" t="str">
        <x:v>P017</x:v>
      </x:c>
      <x:c r="B64" s="56" t="str">
        <x:v>HX-ADD-005</x:v>
      </x:c>
      <x:c r="C64" s="56" t="str">
        <x:v>病因/确定性治疗</x:v>
      </x:c>
      <x:c r="D64" s="56" t="str">
        <x:v>评估生命体征、血红蛋白、凝血和肾功能；根据出血严重度处理血块尿潴留。核实抗凝指征并与相关专科共同评估停药或调整，不能自行把血尿归因于抗凝药。
完成风险分层的泌尿系器质性病变评估；治疗明确病因。围操作期抗栓方案由泌尿外科、心内科/神经内科、血液科和麻醉科共同决定。</x:v>
      </x:c>
      <x:c r="E64" s="56" t="str">
        <x:v>完成风险分层的泌尿系器质性病变评估；治疗明确病因。围操作期抗栓方案由泌尿外科、心内科/神经内科、血液科和麻醉科共同决定。</x:v>
      </x:c>
      <x:c r="F64" s="56" t="str">
        <x:v>按病例诊断和严重度</x:v>
      </x:c>
      <x:c r="G64" s="56" t="str">
        <x:v>完成必要诊断和分期</x:v>
      </x:c>
      <x:c r="H64" s="56" t="str">
        <x:v>待专家确认</x:v>
      </x:c>
      <x:c r="I64" s="56" t="str">
        <x:v>将抗凝或抗血小板药作为血尿唯一解释；未评估血栓风险即自行停药</x:v>
      </x:c>
      <x:c r="J64" s="56" t="str">
        <x:v>泌尿外科</x:v>
      </x:c>
      <x:c r="K64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L64" s="56" t="str">
        <x:v>待专家核对</x:v>
      </x:c>
      <x:c r="M64" s="59" t="str">
        <x:v>待专家确认</x:v>
      </x:c>
    </x:row>
    <x:row r="65">
      <x:c r="A65" s="56" t="str">
        <x:v>P017</x:v>
      </x:c>
      <x:c r="B65" s="56" t="str">
        <x:v>HX-ADD-005</x:v>
      </x:c>
      <x:c r="C65" s="56" t="str">
        <x:v>随访与教育</x:v>
      </x:c>
      <x:c r="D65" s="56" t="str">
        <x:v>评估生命体征、血红蛋白、凝血和肾功能；根据出血严重度处理血块尿潴留。核实抗凝指征并与相关专科共同评估停药或调整，不能自行把血尿归因于抗凝药。
完成风险分层的泌尿系器质性病变评估；治疗明确病因。围操作期抗栓方案由泌尿外科、心内科/神经内科、血液科和麻醉科共同决定。</x:v>
      </x:c>
      <x:c r="E65" s="56" t="str">
        <x:v>复查尿常规、血常规和肾功能；按病因随访，教育患者出现大量血尿、血块、尿潴留或头晕乏力时立即就诊。</x:v>
      </x:c>
      <x:c r="F65" s="56" t="str">
        <x:v>按病例诊断和严重度</x:v>
      </x:c>
      <x:c r="G65" s="56" t="str">
        <x:v>完成治疗或进入观察</x:v>
      </x:c>
      <x:c r="H65" s="56" t="str">
        <x:v>待专家确认</x:v>
      </x:c>
      <x:c r="I65" s="56" t="str">
        <x:v>遗漏安全网需扣分</x:v>
      </x:c>
      <x:c r="J65" s="56" t="str">
        <x:v>泌尿外科</x:v>
      </x:c>
      <x:c r="K65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L65" s="56" t="str">
        <x:v>待专家核对</x:v>
      </x:c>
      <x:c r="M65" s="59" t="str">
        <x:v>待专家确认</x:v>
      </x:c>
    </x:row>
    <x:row r="66">
      <x:c r="A66" s="56" t="str">
        <x:v>P018</x:v>
      </x:c>
      <x:c r="B66" s="56" t="str">
        <x:v>HX-ADD-006</x:v>
      </x:c>
      <x:c r="C66" s="56" t="str">
        <x:v>经验治疗</x:v>
      </x:c>
      <x:c r="D66" s="56" t="str">
        <x:v>评估是否系统性感染或脓毒症；规范留取尿培养，必要时血培养，给予经验性抗感染和支持治疗。若合并梗阻，必须同步紧急引流。
依据培养和药敏调整抗菌药，处理结石、残余尿、糖尿病、导尿等复杂因素；持续血尿需进入完整血尿评估路径。</x:v>
      </x:c>
      <x:c r="E66" s="56" t="str">
        <x:v>按局限性膀胱炎路径选择抗菌药；出现系统症状或复杂因素时升级评估。</x:v>
      </x:c>
      <x:c r="F66" s="56" t="str">
        <x:v>按病例诊断和严重度</x:v>
      </x:c>
      <x:c r="G66" s="56" t="str">
        <x:v>确认局限性或系统性UTI</x:v>
      </x:c>
      <x:c r="H66" s="56" t="str">
        <x:v>待专家确认</x:v>
      </x:c>
      <x:c r="I66" s="56" t="str">
        <x:v>不得把PCT等系统感染项目默认必开</x:v>
      </x:c>
      <x:c r="J66" s="56" t="str">
        <x:v>泌尿外科、感染科</x:v>
      </x:c>
      <x:c r="K66" s="56" t="str">
        <x:v>https://uroweb.org/guidelines/urological-infections</x:v>
      </x:c>
      <x:c r="L66" s="56" t="str">
        <x:v>Cystitis</x:v>
      </x:c>
      <x:c r="M66" s="59" t="str">
        <x:v>待专家确认</x:v>
      </x:c>
    </x:row>
    <x:row r="67">
      <x:c r="A67" s="56" t="str">
        <x:v>P018</x:v>
      </x:c>
      <x:c r="B67" s="56" t="str">
        <x:v>HX-ADD-006</x:v>
      </x:c>
      <x:c r="C67" s="56" t="str">
        <x:v>随访</x:v>
      </x:c>
      <x:c r="D67" s="56" t="str">
        <x:v>评估是否系统性感染或脓毒症；规范留取尿培养，必要时血培养，给予经验性抗感染和支持治疗。若合并梗阻，必须同步紧急引流。
依据培养和药敏调整抗菌药，处理结石、残余尿、糖尿病、导尿等复杂因素；持续血尿需进入完整血尿评估路径。</x:v>
      </x:c>
      <x:c r="E67" s="56" t="str">
        <x:v>治疗后持续血尿应复查尿常规并进入进一步血尿评估。</x:v>
      </x:c>
      <x:c r="F67" s="56" t="str">
        <x:v>按病例诊断和严重度</x:v>
      </x:c>
      <x:c r="G67" s="56" t="str">
        <x:v>感染症状缓解</x:v>
      </x:c>
      <x:c r="H67" s="56" t="str">
        <x:v>待专家确认</x:v>
      </x:c>
      <x:c r="I67" s="56" t="str">
        <x:v>持续血尿不得继续仅归因于感染</x:v>
      </x:c>
      <x:c r="J67" s="56" t="str">
        <x:v>泌尿外科、感染科</x:v>
      </x:c>
      <x:c r="K67" s="56" t="str">
        <x:v>https://www.auanet.org/guidelines-and-quality/guidelines/microhematuria</x:v>
      </x:c>
      <x:c r="L67" s="56" t="str">
        <x:v>Initial evaluation</x:v>
      </x:c>
      <x:c r="M67" s="59" t="str">
        <x:v>待专家确认</x:v>
      </x:c>
    </x:row>
    <x:row r="68">
      <x:c r="A68" s="56" t="str">
        <x:v>P019</x:v>
      </x:c>
      <x:c r="B68" s="56" t="str">
        <x:v>HX-ADD-007</x:v>
      </x:c>
      <x:c r="C68" s="56" t="str">
        <x:v>稳定措施</x:v>
      </x:c>
      <x:c r="D68" s="56" t="str">
        <x:v>评估是否系统性感染或脓毒症；规范留取尿培养，必要时血培养，给予经验性抗感染和支持治疗。若合并梗阻，必须同步紧急引流。
依据培养和药敏调整抗菌药，处理结石、残余尿、糖尿病、导尿等复杂因素；持续血尿需进入完整血尿评估路径。</x:v>
      </x:c>
      <x:c r="E68" s="56" t="str">
        <x:v>评估生命体征、出血、尿潴留、感染和AKI。</x:v>
      </x:c>
      <x:c r="F68" s="56" t="str">
        <x:v>按病例诊断和严重度</x:v>
      </x:c>
      <x:c r="G68" s="56" t="str">
        <x:v>进入相应阶段</x:v>
      </x:c>
      <x:c r="H68" s="56" t="str">
        <x:v>待专家确认</x:v>
      </x:c>
      <x:c r="I68" s="56" t="str">
        <x:v>危险顺序需病例特异审核</x:v>
      </x:c>
      <x:c r="J68" s="56" t="str">
        <x:v>泌尿外科、感染科</x:v>
      </x:c>
      <x:c r="K68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L68" s="56" t="str">
        <x:v>待专家核对</x:v>
      </x:c>
      <x:c r="M68" s="59" t="str">
        <x:v>待专家确认</x:v>
      </x:c>
    </x:row>
    <x:row r="69">
      <x:c r="A69" s="56" t="str">
        <x:v>P019</x:v>
      </x:c>
      <x:c r="B69" s="56" t="str">
        <x:v>HX-ADD-007</x:v>
      </x:c>
      <x:c r="C69" s="56" t="str">
        <x:v>急诊处理</x:v>
      </x:c>
      <x:c r="D69" s="56" t="str">
        <x:v>评估是否系统性感染或脓毒症；规范留取尿培养，必要时血培养，给予经验性抗感染和支持治疗。若合并梗阻，必须同步紧急引流。
依据培养和药敏调整抗菌药，处理结石、残余尿、糖尿病、导尿等复杂因素；持续血尿需进入完整血尿评估路径。</x:v>
      </x:c>
      <x:c r="E69" s="56" t="str">
        <x:v>评估是否系统性感染或脓毒症；规范留取尿培养，必要时血培养，给予经验性抗感染和支持治疗。若合并梗阻，必须同步紧急引流。</x:v>
      </x:c>
      <x:c r="F69" s="56" t="str">
        <x:v>按病例诊断和严重度</x:v>
      </x:c>
      <x:c r="G69" s="56" t="str">
        <x:v>满足急症触发条件</x:v>
      </x:c>
      <x:c r="H69" s="56" t="str">
        <x:v>待专家确认</x:v>
      </x:c>
      <x:c r="I69" s="56" t="str">
        <x:v>脓毒症或感染性梗阻未及时识别；未留取培养即长期盲目用药</x:v>
      </x:c>
      <x:c r="J69" s="56" t="str">
        <x:v>泌尿外科、感染科</x:v>
      </x:c>
      <x:c r="K69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L69" s="56" t="str">
        <x:v>待专家核对</x:v>
      </x:c>
      <x:c r="M69" s="59" t="str">
        <x:v>待专家确认</x:v>
      </x:c>
    </x:row>
    <x:row r="70">
      <x:c r="A70" s="56" t="str">
        <x:v>P019</x:v>
      </x:c>
      <x:c r="B70" s="56" t="str">
        <x:v>HX-ADD-007</x:v>
      </x:c>
      <x:c r="C70" s="56" t="str">
        <x:v>病因/确定性治疗</x:v>
      </x:c>
      <x:c r="D70" s="56" t="str">
        <x:v>评估是否系统性感染或脓毒症；规范留取尿培养，必要时血培养，给予经验性抗感染和支持治疗。若合并梗阻，必须同步紧急引流。
依据培养和药敏调整抗菌药，处理结石、残余尿、糖尿病、导尿等复杂因素；持续血尿需进入完整血尿评估路径。</x:v>
      </x:c>
      <x:c r="E70" s="56" t="str">
        <x:v>依据培养和药敏调整抗菌药，处理结石、残余尿、糖尿病、导尿等复杂因素；持续血尿需进入完整血尿评估路径。</x:v>
      </x:c>
      <x:c r="F70" s="56" t="str">
        <x:v>按病例诊断和严重度</x:v>
      </x:c>
      <x:c r="G70" s="56" t="str">
        <x:v>完成必要诊断和分期</x:v>
      </x:c>
      <x:c r="H70" s="56" t="str">
        <x:v>待专家确认</x:v>
      </x:c>
      <x:c r="I70" s="56" t="str">
        <x:v>脓毒症或感染性梗阻未及时识别；未留取培养即长期盲目用药</x:v>
      </x:c>
      <x:c r="J70" s="56" t="str">
        <x:v>泌尿外科、感染科</x:v>
      </x:c>
      <x:c r="K70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L70" s="56" t="str">
        <x:v>待专家核对</x:v>
      </x:c>
      <x:c r="M70" s="59" t="str">
        <x:v>待专家确认</x:v>
      </x:c>
    </x:row>
    <x:row r="71">
      <x:c r="A71" s="56" t="str">
        <x:v>P019</x:v>
      </x:c>
      <x:c r="B71" s="56" t="str">
        <x:v>HX-ADD-007</x:v>
      </x:c>
      <x:c r="C71" s="56" t="str">
        <x:v>随访与教育</x:v>
      </x:c>
      <x:c r="D71" s="56" t="str">
        <x:v>评估是否系统性感染或脓毒症；规范留取尿培养，必要时血培养，给予经验性抗感染和支持治疗。若合并梗阻，必须同步紧急引流。
依据培养和药敏调整抗菌药，处理结石、残余尿、糖尿病、导尿等复杂因素；持续血尿需进入完整血尿评估路径。</x:v>
      </x:c>
      <x:c r="E71" s="56" t="str">
        <x:v>按病情复查症状、尿常规和培养；复发感染需评估解剖和功能因素，血尿不消失时排查肿瘤、结石或肾小球病。</x:v>
      </x:c>
      <x:c r="F71" s="56" t="str">
        <x:v>按病例诊断和严重度</x:v>
      </x:c>
      <x:c r="G71" s="56" t="str">
        <x:v>完成治疗或进入观察</x:v>
      </x:c>
      <x:c r="H71" s="56" t="str">
        <x:v>待专家确认</x:v>
      </x:c>
      <x:c r="I71" s="56" t="str">
        <x:v>遗漏安全网需扣分</x:v>
      </x:c>
      <x:c r="J71" s="56" t="str">
        <x:v>泌尿外科、感染科</x:v>
      </x:c>
      <x:c r="K71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L71" s="56" t="str">
        <x:v>待专家核对</x:v>
      </x:c>
      <x:c r="M71" s="59" t="str">
        <x:v>待专家确认</x:v>
      </x:c>
    </x:row>
    <x:row r="72">
      <x:c r="A72" s="56" t="str">
        <x:v>P020</x:v>
      </x:c>
      <x:c r="B72" s="56" t="str">
        <x:v>HX-ADD-008</x:v>
      </x:c>
      <x:c r="C72" s="56" t="str">
        <x:v>即时处理</x:v>
      </x:c>
      <x:c r="D72" s="56" t="str">
        <x:v>评估是否系统性感染或脓毒症；规范留取尿培养，必要时血培养，给予经验性抗感染和支持治疗。若合并梗阻，必须同步紧急引流。
依据培养和药敏调整抗菌药，处理结石、残余尿、糖尿病、导尿等复杂因素；持续血尿需进入完整血尿评估路径。</x:v>
      </x:c>
      <x:c r="E72" s="56" t="str">
        <x:v>评估脓毒症和尿潴留；必要时泌尿外科处理引流。</x:v>
      </x:c>
      <x:c r="F72" s="56" t="str">
        <x:v>按病例诊断和严重度</x:v>
      </x:c>
      <x:c r="G72" s="56" t="str">
        <x:v>生命体征和残余尿评估</x:v>
      </x:c>
      <x:c r="H72" s="56" t="str">
        <x:v>待专家确认</x:v>
      </x:c>
      <x:c r="I72" s="56" t="str">
        <x:v>禁止用力前列腺按摩</x:v>
      </x:c>
      <x:c r="J72" s="56" t="str">
        <x:v>泌尿外科、感染科</x:v>
      </x:c>
      <x:c r="K72" s="56" t="str">
        <x:v>https://uroweb.org/guidelines/urological-infections</x:v>
      </x:c>
      <x:c r="L72" s="56" t="str">
        <x:v>Bacterial prostatitis</x:v>
      </x:c>
      <x:c r="M72" s="59" t="str">
        <x:v>待专家确认</x:v>
      </x:c>
    </x:row>
    <x:row r="73">
      <x:c r="A73" s="56" t="str">
        <x:v>P020</x:v>
      </x:c>
      <x:c r="B73" s="56" t="str">
        <x:v>HX-ADD-008</x:v>
      </x:c>
      <x:c r="C73" s="56" t="str">
        <x:v>病因治疗</x:v>
      </x:c>
      <x:c r="D73" s="56" t="str">
        <x:v>评估是否系统性感染或脓毒症；规范留取尿培养，必要时血培养，给予经验性抗感染和支持治疗。若合并梗阻，必须同步紧急引流。
依据培养和药敏调整抗菌药，处理结石、残余尿、糖尿病、导尿等复杂因素；持续血尿需进入完整血尿评估路径。</x:v>
      </x:c>
      <x:c r="E73" s="56" t="str">
        <x:v>留取尿培养后给予适当抗菌治疗；持续发热或疗效差时评估前列腺脓肿。</x:v>
      </x:c>
      <x:c r="F73" s="56" t="str">
        <x:v>按病例诊断和严重度</x:v>
      </x:c>
      <x:c r="G73" s="56" t="str">
        <x:v>培养及严重度评估</x:v>
      </x:c>
      <x:c r="H73" s="56" t="str">
        <x:v>待专家确认</x:v>
      </x:c>
      <x:c r="I73" s="56" t="str">
        <x:v>不得延误脓毒症处理</x:v>
      </x:c>
      <x:c r="J73" s="56" t="str">
        <x:v>泌尿外科、感染科</x:v>
      </x:c>
      <x:c r="K73" s="56" t="str">
        <x:v>https://uroweb.org/guidelines/urological-infections</x:v>
      </x:c>
      <x:c r="L73" s="56" t="str">
        <x:v>Bacterial prostatitis</x:v>
      </x:c>
      <x:c r="M73" s="59" t="str">
        <x:v>待专家确认</x:v>
      </x:c>
    </x:row>
    <x:row r="74">
      <x:c r="A74" s="56" t="str">
        <x:v>P021</x:v>
      </x:c>
      <x:c r="B74" s="56" t="str">
        <x:v>HX-ADD-009</x:v>
      </x:c>
      <x:c r="C74" s="56" t="str">
        <x:v>稳定措施</x:v>
      </x:c>
      <x:c r="D74" s="56" t="str">
        <x:v>评估是否系统性感染或脓毒症；规范留取尿培养，必要时血培养，给予经验性抗感染和支持治疗。若合并梗阻，必须同步紧急引流。
依据培养和药敏调整抗菌药，处理结石、残余尿、糖尿病、导尿等复杂因素；持续血尿需进入完整血尿评估路径。</x:v>
      </x:c>
      <x:c r="E74" s="56" t="str">
        <x:v>评估生命体征、出血、尿潴留、感染和AKI。</x:v>
      </x:c>
      <x:c r="F74" s="56" t="str">
        <x:v>按病例诊断和严重度</x:v>
      </x:c>
      <x:c r="G74" s="56" t="str">
        <x:v>进入相应阶段</x:v>
      </x:c>
      <x:c r="H74" s="56" t="str">
        <x:v>待专家确认</x:v>
      </x:c>
      <x:c r="I74" s="56" t="str">
        <x:v>危险顺序需病例特异审核</x:v>
      </x:c>
      <x:c r="J74" s="56" t="str">
        <x:v>泌尿外科、感染科</x:v>
      </x:c>
      <x:c r="K74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L74" s="56" t="str">
        <x:v>待专家核对</x:v>
      </x:c>
      <x:c r="M74" s="59" t="str">
        <x:v>待专家确认</x:v>
      </x:c>
    </x:row>
    <x:row r="75">
      <x:c r="A75" s="56" t="str">
        <x:v>P021</x:v>
      </x:c>
      <x:c r="B75" s="56" t="str">
        <x:v>HX-ADD-009</x:v>
      </x:c>
      <x:c r="C75" s="56" t="str">
        <x:v>急诊处理</x:v>
      </x:c>
      <x:c r="D75" s="56" t="str">
        <x:v>评估是否系统性感染或脓毒症；规范留取尿培养，必要时血培养，给予经验性抗感染和支持治疗。若合并梗阻，必须同步紧急引流。
依据培养和药敏调整抗菌药，处理结石、残余尿、糖尿病、导尿等复杂因素；持续血尿需进入完整血尿评估路径。</x:v>
      </x:c>
      <x:c r="E75" s="56" t="str">
        <x:v>评估是否系统性感染或脓毒症；规范留取尿培养，必要时血培养，给予经验性抗感染和支持治疗。若合并梗阻，必须同步紧急引流。</x:v>
      </x:c>
      <x:c r="F75" s="56" t="str">
        <x:v>按病例诊断和严重度</x:v>
      </x:c>
      <x:c r="G75" s="56" t="str">
        <x:v>满足急症触发条件</x:v>
      </x:c>
      <x:c r="H75" s="56" t="str">
        <x:v>待专家确认</x:v>
      </x:c>
      <x:c r="I75" s="56" t="str">
        <x:v>脓毒症或感染性梗阻未及时识别；未留取培养即长期盲目用药</x:v>
      </x:c>
      <x:c r="J75" s="56" t="str">
        <x:v>泌尿外科、感染科</x:v>
      </x:c>
      <x:c r="K75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L75" s="56" t="str">
        <x:v>待专家核对</x:v>
      </x:c>
      <x:c r="M75" s="59" t="str">
        <x:v>待专家确认</x:v>
      </x:c>
    </x:row>
    <x:row r="76">
      <x:c r="A76" s="56" t="str">
        <x:v>P021</x:v>
      </x:c>
      <x:c r="B76" s="56" t="str">
        <x:v>HX-ADD-009</x:v>
      </x:c>
      <x:c r="C76" s="56" t="str">
        <x:v>病因/确定性治疗</x:v>
      </x:c>
      <x:c r="D76" s="56" t="str">
        <x:v>评估是否系统性感染或脓毒症；规范留取尿培养，必要时血培养，给予经验性抗感染和支持治疗。若合并梗阻，必须同步紧急引流。
依据培养和药敏调整抗菌药，处理结石、残余尿、糖尿病、导尿等复杂因素；持续血尿需进入完整血尿评估路径。</x:v>
      </x:c>
      <x:c r="E76" s="56" t="str">
        <x:v>依据培养和药敏调整抗菌药，处理结石、残余尿、糖尿病、导尿等复杂因素；持续血尿需进入完整血尿评估路径。</x:v>
      </x:c>
      <x:c r="F76" s="56" t="str">
        <x:v>按病例诊断和严重度</x:v>
      </x:c>
      <x:c r="G76" s="56" t="str">
        <x:v>完成必要诊断和分期</x:v>
      </x:c>
      <x:c r="H76" s="56" t="str">
        <x:v>待专家确认</x:v>
      </x:c>
      <x:c r="I76" s="56" t="str">
        <x:v>脓毒症或感染性梗阻未及时识别；未留取培养即长期盲目用药</x:v>
      </x:c>
      <x:c r="J76" s="56" t="str">
        <x:v>泌尿外科、感染科</x:v>
      </x:c>
      <x:c r="K76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L76" s="56" t="str">
        <x:v>待专家核对</x:v>
      </x:c>
      <x:c r="M76" s="59" t="str">
        <x:v>待专家确认</x:v>
      </x:c>
    </x:row>
    <x:row r="77">
      <x:c r="A77" s="56" t="str">
        <x:v>P021</x:v>
      </x:c>
      <x:c r="B77" s="56" t="str">
        <x:v>HX-ADD-009</x:v>
      </x:c>
      <x:c r="C77" s="56" t="str">
        <x:v>随访与教育</x:v>
      </x:c>
      <x:c r="D77" s="56" t="str">
        <x:v>评估是否系统性感染或脓毒症；规范留取尿培养，必要时血培养，给予经验性抗感染和支持治疗。若合并梗阻，必须同步紧急引流。
依据培养和药敏调整抗菌药，处理结石、残余尿、糖尿病、导尿等复杂因素；持续血尿需进入完整血尿评估路径。</x:v>
      </x:c>
      <x:c r="E77" s="56" t="str">
        <x:v>按病情复查症状、尿常规和培养；复发感染需评估解剖和功能因素，血尿不消失时排查肿瘤、结石或肾小球病。</x:v>
      </x:c>
      <x:c r="F77" s="56" t="str">
        <x:v>按病例诊断和严重度</x:v>
      </x:c>
      <x:c r="G77" s="56" t="str">
        <x:v>完成治疗或进入观察</x:v>
      </x:c>
      <x:c r="H77" s="56" t="str">
        <x:v>待专家确认</x:v>
      </x:c>
      <x:c r="I77" s="56" t="str">
        <x:v>遗漏安全网需扣分</x:v>
      </x:c>
      <x:c r="J77" s="56" t="str">
        <x:v>泌尿外科、感染科</x:v>
      </x:c>
      <x:c r="K77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L77" s="56" t="str">
        <x:v>待专家核对</x:v>
      </x:c>
      <x:c r="M77" s="59" t="str">
        <x:v>待专家确认</x:v>
      </x:c>
    </x:row>
    <x:row r="78">
      <x:c r="A78" s="56" t="str">
        <x:v>P022</x:v>
      </x:c>
      <x:c r="B78" s="56" t="str">
        <x:v>HX-ADD-010</x:v>
      </x:c>
      <x:c r="C78" s="56" t="str">
        <x:v>随访</x:v>
      </x:c>
      <x:c r="D78" s="56" t="str">
        <x:v>评估是否系统性感染或脓毒症；规范留取尿培养，必要时血培养，给予经验性抗感染和支持治疗。若合并梗阻，必须同步紧急引流。
依据培养和药敏调整抗菌药，处理结石、残余尿、糖尿病、导尿等复杂因素；持续血尿需进入完整血尿评估路径。</x:v>
      </x:c>
      <x:c r="E78" s="56" t="str">
        <x:v>感染治疗后复查尿常规；持续血尿进入肿瘤、结石及肾小球来源风险分层。</x:v>
      </x:c>
      <x:c r="F78" s="56" t="str">
        <x:v>按病例诊断和严重度</x:v>
      </x:c>
      <x:c r="G78" s="56" t="str">
        <x:v>感染控制后</x:v>
      </x:c>
      <x:c r="H78" s="56" t="str">
        <x:v>待专家确认</x:v>
      </x:c>
      <x:c r="I78" s="56" t="str">
        <x:v>不得继续只使用感染模板</x:v>
      </x:c>
      <x:c r="J78" s="56" t="str">
        <x:v>泌尿外科、感染科</x:v>
      </x:c>
      <x:c r="K78" s="56" t="str">
        <x:v>https://www.auanet.org/guidelines-and-quality/guidelines/microhematuria</x:v>
      </x:c>
      <x:c r="L78" s="56" t="str">
        <x:v>Risk-based evaluation</x:v>
      </x:c>
      <x:c r="M78" s="59" t="str">
        <x:v>待专家确认</x:v>
      </x:c>
    </x:row>
    <x:row r="79">
      <x:c r="A79" s="56" t="str">
        <x:v>P023</x:v>
      </x:c>
      <x:c r="B79" s="56" t="str">
        <x:v>HX-ADD-011</x:v>
      </x:c>
      <x:c r="C79" s="56" t="str">
        <x:v>稳定措施</x:v>
      </x:c>
      <x:c r="D79" s="56" t="str">
        <x:v>评估生命体征、疼痛、感染、尿量、肾功能和梗阻；给予适当镇痛止吐。合并感染性梗阻、孤立肾或AKI时优先急诊引流。
根据结石位置、大小、密度、解剖和患者因素选择观察排石、SWL、输尿管镜或PCNL；处理相关梗阻和感染。</x:v>
      </x:c>
      <x:c r="E79" s="56" t="str">
        <x:v>评估生命体征、出血、尿潴留、感染和AKI。</x:v>
      </x:c>
      <x:c r="F79" s="56" t="str">
        <x:v>按病例诊断和严重度</x:v>
      </x:c>
      <x:c r="G79" s="56" t="str">
        <x:v>进入相应阶段</x:v>
      </x:c>
      <x:c r="H79" s="56" t="str">
        <x:v>待专家确认</x:v>
      </x:c>
      <x:c r="I79" s="56" t="str">
        <x:v>危险顺序需病例特异审核</x:v>
      </x:c>
      <x:c r="J79" s="56" t="str">
        <x:v>泌尿外科</x:v>
      </x:c>
      <x:c r="K79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L79" s="56" t="str">
        <x:v>待专家核对</x:v>
      </x:c>
      <x:c r="M79" s="59" t="str">
        <x:v>待专家确认</x:v>
      </x:c>
    </x:row>
    <x:row r="80">
      <x:c r="A80" s="56" t="str">
        <x:v>P023</x:v>
      </x:c>
      <x:c r="B80" s="56" t="str">
        <x:v>HX-ADD-011</x:v>
      </x:c>
      <x:c r="C80" s="56" t="str">
        <x:v>急诊处理</x:v>
      </x:c>
      <x:c r="D80" s="56" t="str">
        <x:v>评估生命体征、疼痛、感染、尿量、肾功能和梗阻；给予适当镇痛止吐。合并感染性梗阻、孤立肾或AKI时优先急诊引流。
根据结石位置、大小、密度、解剖和患者因素选择观察排石、SWL、输尿管镜或PCNL；处理相关梗阻和感染。</x:v>
      </x:c>
      <x:c r="E80" s="56" t="str">
        <x:v>评估生命体征、疼痛、感染、尿量、肾功能和梗阻；给予适当镇痛止吐。合并感染性梗阻、孤立肾或AKI时优先急诊引流。</x:v>
      </x:c>
      <x:c r="F80" s="56" t="str">
        <x:v>按病例诊断和严重度</x:v>
      </x:c>
      <x:c r="G80" s="56" t="str">
        <x:v>满足急症触发条件</x:v>
      </x:c>
      <x:c r="H80" s="56" t="str">
        <x:v>待专家确认</x:v>
      </x:c>
      <x:c r="I80" s="56" t="str">
        <x:v>感染性梗阻未引流即碎石；未评估肾功能和感染</x:v>
      </x:c>
      <x:c r="J80" s="56" t="str">
        <x:v>泌尿外科</x:v>
      </x:c>
      <x:c r="K80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L80" s="56" t="str">
        <x:v>待专家核对</x:v>
      </x:c>
      <x:c r="M80" s="59" t="str">
        <x:v>待专家确认</x:v>
      </x:c>
    </x:row>
    <x:row r="81">
      <x:c r="A81" s="56" t="str">
        <x:v>P023</x:v>
      </x:c>
      <x:c r="B81" s="56" t="str">
        <x:v>HX-ADD-011</x:v>
      </x:c>
      <x:c r="C81" s="56" t="str">
        <x:v>病因/确定性治疗</x:v>
      </x:c>
      <x:c r="D81" s="56" t="str">
        <x:v>评估生命体征、疼痛、感染、尿量、肾功能和梗阻；给予适当镇痛止吐。合并感染性梗阻、孤立肾或AKI时优先急诊引流。
根据结石位置、大小、密度、解剖和患者因素选择观察排石、SWL、输尿管镜或PCNL；处理相关梗阻和感染。</x:v>
      </x:c>
      <x:c r="E81" s="56" t="str">
        <x:v>根据结石位置、大小、密度、解剖和患者因素选择观察排石、SWL、输尿管镜或PCNL；处理相关梗阻和感染。</x:v>
      </x:c>
      <x:c r="F81" s="56" t="str">
        <x:v>按病例诊断和严重度</x:v>
      </x:c>
      <x:c r="G81" s="56" t="str">
        <x:v>完成必要诊断和分期</x:v>
      </x:c>
      <x:c r="H81" s="56" t="str">
        <x:v>待专家确认</x:v>
      </x:c>
      <x:c r="I81" s="56" t="str">
        <x:v>感染性梗阻未引流即碎石；未评估肾功能和感染</x:v>
      </x:c>
      <x:c r="J81" s="56" t="str">
        <x:v>泌尿外科</x:v>
      </x:c>
      <x:c r="K81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L81" s="56" t="str">
        <x:v>待专家核对</x:v>
      </x:c>
      <x:c r="M81" s="59" t="str">
        <x:v>待专家确认</x:v>
      </x:c>
    </x:row>
    <x:row r="82">
      <x:c r="A82" s="56" t="str">
        <x:v>P023</x:v>
      </x:c>
      <x:c r="B82" s="56" t="str">
        <x:v>HX-ADD-011</x:v>
      </x:c>
      <x:c r="C82" s="56" t="str">
        <x:v>随访与教育</x:v>
      </x:c>
      <x:c r="D82" s="56" t="str">
        <x:v>评估生命体征、疼痛、感染、尿量、肾功能和梗阻；给予适当镇痛止吐。合并感染性梗阻、孤立肾或AKI时优先急诊引流。
根据结石位置、大小、密度、解剖和患者因素选择观察排石、SWL、输尿管镜或PCNL；处理相关梗阻和感染。</x:v>
      </x:c>
      <x:c r="E82" s="56" t="str">
        <x:v>影像确认清石和解除梗阻；进行结石成分与代谢评估，制定饮水、饮食和药物预防方案。</x:v>
      </x:c>
      <x:c r="F82" s="56" t="str">
        <x:v>按病例诊断和严重度</x:v>
      </x:c>
      <x:c r="G82" s="56" t="str">
        <x:v>完成治疗或进入观察</x:v>
      </x:c>
      <x:c r="H82" s="56" t="str">
        <x:v>待专家确认</x:v>
      </x:c>
      <x:c r="I82" s="56" t="str">
        <x:v>遗漏安全网需扣分</x:v>
      </x:c>
      <x:c r="J82" s="56" t="str">
        <x:v>泌尿外科</x:v>
      </x:c>
      <x:c r="K82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L82" s="56" t="str">
        <x:v>待专家核对</x:v>
      </x:c>
      <x:c r="M82" s="59" t="str">
        <x:v>待专家确认</x:v>
      </x:c>
    </x:row>
    <x:row r="83">
      <x:c r="A83" s="56" t="str">
        <x:v>P024</x:v>
      </x:c>
      <x:c r="B83" s="56" t="str">
        <x:v>HX-ADD-012</x:v>
      </x:c>
      <x:c r="C83" s="56" t="str">
        <x:v>稳定措施</x:v>
      </x:c>
      <x:c r="D83" s="56" t="str">
        <x:v>评估生命体征、疼痛、感染、尿量、肾功能和梗阻；给予适当镇痛止吐。合并感染性梗阻、孤立肾或AKI时优先急诊引流。
根据结石位置、大小、密度、解剖和患者因素选择观察排石、SWL、输尿管镜或PCNL；处理相关梗阻和感染。</x:v>
      </x:c>
      <x:c r="E83" s="56" t="str">
        <x:v>评估生命体征、出血、尿潴留、感染和AKI。</x:v>
      </x:c>
      <x:c r="F83" s="56" t="str">
        <x:v>按病例诊断和严重度</x:v>
      </x:c>
      <x:c r="G83" s="56" t="str">
        <x:v>进入相应阶段</x:v>
      </x:c>
      <x:c r="H83" s="56" t="str">
        <x:v>待专家确认</x:v>
      </x:c>
      <x:c r="I83" s="56" t="str">
        <x:v>危险顺序需病例特异审核</x:v>
      </x:c>
      <x:c r="J83" s="56" t="str">
        <x:v>泌尿外科</x:v>
      </x:c>
      <x:c r="K83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L83" s="56" t="str">
        <x:v>待专家核对</x:v>
      </x:c>
      <x:c r="M83" s="59" t="str">
        <x:v>待专家确认</x:v>
      </x:c>
    </x:row>
    <x:row r="84">
      <x:c r="A84" s="56" t="str">
        <x:v>P024</x:v>
      </x:c>
      <x:c r="B84" s="56" t="str">
        <x:v>HX-ADD-012</x:v>
      </x:c>
      <x:c r="C84" s="56" t="str">
        <x:v>急诊处理</x:v>
      </x:c>
      <x:c r="D84" s="56" t="str">
        <x:v>评估生命体征、疼痛、感染、尿量、肾功能和梗阻；给予适当镇痛止吐。合并感染性梗阻、孤立肾或AKI时优先急诊引流。
根据结石位置、大小、密度、解剖和患者因素选择观察排石、SWL、输尿管镜或PCNL；处理相关梗阻和感染。</x:v>
      </x:c>
      <x:c r="E84" s="56" t="str">
        <x:v>评估生命体征、疼痛、感染、尿量、肾功能和梗阻；给予适当镇痛止吐。合并感染性梗阻、孤立肾或AKI时优先急诊引流。</x:v>
      </x:c>
      <x:c r="F84" s="56" t="str">
        <x:v>按病例诊断和严重度</x:v>
      </x:c>
      <x:c r="G84" s="56" t="str">
        <x:v>满足急症触发条件</x:v>
      </x:c>
      <x:c r="H84" s="56" t="str">
        <x:v>待专家确认</x:v>
      </x:c>
      <x:c r="I84" s="56" t="str">
        <x:v>感染性梗阻未引流即碎石；未评估肾功能和感染</x:v>
      </x:c>
      <x:c r="J84" s="56" t="str">
        <x:v>泌尿外科</x:v>
      </x:c>
      <x:c r="K84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L84" s="56" t="str">
        <x:v>待专家核对</x:v>
      </x:c>
      <x:c r="M84" s="59" t="str">
        <x:v>待专家确认</x:v>
      </x:c>
    </x:row>
    <x:row r="85">
      <x:c r="A85" s="56" t="str">
        <x:v>P024</x:v>
      </x:c>
      <x:c r="B85" s="56" t="str">
        <x:v>HX-ADD-012</x:v>
      </x:c>
      <x:c r="C85" s="56" t="str">
        <x:v>病因/确定性治疗</x:v>
      </x:c>
      <x:c r="D85" s="56" t="str">
        <x:v>评估生命体征、疼痛、感染、尿量、肾功能和梗阻；给予适当镇痛止吐。合并感染性梗阻、孤立肾或AKI时优先急诊引流。
根据结石位置、大小、密度、解剖和患者因素选择观察排石、SWL、输尿管镜或PCNL；处理相关梗阻和感染。</x:v>
      </x:c>
      <x:c r="E85" s="56" t="str">
        <x:v>根据结石位置、大小、密度、解剖和患者因素选择观察排石、SWL、输尿管镜或PCNL；处理相关梗阻和感染。</x:v>
      </x:c>
      <x:c r="F85" s="56" t="str">
        <x:v>按病例诊断和严重度</x:v>
      </x:c>
      <x:c r="G85" s="56" t="str">
        <x:v>完成必要诊断和分期</x:v>
      </x:c>
      <x:c r="H85" s="56" t="str">
        <x:v>待专家确认</x:v>
      </x:c>
      <x:c r="I85" s="56" t="str">
        <x:v>感染性梗阻未引流即碎石；未评估肾功能和感染</x:v>
      </x:c>
      <x:c r="J85" s="56" t="str">
        <x:v>泌尿外科</x:v>
      </x:c>
      <x:c r="K85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L85" s="56" t="str">
        <x:v>待专家核对</x:v>
      </x:c>
      <x:c r="M85" s="59" t="str">
        <x:v>待专家确认</x:v>
      </x:c>
    </x:row>
    <x:row r="86">
      <x:c r="A86" s="56" t="str">
        <x:v>P024</x:v>
      </x:c>
      <x:c r="B86" s="56" t="str">
        <x:v>HX-ADD-012</x:v>
      </x:c>
      <x:c r="C86" s="56" t="str">
        <x:v>随访与教育</x:v>
      </x:c>
      <x:c r="D86" s="56" t="str">
        <x:v>评估生命体征、疼痛、感染、尿量、肾功能和梗阻；给予适当镇痛止吐。合并感染性梗阻、孤立肾或AKI时优先急诊引流。
根据结石位置、大小、密度、解剖和患者因素选择观察排石、SWL、输尿管镜或PCNL；处理相关梗阻和感染。</x:v>
      </x:c>
      <x:c r="E86" s="56" t="str">
        <x:v>影像确认清石和解除梗阻；进行结石成分与代谢评估，制定饮水、饮食和药物预防方案。</x:v>
      </x:c>
      <x:c r="F86" s="56" t="str">
        <x:v>按病例诊断和严重度</x:v>
      </x:c>
      <x:c r="G86" s="56" t="str">
        <x:v>完成治疗或进入观察</x:v>
      </x:c>
      <x:c r="H86" s="56" t="str">
        <x:v>待专家确认</x:v>
      </x:c>
      <x:c r="I86" s="56" t="str">
        <x:v>遗漏安全网需扣分</x:v>
      </x:c>
      <x:c r="J86" s="56" t="str">
        <x:v>泌尿外科</x:v>
      </x:c>
      <x:c r="K86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L86" s="56" t="str">
        <x:v>待专家核对</x:v>
      </x:c>
      <x:c r="M86" s="59" t="str">
        <x:v>待专家确认</x:v>
      </x:c>
    </x:row>
    <x:row r="87">
      <x:c r="A87" s="56" t="str">
        <x:v>P025</x:v>
      </x:c>
      <x:c r="B87" s="56" t="str">
        <x:v>HX-ADD-013</x:v>
      </x:c>
      <x:c r="C87" s="56" t="str">
        <x:v>确定性治疗</x:v>
      </x:c>
      <x:c r="D87" s="56" t="str">
        <x:v>评估生命体征、疼痛、感染、尿量、肾功能和梗阻；给予适当镇痛止吐。合并感染性梗阻、孤立肾或AKI时优先急诊引流。
根据结石位置、大小、密度、解剖和患者因素选择观察排石、SWL、输尿管镜或PCNL；处理相关梗阻和感染。</x:v>
      </x:c>
      <x:c r="E87" s="56" t="str">
        <x:v>成人病例优先评估经尿道膀胱碎石/取石，并处理BPH、神经源性膀胱、异物或慢性残余尿等病因。</x:v>
      </x:c>
      <x:c r="F87" s="56" t="str">
        <x:v>按病例诊断和严重度</x:v>
      </x:c>
      <x:c r="G87" s="56" t="str">
        <x:v>明确结石大小和病因</x:v>
      </x:c>
      <x:c r="H87" s="56" t="str">
        <x:v>待专家确认</x:v>
      </x:c>
      <x:c r="I87" s="56" t="str">
        <x:v>不得直接复制输尿管镜或PCNL上尿路方案</x:v>
      </x:c>
      <x:c r="J87" s="56" t="str">
        <x:v>泌尿外科</x:v>
      </x:c>
      <x:c r="K87" s="56" t="str">
        <x:v>https://uroweb.org/guidelines/urolithiasis</x:v>
      </x:c>
      <x:c r="L87" s="56" t="str">
        <x:v>Bladder stones treatment</x:v>
      </x:c>
      <x:c r="M87" s="59" t="str">
        <x:v>待专家确认</x:v>
      </x:c>
    </x:row>
    <x:row r="88">
      <x:c r="A88" s="56" t="str">
        <x:v>P026</x:v>
      </x:c>
      <x:c r="B88" s="56" t="str">
        <x:v>HX-ADD-014</x:v>
      </x:c>
      <x:c r="C88" s="56" t="str">
        <x:v>稳定措施</x:v>
      </x:c>
      <x:c r="D88" s="56" t="str">
        <x:v>留取尿培养和必要时血培养，评估脓毒症、AKI和梗阻；感染合并梗阻时先抗感染并紧急支架或肾造瘘引流。
感染控制后根据结石负荷和解剖制定分期PCNL等清石方案，争取清除感染性结石并依据培养调整抗菌药。</x:v>
      </x:c>
      <x:c r="E88" s="56" t="str">
        <x:v>评估生命体征、出血、尿潴留、感染和AKI。</x:v>
      </x:c>
      <x:c r="F88" s="56" t="str">
        <x:v>按病例诊断和严重度</x:v>
      </x:c>
      <x:c r="G88" s="56" t="str">
        <x:v>进入相应阶段</x:v>
      </x:c>
      <x:c r="H88" s="56" t="str">
        <x:v>待专家确认</x:v>
      </x:c>
      <x:c r="I88" s="56" t="str">
        <x:v>危险顺序需病例特异审核</x:v>
      </x:c>
      <x:c r="J88" s="56" t="str">
        <x:v>泌尿外科、感染科</x:v>
      </x:c>
      <x:c r="K88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L88" s="56" t="str">
        <x:v>待专家核对</x:v>
      </x:c>
      <x:c r="M88" s="59" t="str">
        <x:v>待专家确认</x:v>
      </x:c>
    </x:row>
    <x:row r="89">
      <x:c r="A89" s="56" t="str">
        <x:v>P026</x:v>
      </x:c>
      <x:c r="B89" s="56" t="str">
        <x:v>HX-ADD-014</x:v>
      </x:c>
      <x:c r="C89" s="56" t="str">
        <x:v>急诊处理</x:v>
      </x:c>
      <x:c r="D89" s="56" t="str">
        <x:v>留取尿培养和必要时血培养，评估脓毒症、AKI和梗阻；感染合并梗阻时先抗感染并紧急支架或肾造瘘引流。
感染控制后根据结石负荷和解剖制定分期PCNL等清石方案，争取清除感染性结石并依据培养调整抗菌药。</x:v>
      </x:c>
      <x:c r="E89" s="56" t="str">
        <x:v>留取尿培养和必要时血培养，评估脓毒症、AKI和梗阻；感染合并梗阻时先抗感染并紧急支架或肾造瘘引流。</x:v>
      </x:c>
      <x:c r="F89" s="56" t="str">
        <x:v>按病例诊断和严重度</x:v>
      </x:c>
      <x:c r="G89" s="56" t="str">
        <x:v>满足急症触发条件</x:v>
      </x:c>
      <x:c r="H89" s="56" t="str">
        <x:v>待专家确认</x:v>
      </x:c>
      <x:c r="I89" s="56" t="str">
        <x:v>感染未控制或未引流即直接碎石；脓毒症时延误复苏和引流</x:v>
      </x:c>
      <x:c r="J89" s="56" t="str">
        <x:v>泌尿外科、感染科</x:v>
      </x:c>
      <x:c r="K89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L89" s="56" t="str">
        <x:v>待专家核对</x:v>
      </x:c>
      <x:c r="M89" s="59" t="str">
        <x:v>待专家确认</x:v>
      </x:c>
    </x:row>
    <x:row r="90">
      <x:c r="A90" s="56" t="str">
        <x:v>P026</x:v>
      </x:c>
      <x:c r="B90" s="56" t="str">
        <x:v>HX-ADD-014</x:v>
      </x:c>
      <x:c r="C90" s="56" t="str">
        <x:v>病因/确定性治疗</x:v>
      </x:c>
      <x:c r="D90" s="56" t="str">
        <x:v>留取尿培养和必要时血培养，评估脓毒症、AKI和梗阻；感染合并梗阻时先抗感染并紧急支架或肾造瘘引流。
感染控制后根据结石负荷和解剖制定分期PCNL等清石方案，争取清除感染性结石并依据培养调整抗菌药。</x:v>
      </x:c>
      <x:c r="E90" s="56" t="str">
        <x:v>感染控制后根据结石负荷和解剖制定分期PCNL等清石方案，争取清除感染性结石并依据培养调整抗菌药。</x:v>
      </x:c>
      <x:c r="F90" s="56" t="str">
        <x:v>按病例诊断和严重度</x:v>
      </x:c>
      <x:c r="G90" s="56" t="str">
        <x:v>完成必要诊断和分期</x:v>
      </x:c>
      <x:c r="H90" s="56" t="str">
        <x:v>待专家确认</x:v>
      </x:c>
      <x:c r="I90" s="56" t="str">
        <x:v>感染未控制或未引流即直接碎石；脓毒症时延误复苏和引流</x:v>
      </x:c>
      <x:c r="J90" s="56" t="str">
        <x:v>泌尿外科、感染科</x:v>
      </x:c>
      <x:c r="K90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L90" s="56" t="str">
        <x:v>待专家核对</x:v>
      </x:c>
      <x:c r="M90" s="59" t="str">
        <x:v>待专家确认</x:v>
      </x:c>
    </x:row>
    <x:row r="91">
      <x:c r="A91" s="56" t="str">
        <x:v>P026</x:v>
      </x:c>
      <x:c r="B91" s="56" t="str">
        <x:v>HX-ADD-014</x:v>
      </x:c>
      <x:c r="C91" s="56" t="str">
        <x:v>随访与教育</x:v>
      </x:c>
      <x:c r="D91" s="56" t="str">
        <x:v>留取尿培养和必要时血培养，评估脓毒症、AKI和梗阻；感染合并梗阻时先抗感染并紧急支架或肾造瘘引流。
感染控制后根据结石负荷和解剖制定分期PCNL等清石方案，争取清除感染性结石并依据培养调整抗菌药。</x:v>
      </x:c>
      <x:c r="E91" s="56" t="str">
        <x:v>复查尿培养、肾功能和影像；完成结石成分及代谢评估，强化饮水和复发预防。</x:v>
      </x:c>
      <x:c r="F91" s="56" t="str">
        <x:v>按病例诊断和严重度</x:v>
      </x:c>
      <x:c r="G91" s="56" t="str">
        <x:v>完成治疗或进入观察</x:v>
      </x:c>
      <x:c r="H91" s="56" t="str">
        <x:v>待专家确认</x:v>
      </x:c>
      <x:c r="I91" s="56" t="str">
        <x:v>遗漏安全网需扣分</x:v>
      </x:c>
      <x:c r="J91" s="56" t="str">
        <x:v>泌尿外科、感染科</x:v>
      </x:c>
      <x:c r="K91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L91" s="56" t="str">
        <x:v>待专家核对</x:v>
      </x:c>
      <x:c r="M91" s="59" t="str">
        <x:v>待专家确认</x:v>
      </x:c>
    </x:row>
    <x:row r="92">
      <x:c r="A92" s="56" t="str">
        <x:v>P027</x:v>
      </x:c>
      <x:c r="B92" s="56" t="str">
        <x:v>HX-ADD-015</x:v>
      </x:c>
      <x:c r="C92" s="56" t="str">
        <x:v>病因治疗</x:v>
      </x:c>
      <x:c r="D92" s="56" t="str">
        <x:v>评估生命体征、疼痛、感染、尿量、肾功能和梗阻；给予适当镇痛止吐。合并感染性梗阻、孤立肾或AKI时优先急诊引流。
根据结石位置、大小、密度、解剖和患者因素选择观察排石、SWL、输尿管镜或PCNL；处理相关梗阻和感染。</x:v>
      </x:c>
      <x:c r="E92" s="56" t="str">
        <x:v>尿液碱化并监测目标尿pH，结合尿酸和代谢评估调整饮食及药物。</x:v>
      </x:c>
      <x:c r="F92" s="56" t="str">
        <x:v>按病例诊断和严重度</x:v>
      </x:c>
      <x:c r="G92" s="56" t="str">
        <x:v>确认尿酸结石及肾功能</x:v>
      </x:c>
      <x:c r="H92" s="56" t="str">
        <x:v>待专家确认</x:v>
      </x:c>
      <x:c r="I92" s="56" t="str">
        <x:v>不得仅保留SWL/输尿管镜/PCNL通用模板</x:v>
      </x:c>
      <x:c r="J92" s="56" t="str">
        <x:v>泌尿外科</x:v>
      </x:c>
      <x:c r="K92" s="56" t="str">
        <x:v>https://uroweb.org/guidelines/urolithiasis</x:v>
      </x:c>
      <x:c r="L92" s="56" t="str">
        <x:v>Chemolysis</x:v>
      </x:c>
      <x:c r="M92" s="59" t="str">
        <x:v>待专家确认</x:v>
      </x:c>
    </x:row>
    <x:row r="93">
      <x:c r="A93" s="56" t="str">
        <x:v>P027</x:v>
      </x:c>
      <x:c r="B93" s="56" t="str">
        <x:v>HX-ADD-015</x:v>
      </x:c>
      <x:c r="C93" s="56" t="str">
        <x:v>随访</x:v>
      </x:c>
      <x:c r="D93" s="56" t="str">
        <x:v>评估生命体征、疼痛、感染、尿量、肾功能和梗阻；给予适当镇痛止吐。合并感染性梗阻、孤立肾或AKI时优先急诊引流。
根据结石位置、大小、密度、解剖和患者因素选择观察排石、SWL、输尿管镜或PCNL；处理相关梗阻和感染。</x:v>
      </x:c>
      <x:c r="E93" s="56" t="str">
        <x:v>复查尿pH、结石负荷、肾功能和代谢危险因素。</x:v>
      </x:c>
      <x:c r="F93" s="56" t="str">
        <x:v>按病例诊断和严重度</x:v>
      </x:c>
      <x:c r="G93" s="56" t="str">
        <x:v>开始碱化后</x:v>
      </x:c>
      <x:c r="H93" s="56" t="str">
        <x:v>待专家确认</x:v>
      </x:c>
      <x:c r="I93" s="56" t="str">
        <x:v>避免过度碱化</x:v>
      </x:c>
      <x:c r="J93" s="56" t="str">
        <x:v>泌尿外科</x:v>
      </x:c>
      <x:c r="K93" s="56" t="str">
        <x:v>https://uroweb.org/guidelines/urolithiasis</x:v>
      </x:c>
      <x:c r="L93" s="56" t="str">
        <x:v>Metabolic evaluation</x:v>
      </x:c>
      <x:c r="M93" s="59" t="str">
        <x:v>待专家确认</x:v>
      </x:c>
    </x:row>
    <x:row r="94">
      <x:c r="A94" s="56" t="str">
        <x:v>P028</x:v>
      </x:c>
      <x:c r="B94" s="56" t="str">
        <x:v>HX-ADD-016</x:v>
      </x:c>
      <x:c r="C94" s="56" t="str">
        <x:v>稳定措施</x:v>
      </x:c>
      <x:c r="D94" s="56" t="str">
        <x:v>评估尿潴留、血块、感染和肾功能；急性尿潴留时规范导尿，血块堵塞时考虑三腔导尿和膀胱冲洗。
评估症状、残余尿和前列腺体积，采用药物治疗；反复潴留、出血、感染或肾功能受损时评估手术。</x:v>
      </x:c>
      <x:c r="E94" s="56" t="str">
        <x:v>评估生命体征、出血、尿潴留、感染和AKI。</x:v>
      </x:c>
      <x:c r="F94" s="56" t="str">
        <x:v>按病例诊断和严重度</x:v>
      </x:c>
      <x:c r="G94" s="56" t="str">
        <x:v>进入相应阶段</x:v>
      </x:c>
      <x:c r="H94" s="56" t="str">
        <x:v>待专家确认</x:v>
      </x:c>
      <x:c r="I94" s="56" t="str">
        <x:v>危险顺序需病例特异审核</x:v>
      </x:c>
      <x:c r="J94" s="56" t="str">
        <x:v>泌尿外科</x:v>
      </x:c>
      <x:c r="K94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L94" s="56" t="str">
        <x:v>待专家核对</x:v>
      </x:c>
      <x:c r="M94" s="59" t="str">
        <x:v>待专家确认</x:v>
      </x:c>
    </x:row>
    <x:row r="95">
      <x:c r="A95" s="56" t="str">
        <x:v>P028</x:v>
      </x:c>
      <x:c r="B95" s="56" t="str">
        <x:v>HX-ADD-016</x:v>
      </x:c>
      <x:c r="C95" s="56" t="str">
        <x:v>急诊处理</x:v>
      </x:c>
      <x:c r="D95" s="56" t="str">
        <x:v>评估尿潴留、血块、感染和肾功能；急性尿潴留时规范导尿，血块堵塞时考虑三腔导尿和膀胱冲洗。
评估症状、残余尿和前列腺体积，采用药物治疗；反复潴留、出血、感染或肾功能受损时评估手术。</x:v>
      </x:c>
      <x:c r="E95" s="56" t="str">
        <x:v>评估尿潴留、血块、感染和肾功能；急性尿潴留时规范导尿，血块堵塞时考虑三腔导尿和膀胱冲洗。</x:v>
      </x:c>
      <x:c r="F95" s="56" t="str">
        <x:v>按病例诊断和严重度</x:v>
      </x:c>
      <x:c r="G95" s="56" t="str">
        <x:v>满足急症触发条件</x:v>
      </x:c>
      <x:c r="H95" s="56" t="str">
        <x:v>待专家确认</x:v>
      </x:c>
      <x:c r="I95" s="56" t="str">
        <x:v>尿潴留或血块堵塞未及时解除；仅凭PSA直接诊断前列腺癌</x:v>
      </x:c>
      <x:c r="J95" s="56" t="str">
        <x:v>泌尿外科</x:v>
      </x:c>
      <x:c r="K95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L95" s="56" t="str">
        <x:v>待专家核对</x:v>
      </x:c>
      <x:c r="M95" s="59" t="str">
        <x:v>待专家确认</x:v>
      </x:c>
    </x:row>
    <x:row r="96">
      <x:c r="A96" s="56" t="str">
        <x:v>P028</x:v>
      </x:c>
      <x:c r="B96" s="56" t="str">
        <x:v>HX-ADD-016</x:v>
      </x:c>
      <x:c r="C96" s="56" t="str">
        <x:v>病因/确定性治疗</x:v>
      </x:c>
      <x:c r="D96" s="56" t="str">
        <x:v>评估尿潴留、血块、感染和肾功能；急性尿潴留时规范导尿，血块堵塞时考虑三腔导尿和膀胱冲洗。
评估症状、残余尿和前列腺体积，采用药物治疗；反复潴留、出血、感染或肾功能受损时评估手术。</x:v>
      </x:c>
      <x:c r="E96" s="56" t="str">
        <x:v>评估症状、残余尿和前列腺体积，采用药物治疗；反复潴留、出血、感染或肾功能受损时评估手术。</x:v>
      </x:c>
      <x:c r="F96" s="56" t="str">
        <x:v>按病例诊断和严重度</x:v>
      </x:c>
      <x:c r="G96" s="56" t="str">
        <x:v>完成必要诊断和分期</x:v>
      </x:c>
      <x:c r="H96" s="56" t="str">
        <x:v>待专家确认</x:v>
      </x:c>
      <x:c r="I96" s="56" t="str">
        <x:v>尿潴留或血块堵塞未及时解除；仅凭PSA直接诊断前列腺癌</x:v>
      </x:c>
      <x:c r="J96" s="56" t="str">
        <x:v>泌尿外科</x:v>
      </x:c>
      <x:c r="K96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L96" s="56" t="str">
        <x:v>待专家核对</x:v>
      </x:c>
      <x:c r="M96" s="59" t="str">
        <x:v>待专家确认</x:v>
      </x:c>
    </x:row>
    <x:row r="97">
      <x:c r="A97" s="56" t="str">
        <x:v>P028</x:v>
      </x:c>
      <x:c r="B97" s="56" t="str">
        <x:v>HX-ADD-016</x:v>
      </x:c>
      <x:c r="C97" s="56" t="str">
        <x:v>随访与教育</x:v>
      </x:c>
      <x:c r="D97" s="56" t="str">
        <x:v>评估尿潴留、血块、感染和肾功能；急性尿潴留时规范导尿，血块堵塞时考虑三腔导尿和膀胱冲洗。
评估症状、残余尿和前列腺体积，采用药物治疗；反复潴留、出血、感染或肾功能受损时评估手术。</x:v>
      </x:c>
      <x:c r="E97" s="56" t="str">
        <x:v>复查下尿路症状、残余尿、尿常规和肾功能；按诊断进行PSA、影像或肿瘤随访。</x:v>
      </x:c>
      <x:c r="F97" s="56" t="str">
        <x:v>按病例诊断和严重度</x:v>
      </x:c>
      <x:c r="G97" s="56" t="str">
        <x:v>完成治疗或进入观察</x:v>
      </x:c>
      <x:c r="H97" s="56" t="str">
        <x:v>待专家确认</x:v>
      </x:c>
      <x:c r="I97" s="56" t="str">
        <x:v>遗漏安全网需扣分</x:v>
      </x:c>
      <x:c r="J97" s="56" t="str">
        <x:v>泌尿外科</x:v>
      </x:c>
      <x:c r="K97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L97" s="56" t="str">
        <x:v>待专家核对</x:v>
      </x:c>
      <x:c r="M97" s="59" t="str">
        <x:v>待专家确认</x:v>
      </x:c>
    </x:row>
    <x:row r="98">
      <x:c r="A98" s="56" t="str">
        <x:v>P029</x:v>
      </x:c>
      <x:c r="B98" s="56" t="str">
        <x:v>HX-ADD-017</x:v>
      </x:c>
      <x:c r="C98" s="56" t="str">
        <x:v>稳定措施</x:v>
      </x:c>
      <x:c r="D98" s="56" t="str">
        <x:v>评估尿潴留、血块、感染和肾功能；急性尿潴留时规范导尿，血块堵塞时考虑三腔导尿和膀胱冲洗。
评估症状、残余尿和前列腺体积，采用药物治疗；反复潴留、出血、感染或肾功能受损时评估手术。</x:v>
      </x:c>
      <x:c r="E98" s="56" t="str">
        <x:v>评估生命体征、出血、尿潴留、感染和AKI。</x:v>
      </x:c>
      <x:c r="F98" s="56" t="str">
        <x:v>按病例诊断和严重度</x:v>
      </x:c>
      <x:c r="G98" s="56" t="str">
        <x:v>进入相应阶段</x:v>
      </x:c>
      <x:c r="H98" s="56" t="str">
        <x:v>待专家确认</x:v>
      </x:c>
      <x:c r="I98" s="56" t="str">
        <x:v>危险顺序需病例特异审核</x:v>
      </x:c>
      <x:c r="J98" s="56" t="str">
        <x:v>泌尿外科</x:v>
      </x:c>
      <x:c r="K98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L98" s="56" t="str">
        <x:v>待专家核对</x:v>
      </x:c>
      <x:c r="M98" s="59" t="str">
        <x:v>待专家确认</x:v>
      </x:c>
    </x:row>
    <x:row r="99">
      <x:c r="A99" s="56" t="str">
        <x:v>P029</x:v>
      </x:c>
      <x:c r="B99" s="56" t="str">
        <x:v>HX-ADD-017</x:v>
      </x:c>
      <x:c r="C99" s="56" t="str">
        <x:v>急诊处理</x:v>
      </x:c>
      <x:c r="D99" s="56" t="str">
        <x:v>评估尿潴留、血块、感染和肾功能；急性尿潴留时规范导尿，血块堵塞时考虑三腔导尿和膀胱冲洗。
评估症状、残余尿和前列腺体积，采用药物治疗；反复潴留、出血、感染或肾功能受损时评估手术。</x:v>
      </x:c>
      <x:c r="E99" s="56" t="str">
        <x:v>评估尿潴留、血块、感染和肾功能；急性尿潴留时规范导尿，血块堵塞时考虑三腔导尿和膀胱冲洗。</x:v>
      </x:c>
      <x:c r="F99" s="56" t="str">
        <x:v>按病例诊断和严重度</x:v>
      </x:c>
      <x:c r="G99" s="56" t="str">
        <x:v>满足急症触发条件</x:v>
      </x:c>
      <x:c r="H99" s="56" t="str">
        <x:v>待专家确认</x:v>
      </x:c>
      <x:c r="I99" s="56" t="str">
        <x:v>尿潴留或血块堵塞未及时解除；仅凭PSA直接诊断前列腺癌</x:v>
      </x:c>
      <x:c r="J99" s="56" t="str">
        <x:v>泌尿外科</x:v>
      </x:c>
      <x:c r="K99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L99" s="56" t="str">
        <x:v>待专家核对</x:v>
      </x:c>
      <x:c r="M99" s="59" t="str">
        <x:v>待专家确认</x:v>
      </x:c>
    </x:row>
    <x:row r="100">
      <x:c r="A100" s="56" t="str">
        <x:v>P029</x:v>
      </x:c>
      <x:c r="B100" s="56" t="str">
        <x:v>HX-ADD-017</x:v>
      </x:c>
      <x:c r="C100" s="56" t="str">
        <x:v>病因/确定性治疗</x:v>
      </x:c>
      <x:c r="D100" s="56" t="str">
        <x:v>评估尿潴留、血块、感染和肾功能；急性尿潴留时规范导尿，血块堵塞时考虑三腔导尿和膀胱冲洗。
评估症状、残余尿和前列腺体积，采用药物治疗；反复潴留、出血、感染或肾功能受损时评估手术。</x:v>
      </x:c>
      <x:c r="E100" s="56" t="str">
        <x:v>评估症状、残余尿和前列腺体积，采用药物治疗；反复潴留、出血、感染或肾功能受损时评估手术。</x:v>
      </x:c>
      <x:c r="F100" s="56" t="str">
        <x:v>按病例诊断和严重度</x:v>
      </x:c>
      <x:c r="G100" s="56" t="str">
        <x:v>完成必要诊断和分期</x:v>
      </x:c>
      <x:c r="H100" s="56" t="str">
        <x:v>待专家确认</x:v>
      </x:c>
      <x:c r="I100" s="56" t="str">
        <x:v>尿潴留或血块堵塞未及时解除；仅凭PSA直接诊断前列腺癌</x:v>
      </x:c>
      <x:c r="J100" s="56" t="str">
        <x:v>泌尿外科</x:v>
      </x:c>
      <x:c r="K100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L100" s="56" t="str">
        <x:v>待专家核对</x:v>
      </x:c>
      <x:c r="M100" s="59" t="str">
        <x:v>待专家确认</x:v>
      </x:c>
    </x:row>
    <x:row r="101">
      <x:c r="A101" s="56" t="str">
        <x:v>P029</x:v>
      </x:c>
      <x:c r="B101" s="56" t="str">
        <x:v>HX-ADD-017</x:v>
      </x:c>
      <x:c r="C101" s="56" t="str">
        <x:v>随访与教育</x:v>
      </x:c>
      <x:c r="D101" s="56" t="str">
        <x:v>评估尿潴留、血块、感染和肾功能；急性尿潴留时规范导尿，血块堵塞时考虑三腔导尿和膀胱冲洗。
评估症状、残余尿和前列腺体积，采用药物治疗；反复潴留、出血、感染或肾功能受损时评估手术。</x:v>
      </x:c>
      <x:c r="E101" s="56" t="str">
        <x:v>复查下尿路症状、残余尿、尿常规和肾功能；按诊断进行PSA、影像或肿瘤随访。</x:v>
      </x:c>
      <x:c r="F101" s="56" t="str">
        <x:v>按病例诊断和严重度</x:v>
      </x:c>
      <x:c r="G101" s="56" t="str">
        <x:v>完成治疗或进入观察</x:v>
      </x:c>
      <x:c r="H101" s="56" t="str">
        <x:v>待专家确认</x:v>
      </x:c>
      <x:c r="I101" s="56" t="str">
        <x:v>遗漏安全网需扣分</x:v>
      </x:c>
      <x:c r="J101" s="56" t="str">
        <x:v>泌尿外科</x:v>
      </x:c>
      <x:c r="K101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L101" s="56" t="str">
        <x:v>待专家核对</x:v>
      </x:c>
      <x:c r="M101" s="59" t="str">
        <x:v>待专家确认</x:v>
      </x:c>
    </x:row>
    <x:row r="102">
      <x:c r="A102" s="56" t="str">
        <x:v>P030</x:v>
      </x:c>
      <x:c r="B102" s="56" t="str">
        <x:v>HX-ADD-018</x:v>
      </x:c>
      <x:c r="C102" s="56" t="str">
        <x:v>稳定措施</x:v>
      </x:c>
      <x:c r="D102" s="56" t="str">
        <x:v>评估尿潴留、血块、感染和肾功能；急性尿潴留时规范导尿，血块堵塞时考虑三腔导尿和膀胱冲洗。
结合PSA、直肠指检、前列腺MRI和必要时穿刺病理完成诊断分期，再制定监测、手术、放疗或系统治疗。</x:v>
      </x:c>
      <x:c r="E102" s="56" t="str">
        <x:v>评估生命体征、出血、尿潴留、感染和AKI。</x:v>
      </x:c>
      <x:c r="F102" s="56" t="str">
        <x:v>按病例诊断和严重度</x:v>
      </x:c>
      <x:c r="G102" s="56" t="str">
        <x:v>进入相应阶段</x:v>
      </x:c>
      <x:c r="H102" s="56" t="str">
        <x:v>待专家确认</x:v>
      </x:c>
      <x:c r="I102" s="56" t="str">
        <x:v>危险顺序需病例特异审核</x:v>
      </x:c>
      <x:c r="J102" s="56" t="str">
        <x:v>泌尿外科</x:v>
      </x:c>
      <x:c r="K102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L102" s="56" t="str">
        <x:v>待专家核对</x:v>
      </x:c>
      <x:c r="M102" s="59" t="str">
        <x:v>待专家确认</x:v>
      </x:c>
    </x:row>
    <x:row r="103">
      <x:c r="A103" s="56" t="str">
        <x:v>P030</x:v>
      </x:c>
      <x:c r="B103" s="56" t="str">
        <x:v>HX-ADD-018</x:v>
      </x:c>
      <x:c r="C103" s="56" t="str">
        <x:v>急诊处理</x:v>
      </x:c>
      <x:c r="D103" s="56" t="str">
        <x:v>评估尿潴留、血块、感染和肾功能；急性尿潴留时规范导尿，血块堵塞时考虑三腔导尿和膀胱冲洗。
结合PSA、直肠指检、前列腺MRI和必要时穿刺病理完成诊断分期，再制定监测、手术、放疗或系统治疗。</x:v>
      </x:c>
      <x:c r="E103" s="56" t="str">
        <x:v>评估尿潴留、血块、感染和肾功能；急性尿潴留时规范导尿，血块堵塞时考虑三腔导尿和膀胱冲洗。</x:v>
      </x:c>
      <x:c r="F103" s="56" t="str">
        <x:v>按病例诊断和严重度</x:v>
      </x:c>
      <x:c r="G103" s="56" t="str">
        <x:v>满足急症触发条件</x:v>
      </x:c>
      <x:c r="H103" s="56" t="str">
        <x:v>待专家确认</x:v>
      </x:c>
      <x:c r="I103" s="56" t="str">
        <x:v>尿潴留或血块堵塞未及时解除；仅凭PSA直接诊断前列腺癌</x:v>
      </x:c>
      <x:c r="J103" s="56" t="str">
        <x:v>泌尿外科</x:v>
      </x:c>
      <x:c r="K103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L103" s="56" t="str">
        <x:v>待专家核对</x:v>
      </x:c>
      <x:c r="M103" s="59" t="str">
        <x:v>待专家确认</x:v>
      </x:c>
    </x:row>
    <x:row r="104">
      <x:c r="A104" s="56" t="str">
        <x:v>P030</x:v>
      </x:c>
      <x:c r="B104" s="56" t="str">
        <x:v>HX-ADD-018</x:v>
      </x:c>
      <x:c r="C104" s="56" t="str">
        <x:v>病因/确定性治疗</x:v>
      </x:c>
      <x:c r="D104" s="56" t="str">
        <x:v>评估尿潴留、血块、感染和肾功能；急性尿潴留时规范导尿，血块堵塞时考虑三腔导尿和膀胱冲洗。
结合PSA、直肠指检、前列腺MRI和必要时穿刺病理完成诊断分期，再制定监测、手术、放疗或系统治疗。</x:v>
      </x:c>
      <x:c r="E104" s="56" t="str">
        <x:v>结合PSA、直肠指检、前列腺MRI和必要时穿刺病理完成诊断分期，再制定监测、手术、放疗或系统治疗。</x:v>
      </x:c>
      <x:c r="F104" s="56" t="str">
        <x:v>按病例诊断和严重度</x:v>
      </x:c>
      <x:c r="G104" s="56" t="str">
        <x:v>完成必要诊断和分期</x:v>
      </x:c>
      <x:c r="H104" s="56" t="str">
        <x:v>待专家确认</x:v>
      </x:c>
      <x:c r="I104" s="56" t="str">
        <x:v>尿潴留或血块堵塞未及时解除；仅凭PSA直接诊断前列腺癌</x:v>
      </x:c>
      <x:c r="J104" s="56" t="str">
        <x:v>泌尿外科</x:v>
      </x:c>
      <x:c r="K104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L104" s="56" t="str">
        <x:v>待专家核对</x:v>
      </x:c>
      <x:c r="M104" s="59" t="str">
        <x:v>待专家确认</x:v>
      </x:c>
    </x:row>
    <x:row r="105">
      <x:c r="A105" s="56" t="str">
        <x:v>P030</x:v>
      </x:c>
      <x:c r="B105" s="56" t="str">
        <x:v>HX-ADD-018</x:v>
      </x:c>
      <x:c r="C105" s="56" t="str">
        <x:v>随访与教育</x:v>
      </x:c>
      <x:c r="D105" s="56" t="str">
        <x:v>评估尿潴留、血块、感染和肾功能；急性尿潴留时规范导尿，血块堵塞时考虑三腔导尿和膀胱冲洗。
结合PSA、直肠指检、前列腺MRI和必要时穿刺病理完成诊断分期，再制定监测、手术、放疗或系统治疗。</x:v>
      </x:c>
      <x:c r="E105" s="56" t="str">
        <x:v>复查下尿路症状、残余尿、尿常规和肾功能；按诊断进行PSA、影像或肿瘤随访。</x:v>
      </x:c>
      <x:c r="F105" s="56" t="str">
        <x:v>按病例诊断和严重度</x:v>
      </x:c>
      <x:c r="G105" s="56" t="str">
        <x:v>完成治疗或进入观察</x:v>
      </x:c>
      <x:c r="H105" s="56" t="str">
        <x:v>待专家确认</x:v>
      </x:c>
      <x:c r="I105" s="56" t="str">
        <x:v>遗漏安全网需扣分</x:v>
      </x:c>
      <x:c r="J105" s="56" t="str">
        <x:v>泌尿外科</x:v>
      </x:c>
      <x:c r="K105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L105" s="56" t="str">
        <x:v>待专家核对</x:v>
      </x:c>
      <x:c r="M105" s="59" t="str">
        <x:v>待专家确认</x:v>
      </x:c>
    </x:row>
    <x:row r="106">
      <x:c r="A106" s="56" t="str">
        <x:v>P031</x:v>
      </x:c>
      <x:c r="B106" s="56" t="str">
        <x:v>HX-ADD-019</x:v>
      </x:c>
      <x:c r="C106" s="56" t="str">
        <x:v>病因治疗</x:v>
      </x:c>
      <x:c r="D106" s="56" t="str">
        <x:v>评估血压、尿量、水肿、肾功能、电解质和尿蛋白；出现AKI、严重高血压、肺水肿或少尿时紧急肾内科处理。
由肾内科结合尿沉渣红细胞形态、蛋白定量、免疫学和必要时肾活检明确病理类型，实施支持治疗和病因特异治疗。</x:v>
      </x:c>
      <x:c r="E106" s="56" t="str">
        <x:v>依据蛋白尿、血压、eGFR和活检适应证进入IgA肾病路径。</x:v>
      </x:c>
      <x:c r="F106" s="56" t="str">
        <x:v>按病例诊断和严重度</x:v>
      </x:c>
      <x:c r="G106" s="56" t="str">
        <x:v>完成肾内科评估</x:v>
      </x:c>
      <x:c r="H106" s="56" t="str">
        <x:v>待专家确认</x:v>
      </x:c>
      <x:c r="I106" s="56" t="str">
        <x:v>肾活检不是所有患者场景必开</x:v>
      </x:c>
      <x:c r="J106" s="56" t="str">
        <x:v>泌尿外科、感染科</x:v>
      </x:c>
      <x:c r="K106" s="56" t="str">
        <x:v>https://kdigo.org/guidelines/iga-nephropathy/</x:v>
      </x:c>
      <x:c r="L106" s="56" t="str">
        <x:v>Management</x:v>
      </x:c>
      <x:c r="M106" s="59" t="str">
        <x:v>待专家确认</x:v>
      </x:c>
    </x:row>
    <x:row r="107">
      <x:c r="A107" s="56" t="str">
        <x:v>P032</x:v>
      </x:c>
      <x:c r="B107" s="56" t="str">
        <x:v>HX-ADD-020</x:v>
      </x:c>
      <x:c r="C107" s="56" t="str">
        <x:v>即时处理</x:v>
      </x:c>
      <x:c r="D107" s="56" t="str">
        <x:v>评估血压、尿量、水肿、肾功能、电解质和尿蛋白；出现AKI、严重高血压、肺水肿或少尿时紧急肾内科处理。
由肾内科结合尿沉渣红细胞形态、蛋白定量、免疫学和必要时肾活检明确病理类型，实施支持治疗和病因特异治疗。</x:v>
      </x:c>
      <x:c r="E107" s="56" t="str">
        <x:v>处理严重AKI、少尿、肺水肿或高血压急症；同时评估感染后肾炎。</x:v>
      </x:c>
      <x:c r="F107" s="56" t="str">
        <x:v>按病例诊断和严重度</x:v>
      </x:c>
      <x:c r="G107" s="56" t="str">
        <x:v>严重度评估</x:v>
      </x:c>
      <x:c r="H107" s="56" t="str">
        <x:v>待专家确认</x:v>
      </x:c>
      <x:c r="I107" s="56" t="str">
        <x:v>危急并发症未处理属于患者安全错误</x:v>
      </x:c>
      <x:c r="J107" s="56" t="str">
        <x:v>泌尿外科、感染科</x:v>
      </x:c>
      <x:c r="K107" s="56" t="str">
        <x:v>https://kdigo.org/guidelines/iga-nephropathy/</x:v>
      </x:c>
      <x:c r="L107" s="56" t="str">
        <x:v>Glomerular disease</x:v>
      </x:c>
      <x:c r="M107" s="59" t="str">
        <x:v>待专家确认</x:v>
      </x:c>
    </x:row>
    <x:row r="108">
      <x:c r="A108" s="56" t="str">
        <x:v>P033</x:v>
      </x:c>
      <x:c r="B108" s="56" t="str">
        <x:v>HX-ADD-021</x:v>
      </x:c>
      <x:c r="C108" s="56" t="str">
        <x:v>病因治疗</x:v>
      </x:c>
      <x:c r="D108" s="56" t="str">
        <x:v>评估血压、尿量、水肿、肾功能、电解质和尿蛋白；出现AKI、严重高血压、肺水肿或少尿时紧急肾内科处理。
由肾内科结合尿沉渣红细胞形态、蛋白定量、免疫学和必要时肾活检明确病理类型，实施支持治疗和病因特异治疗。</x:v>
      </x:c>
      <x:c r="E108" s="56" t="str">
        <x:v>按COL4相关疾病风险、蛋白尿和遗传结果随访管理。</x:v>
      </x:c>
      <x:c r="F108" s="56" t="str">
        <x:v>按病例诊断和严重度</x:v>
      </x:c>
      <x:c r="G108" s="56" t="str">
        <x:v>遗传/肾内科评估</x:v>
      </x:c>
      <x:c r="H108" s="56" t="str">
        <x:v>待专家确认</x:v>
      </x:c>
      <x:c r="I108" s="56" t="str">
        <x:v>不得统一要求肾活检</x:v>
      </x:c>
      <x:c r="J108" s="56" t="str">
        <x:v>泌尿外科</x:v>
      </x:c>
      <x:c r="K108" s="56" t="str">
        <x:v>https://kdigo.org/guidelines/iga-nephropathy/</x:v>
      </x:c>
      <x:c r="L108" s="56" t="str">
        <x:v>Genetic kidney disease</x:v>
      </x:c>
      <x:c r="M108" s="59" t="str">
        <x:v>待专家确认</x:v>
      </x:c>
    </x:row>
    <x:row r="109">
      <x:c r="A109" s="56" t="str">
        <x:v>P034</x:v>
      </x:c>
      <x:c r="B109" s="56" t="str">
        <x:v>HX-ADD-022</x:v>
      </x:c>
      <x:c r="C109" s="56" t="str">
        <x:v>病因治疗</x:v>
      </x:c>
      <x:c r="D109" s="56" t="str">
        <x:v>评估血压、尿量、水肿、肾功能、电解质和尿蛋白；出现AKI、严重高血压、肺水肿或少尿时紧急肾内科处理。
由肾内科结合尿沉渣红细胞形态、蛋白定量、免疫学和必要时肾活检明确病理类型，实施支持治疗和病因特异治疗。</x:v>
      </x:c>
      <x:c r="E109" s="56" t="str">
        <x:v>结合遗传、听力、眼科、蛋白尿和肾功能制定Alport管理与家系咨询。</x:v>
      </x:c>
      <x:c r="F109" s="56" t="str">
        <x:v>按病例诊断和严重度</x:v>
      </x:c>
      <x:c r="G109" s="56" t="str">
        <x:v>遗传确证或高度疑似</x:v>
      </x:c>
      <x:c r="H109" s="56" t="str">
        <x:v>待专家确认</x:v>
      </x:c>
      <x:c r="I109" s="56" t="str">
        <x:v>不得遗漏肾外表现评估</x:v>
      </x:c>
      <x:c r="J109" s="56" t="str">
        <x:v>泌尿外科</x:v>
      </x:c>
      <x:c r="K109" s="56" t="str">
        <x:v>https://kdigo.org/guidelines/iga-nephropathy/</x:v>
      </x:c>
      <x:c r="L109" s="56" t="str">
        <x:v>Genetic kidney disease</x:v>
      </x:c>
      <x:c r="M109" s="59" t="str">
        <x:v>待专家确认</x:v>
      </x:c>
    </x:row>
    <x:row r="110">
      <x:c r="A110" s="56" t="str">
        <x:v>P035</x:v>
      </x:c>
      <x:c r="B110" s="56" t="str">
        <x:v>HX-ADD-023</x:v>
      </x:c>
      <x:c r="C110" s="56" t="str">
        <x:v>病因治疗</x:v>
      </x:c>
      <x:c r="D110" s="56" t="str">
        <x:v>评估血压、尿量、水肿、肾功能、电解质和尿蛋白；出现AKI、严重高血压、肺水肿或少尿时紧急肾内科处理。
由肾内科结合尿沉渣红细胞形态、蛋白定量、免疫学和必要时肾活检明确病理类型，实施支持治疗和病因特异治疗。</x:v>
      </x:c>
      <x:c r="E110" s="56" t="str">
        <x:v>依据免疫学、蛋白尿、肾功能及有指征时肾活检分型治疗狼疮性肾炎。</x:v>
      </x:c>
      <x:c r="F110" s="56" t="str">
        <x:v>按病例诊断和严重度</x:v>
      </x:c>
      <x:c r="G110" s="56" t="str">
        <x:v>风湿免疫科/肾内科评估</x:v>
      </x:c>
      <x:c r="H110" s="56" t="str">
        <x:v>待专家确认</x:v>
      </x:c>
      <x:c r="I110" s="56" t="str">
        <x:v>未分型不得机械套用免疫方案</x:v>
      </x:c>
      <x:c r="J110" s="56" t="str">
        <x:v>泌尿外科</x:v>
      </x:c>
      <x:c r="K110" s="56" t="str">
        <x:v>https://kdigo.org/guidelines/iga-nephropathy/</x:v>
      </x:c>
      <x:c r="L110" s="56" t="str">
        <x:v>Immune-mediated kidney disease</x:v>
      </x:c>
      <x:c r="M110" s="59" t="str">
        <x:v>待专家确认</x:v>
      </x:c>
    </x:row>
    <x:row r="111">
      <x:c r="A111" s="56" t="str">
        <x:v>P036</x:v>
      </x:c>
      <x:c r="B111" s="56" t="str">
        <x:v>HX-ADD-024</x:v>
      </x:c>
      <x:c r="C111" s="56" t="str">
        <x:v>稳定措施</x:v>
      </x:c>
      <x:c r="D111" s="56" t="str">
        <x:v>停止剧烈运动、补液并评估横纹肌溶解、外伤和肾功能风险；确认尿沉渣中是否存在红细胞。
休息后复查规范尿标本；仅在血尿消失且无危险线索时考虑运动相关，持续或复发者按真性血尿路径评估。</x:v>
      </x:c>
      <x:c r="E111" s="56" t="str">
        <x:v>评估生命体征、出血、尿潴留、感染和AKI。</x:v>
      </x:c>
      <x:c r="F111" s="56" t="str">
        <x:v>按病例诊断和严重度</x:v>
      </x:c>
      <x:c r="G111" s="56" t="str">
        <x:v>进入相应阶段</x:v>
      </x:c>
      <x:c r="H111" s="56" t="str">
        <x:v>待专家确认</x:v>
      </x:c>
      <x:c r="I111" s="56" t="str">
        <x:v>危险顺序需病例特异审核</x:v>
      </x:c>
      <x:c r="J111" s="56" t="str">
        <x:v>泌尿外科</x:v>
      </x:c>
      <x:c r="K111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L111" s="56" t="str">
        <x:v>待专家核对</x:v>
      </x:c>
      <x:c r="M111" s="59" t="str">
        <x:v>待专家确认</x:v>
      </x:c>
    </x:row>
    <x:row r="112">
      <x:c r="A112" s="56" t="str">
        <x:v>P036</x:v>
      </x:c>
      <x:c r="B112" s="56" t="str">
        <x:v>HX-ADD-024</x:v>
      </x:c>
      <x:c r="C112" s="56" t="str">
        <x:v>急诊处理</x:v>
      </x:c>
      <x:c r="D112" s="56" t="str">
        <x:v>停止剧烈运动、补液并评估横纹肌溶解、外伤和肾功能风险；确认尿沉渣中是否存在红细胞。
休息后复查规范尿标本；仅在血尿消失且无危险线索时考虑运动相关，持续或复发者按真性血尿路径评估。</x:v>
      </x:c>
      <x:c r="E112" s="56" t="str">
        <x:v>停止剧烈运动、补液并评估横纹肌溶解、外伤和肾功能风险；确认尿沉渣中是否存在红细胞。</x:v>
      </x:c>
      <x:c r="F112" s="56" t="str">
        <x:v>按病例诊断和严重度</x:v>
      </x:c>
      <x:c r="G112" s="56" t="str">
        <x:v>满足急症触发条件</x:v>
      </x:c>
      <x:c r="H112" s="56" t="str">
        <x:v>待专家确认</x:v>
      </x:c>
      <x:c r="I112" s="56" t="str">
        <x:v>未复查即把血尿归因于运动；忽略色素尿或肾损伤</x:v>
      </x:c>
      <x:c r="J112" s="56" t="str">
        <x:v>泌尿外科</x:v>
      </x:c>
      <x:c r="K112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L112" s="56" t="str">
        <x:v>待专家核对</x:v>
      </x:c>
      <x:c r="M112" s="59" t="str">
        <x:v>待专家确认</x:v>
      </x:c>
    </x:row>
    <x:row r="113">
      <x:c r="A113" s="56" t="str">
        <x:v>P036</x:v>
      </x:c>
      <x:c r="B113" s="56" t="str">
        <x:v>HX-ADD-024</x:v>
      </x:c>
      <x:c r="C113" s="56" t="str">
        <x:v>病因/确定性治疗</x:v>
      </x:c>
      <x:c r="D113" s="56" t="str">
        <x:v>停止剧烈运动、补液并评估横纹肌溶解、外伤和肾功能风险；确认尿沉渣中是否存在红细胞。
休息后复查规范尿标本；仅在血尿消失且无危险线索时考虑运动相关，持续或复发者按真性血尿路径评估。</x:v>
      </x:c>
      <x:c r="E113" s="56" t="str">
        <x:v>休息后复查规范尿标本；仅在血尿消失且无危险线索时考虑运动相关，持续或复发者按真性血尿路径评估。</x:v>
      </x:c>
      <x:c r="F113" s="56" t="str">
        <x:v>按病例诊断和严重度</x:v>
      </x:c>
      <x:c r="G113" s="56" t="str">
        <x:v>完成必要诊断和分期</x:v>
      </x:c>
      <x:c r="H113" s="56" t="str">
        <x:v>待专家确认</x:v>
      </x:c>
      <x:c r="I113" s="56" t="str">
        <x:v>未复查即把血尿归因于运动；忽略色素尿或肾损伤</x:v>
      </x:c>
      <x:c r="J113" s="56" t="str">
        <x:v>泌尿外科</x:v>
      </x:c>
      <x:c r="K113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L113" s="56" t="str">
        <x:v>待专家核对</x:v>
      </x:c>
      <x:c r="M113" s="59" t="str">
        <x:v>待专家确认</x:v>
      </x:c>
    </x:row>
    <x:row r="114">
      <x:c r="A114" s="56" t="str">
        <x:v>P036</x:v>
      </x:c>
      <x:c r="B114" s="56" t="str">
        <x:v>HX-ADD-024</x:v>
      </x:c>
      <x:c r="C114" s="56" t="str">
        <x:v>随访与教育</x:v>
      </x:c>
      <x:c r="D114" s="56" t="str">
        <x:v>停止剧烈运动、补液并评估横纹肌溶解、外伤和肾功能风险；确认尿沉渣中是否存在红细胞。
休息后复查规范尿标本；仅在血尿消失且无危险线索时考虑运动相关，持续或复发者按真性血尿路径评估。</x:v>
      </x:c>
      <x:c r="E114" s="56" t="str">
        <x:v>短期复查尿常规和肾功能；持续血尿、蛋白尿或其他异常时转肾内科/泌尿外科。</x:v>
      </x:c>
      <x:c r="F114" s="56" t="str">
        <x:v>按病例诊断和严重度</x:v>
      </x:c>
      <x:c r="G114" s="56" t="str">
        <x:v>完成治疗或进入观察</x:v>
      </x:c>
      <x:c r="H114" s="56" t="str">
        <x:v>待专家确认</x:v>
      </x:c>
      <x:c r="I114" s="56" t="str">
        <x:v>遗漏安全网需扣分</x:v>
      </x:c>
      <x:c r="J114" s="56" t="str">
        <x:v>泌尿外科</x:v>
      </x:c>
      <x:c r="K114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L114" s="56" t="str">
        <x:v>待专家核对</x:v>
      </x:c>
      <x:c r="M114" s="59" t="str">
        <x:v>待专家确认</x:v>
      </x:c>
    </x:row>
    <x:row r="115">
      <x:c r="A115" s="56" t="str">
        <x:v>P037</x:v>
      </x:c>
      <x:c r="B115" s="56" t="str">
        <x:v>HX-ADD-025</x:v>
      </x:c>
      <x:c r="C115" s="56" t="str">
        <x:v>即时/随访</x:v>
      </x:c>
      <x:c r="D115" s="56" t="str">
        <x:v>确认尿液中是否存在红细胞，询问月经和阴道出血并规范清洁中段尿留样；有妇科活动性出血时按妇科路径评估。
经期结束或污染排除后复查尿常规和尿沉渣；仅在证实持续真性血尿后进入泌尿或肾内科血尿评估。</x:v>
      </x:c>
      <x:c r="E115" s="56" t="str">
        <x:v>经期结束后规范清洁中段尿复查；异常阴道流血时妇科评估。</x:v>
      </x:c>
      <x:c r="F115" s="56" t="str">
        <x:v>按病例诊断和严重度</x:v>
      </x:c>
      <x:c r="G115" s="56" t="str">
        <x:v>先排除污染</x:v>
      </x:c>
      <x:c r="H115" s="56" t="str">
        <x:v>待专家确认</x:v>
      </x:c>
      <x:c r="I115" s="56" t="str">
        <x:v>未确认真性血尿前不得进行侵入性泌尿检查</x:v>
      </x:c>
      <x:c r="J115" s="56" t="str">
        <x:v>泌尿外科</x:v>
      </x:c>
      <x:c r="K115" s="56" t="str">
        <x:v>https://www.auanet.org/guidelines-and-quality/guidelines/microhematuria</x:v>
      </x:c>
      <x:c r="L115" s="56" t="str">
        <x:v>Initial evaluation</x:v>
      </x:c>
      <x:c r="M115" s="59" t="str">
        <x:v>待专家确认</x:v>
      </x:c>
    </x:row>
    <x:row r="116">
      <x:c r="A116" s="56" t="str">
        <x:v>P038</x:v>
      </x:c>
      <x:c r="B116" s="56" t="str">
        <x:v>HX-ADD-026</x:v>
      </x:c>
      <x:c r="C116" s="56" t="str">
        <x:v>稳定措施</x:v>
      </x:c>
      <x:c r="D116" s="56" t="str">
        <x:v>按创伤初评稳定气道、呼吸和循环，监测生命体征、血红蛋白和尿量；血流动力学稳定者行增强CT分级，及时请泌尿外科/创伤外科。
依据损伤分级和血流动力学选择观察、介入栓塞、内镜引流或手术探查，并同步处理合并伤。</x:v>
      </x:c>
      <x:c r="E116" s="56" t="str">
        <x:v>评估生命体征、出血、尿潴留、感染和AKI。</x:v>
      </x:c>
      <x:c r="F116" s="56" t="str">
        <x:v>按病例诊断和严重度</x:v>
      </x:c>
      <x:c r="G116" s="56" t="str">
        <x:v>进入相应阶段</x:v>
      </x:c>
      <x:c r="H116" s="56" t="str">
        <x:v>待专家确认</x:v>
      </x:c>
      <x:c r="I116" s="56" t="str">
        <x:v>危险顺序需病例特异审核</x:v>
      </x:c>
      <x:c r="J116" s="56" t="str">
        <x:v>泌尿外科</x:v>
      </x:c>
      <x:c r="K116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L116" s="56" t="str">
        <x:v>待专家核对</x:v>
      </x:c>
      <x:c r="M116" s="59" t="str">
        <x:v>待专家确认</x:v>
      </x:c>
    </x:row>
    <x:row r="117">
      <x:c r="A117" s="56" t="str">
        <x:v>P038</x:v>
      </x:c>
      <x:c r="B117" s="56" t="str">
        <x:v>HX-ADD-026</x:v>
      </x:c>
      <x:c r="C117" s="56" t="str">
        <x:v>急诊处理</x:v>
      </x:c>
      <x:c r="D117" s="56" t="str">
        <x:v>按创伤初评稳定气道、呼吸和循环，监测生命体征、血红蛋白和尿量；血流动力学稳定者行增强CT分级，及时请泌尿外科/创伤外科。
依据损伤分级和血流动力学选择观察、介入栓塞、内镜引流或手术探查，并同步处理合并伤。</x:v>
      </x:c>
      <x:c r="E117" s="56" t="str">
        <x:v>按创伤初评稳定气道、呼吸和循环，监测生命体征、血红蛋白和尿量；血流动力学稳定者行增强CT分级，及时请泌尿外科/创伤外科。</x:v>
      </x:c>
      <x:c r="F117" s="56" t="str">
        <x:v>按病例诊断和严重度</x:v>
      </x:c>
      <x:c r="G117" s="56" t="str">
        <x:v>满足急症触发条件</x:v>
      </x:c>
      <x:c r="H117" s="56" t="str">
        <x:v>待专家确认</x:v>
      </x:c>
      <x:c r="I117" s="56" t="str">
        <x:v>血流动力学不稳定时延误复苏；未评估合并伤或贸然进行不合适检查</x:v>
      </x:c>
      <x:c r="J117" s="56" t="str">
        <x:v>泌尿外科</x:v>
      </x:c>
      <x:c r="K117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L117" s="56" t="str">
        <x:v>待专家核对</x:v>
      </x:c>
      <x:c r="M117" s="59" t="str">
        <x:v>待专家确认</x:v>
      </x:c>
    </x:row>
    <x:row r="118">
      <x:c r="A118" s="56" t="str">
        <x:v>P038</x:v>
      </x:c>
      <x:c r="B118" s="56" t="str">
        <x:v>HX-ADD-026</x:v>
      </x:c>
      <x:c r="C118" s="56" t="str">
        <x:v>病因/确定性治疗</x:v>
      </x:c>
      <x:c r="D118" s="56" t="str">
        <x:v>按创伤初评稳定气道、呼吸和循环，监测生命体征、血红蛋白和尿量；血流动力学稳定者行增强CT分级，及时请泌尿外科/创伤外科。
依据损伤分级和血流动力学选择观察、介入栓塞、内镜引流或手术探查，并同步处理合并伤。</x:v>
      </x:c>
      <x:c r="E118" s="56" t="str">
        <x:v>依据损伤分级和血流动力学选择观察、介入栓塞、内镜引流或手术探查，并同步处理合并伤。</x:v>
      </x:c>
      <x:c r="F118" s="56" t="str">
        <x:v>按病例诊断和严重度</x:v>
      </x:c>
      <x:c r="G118" s="56" t="str">
        <x:v>完成必要诊断和分期</x:v>
      </x:c>
      <x:c r="H118" s="56" t="str">
        <x:v>待专家确认</x:v>
      </x:c>
      <x:c r="I118" s="56" t="str">
        <x:v>血流动力学不稳定时延误复苏；未评估合并伤或贸然进行不合适检查</x:v>
      </x:c>
      <x:c r="J118" s="56" t="str">
        <x:v>泌尿外科</x:v>
      </x:c>
      <x:c r="K118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L118" s="56" t="str">
        <x:v>待专家核对</x:v>
      </x:c>
      <x:c r="M118" s="59" t="str">
        <x:v>待专家确认</x:v>
      </x:c>
    </x:row>
    <x:row r="119">
      <x:c r="A119" s="56" t="str">
        <x:v>P038</x:v>
      </x:c>
      <x:c r="B119" s="56" t="str">
        <x:v>HX-ADD-026</x:v>
      </x:c>
      <x:c r="C119" s="56" t="str">
        <x:v>随访与教育</x:v>
      </x:c>
      <x:c r="D119" s="56" t="str">
        <x:v>按创伤初评稳定气道、呼吸和循环，监测生命体征、血红蛋白和尿量；血流动力学稳定者行增强CT分级，及时请泌尿外科/创伤外科。
依据损伤分级和血流动力学选择观察、介入栓塞、内镜引流或手术探查，并同步处理合并伤。</x:v>
      </x:c>
      <x:c r="E119" s="56" t="str">
        <x:v>复查血压、血红蛋白、肾功能和必要影像，监测迟发出血、尿外渗、感染及创伤后高血压。</x:v>
      </x:c>
      <x:c r="F119" s="56" t="str">
        <x:v>按病例诊断和严重度</x:v>
      </x:c>
      <x:c r="G119" s="56" t="str">
        <x:v>完成治疗或进入观察</x:v>
      </x:c>
      <x:c r="H119" s="56" t="str">
        <x:v>待专家确认</x:v>
      </x:c>
      <x:c r="I119" s="56" t="str">
        <x:v>遗漏安全网需扣分</x:v>
      </x:c>
      <x:c r="J119" s="56" t="str">
        <x:v>泌尿外科</x:v>
      </x:c>
      <x:c r="K119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L119" s="56" t="str">
        <x:v>待专家核对</x:v>
      </x:c>
      <x:c r="M119" s="59" t="str">
        <x:v>待专家确认</x:v>
      </x:c>
    </x:row>
    <x:row r="120">
      <x:c r="A120" s="56" t="str">
        <x:v>P039</x:v>
      </x:c>
      <x:c r="B120" s="56" t="str">
        <x:v>HX-ADD-027</x:v>
      </x:c>
      <x:c r="C120" s="56" t="str">
        <x:v>稳定措施</x:v>
      </x:c>
      <x:c r="D120" s="56" t="str">
        <x:v>评估感染、梗阻、AKI、糖尿病、镇痛药暴露和血红蛋白；必要时抗感染、引流和停用相关肾毒性药。
处理基础病因，使用影像或输尿管镜明确坏死乳头和梗阻；脱落组织致梗阻时由泌尿外科解除。</x:v>
      </x:c>
      <x:c r="E120" s="56" t="str">
        <x:v>评估生命体征、出血、尿潴留、感染和AKI。</x:v>
      </x:c>
      <x:c r="F120" s="56" t="str">
        <x:v>按病例诊断和严重度</x:v>
      </x:c>
      <x:c r="G120" s="56" t="str">
        <x:v>进入相应阶段</x:v>
      </x:c>
      <x:c r="H120" s="56" t="str">
        <x:v>待专家确认</x:v>
      </x:c>
      <x:c r="I120" s="56" t="str">
        <x:v>危险顺序需病例特异审核</x:v>
      </x:c>
      <x:c r="J120" s="56" t="str">
        <x:v>泌尿外科</x:v>
      </x:c>
      <x:c r="K120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L120" s="56" t="str">
        <x:v>待专家核对</x:v>
      </x:c>
      <x:c r="M120" s="59" t="str">
        <x:v>待专家确认</x:v>
      </x:c>
    </x:row>
    <x:row r="121">
      <x:c r="A121" s="56" t="str">
        <x:v>P039</x:v>
      </x:c>
      <x:c r="B121" s="56" t="str">
        <x:v>HX-ADD-027</x:v>
      </x:c>
      <x:c r="C121" s="56" t="str">
        <x:v>急诊处理</x:v>
      </x:c>
      <x:c r="D121" s="56" t="str">
        <x:v>评估感染、梗阻、AKI、糖尿病、镇痛药暴露和血红蛋白；必要时抗感染、引流和停用相关肾毒性药。
处理基础病因，使用影像或输尿管镜明确坏死乳头和梗阻；脱落组织致梗阻时由泌尿外科解除。</x:v>
      </x:c>
      <x:c r="E121" s="56" t="str">
        <x:v>评估感染、梗阻、AKI、糖尿病、镇痛药暴露和血红蛋白；必要时抗感染、引流和停用相关肾毒性药。</x:v>
      </x:c>
      <x:c r="F121" s="56" t="str">
        <x:v>按病例诊断和严重度</x:v>
      </x:c>
      <x:c r="G121" s="56" t="str">
        <x:v>满足急症触发条件</x:v>
      </x:c>
      <x:c r="H121" s="56" t="str">
        <x:v>待专家确认</x:v>
      </x:c>
      <x:c r="I121" s="56" t="str">
        <x:v>忽略药物和基础病因；梗阻感染未引流</x:v>
      </x:c>
      <x:c r="J121" s="56" t="str">
        <x:v>泌尿外科</x:v>
      </x:c>
      <x:c r="K121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L121" s="56" t="str">
        <x:v>待专家核对</x:v>
      </x:c>
      <x:c r="M121" s="59" t="str">
        <x:v>待专家确认</x:v>
      </x:c>
    </x:row>
    <x:row r="122">
      <x:c r="A122" s="56" t="str">
        <x:v>P039</x:v>
      </x:c>
      <x:c r="B122" s="56" t="str">
        <x:v>HX-ADD-027</x:v>
      </x:c>
      <x:c r="C122" s="56" t="str">
        <x:v>病因/确定性治疗</x:v>
      </x:c>
      <x:c r="D122" s="56" t="str">
        <x:v>评估感染、梗阻、AKI、糖尿病、镇痛药暴露和血红蛋白；必要时抗感染、引流和停用相关肾毒性药。
处理基础病因，使用影像或输尿管镜明确坏死乳头和梗阻；脱落组织致梗阻时由泌尿外科解除。</x:v>
      </x:c>
      <x:c r="E122" s="56" t="str">
        <x:v>处理基础病因，使用影像或输尿管镜明确坏死乳头和梗阻；脱落组织致梗阻时由泌尿外科解除。</x:v>
      </x:c>
      <x:c r="F122" s="56" t="str">
        <x:v>按病例诊断和严重度</x:v>
      </x:c>
      <x:c r="G122" s="56" t="str">
        <x:v>完成必要诊断和分期</x:v>
      </x:c>
      <x:c r="H122" s="56" t="str">
        <x:v>待专家确认</x:v>
      </x:c>
      <x:c r="I122" s="56" t="str">
        <x:v>忽略药物和基础病因；梗阻感染未引流</x:v>
      </x:c>
      <x:c r="J122" s="56" t="str">
        <x:v>泌尿外科</x:v>
      </x:c>
      <x:c r="K122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L122" s="56" t="str">
        <x:v>待专家核对</x:v>
      </x:c>
      <x:c r="M122" s="59" t="str">
        <x:v>待专家确认</x:v>
      </x:c>
    </x:row>
    <x:row r="123">
      <x:c r="A123" s="56" t="str">
        <x:v>P039</x:v>
      </x:c>
      <x:c r="B123" s="56" t="str">
        <x:v>HX-ADD-027</x:v>
      </x:c>
      <x:c r="C123" s="56" t="str">
        <x:v>随访与教育</x:v>
      </x:c>
      <x:c r="D123" s="56" t="str">
        <x:v>评估感染、梗阻、AKI、糖尿病、镇痛药暴露和血红蛋白；必要时抗感染、引流和停用相关肾毒性药。
处理基础病因，使用影像或输尿管镜明确坏死乳头和梗阻；脱落组织致梗阻时由泌尿外科解除。</x:v>
      </x:c>
      <x:c r="E123" s="56" t="str">
        <x:v>随访肾功能、尿检和感染复发，控制糖尿病并避免滥用镇痛药。</x:v>
      </x:c>
      <x:c r="F123" s="56" t="str">
        <x:v>按病例诊断和严重度</x:v>
      </x:c>
      <x:c r="G123" s="56" t="str">
        <x:v>完成治疗或进入观察</x:v>
      </x:c>
      <x:c r="H123" s="56" t="str">
        <x:v>待专家确认</x:v>
      </x:c>
      <x:c r="I123" s="56" t="str">
        <x:v>遗漏安全网需扣分</x:v>
      </x:c>
      <x:c r="J123" s="56" t="str">
        <x:v>泌尿外科</x:v>
      </x:c>
      <x:c r="K123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L123" s="56" t="str">
        <x:v>待专家核对</x:v>
      </x:c>
      <x:c r="M123" s="59" t="str">
        <x:v>待专家确认</x:v>
      </x:c>
    </x:row>
    <x:row r="124">
      <x:c r="A124" s="56" t="str">
        <x:v>P040</x:v>
      </x:c>
      <x:c r="B124" s="56" t="str">
        <x:v>HX-ADD-028</x:v>
      </x:c>
      <x:c r="C124" s="56" t="str">
        <x:v>稳定措施</x:v>
      </x:c>
      <x:c r="D124" s="56" t="str">
        <x:v>评估血流动力学、血红蛋白、感染、结石和肾功能；稳定者镇痛休息，持续出血或不稳定者请泌尿外科/介入评估。
排除肿瘤和感染后处理囊肿出血；反复或严重出血可考虑介入栓塞等治疗，并由肾内科管理ADPKD。</x:v>
      </x:c>
      <x:c r="E124" s="56" t="str">
        <x:v>评估生命体征、出血、尿潴留、感染和AKI。</x:v>
      </x:c>
      <x:c r="F124" s="56" t="str">
        <x:v>按病例诊断和严重度</x:v>
      </x:c>
      <x:c r="G124" s="56" t="str">
        <x:v>进入相应阶段</x:v>
      </x:c>
      <x:c r="H124" s="56" t="str">
        <x:v>待专家确认</x:v>
      </x:c>
      <x:c r="I124" s="56" t="str">
        <x:v>危险顺序需病例特异审核</x:v>
      </x:c>
      <x:c r="J124" s="56" t="str">
        <x:v>泌尿外科</x:v>
      </x:c>
      <x:c r="K124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L124" s="56" t="str">
        <x:v>待专家核对</x:v>
      </x:c>
      <x:c r="M124" s="59" t="str">
        <x:v>待专家确认</x:v>
      </x:c>
    </x:row>
    <x:row r="125">
      <x:c r="A125" s="56" t="str">
        <x:v>P040</x:v>
      </x:c>
      <x:c r="B125" s="56" t="str">
        <x:v>HX-ADD-028</x:v>
      </x:c>
      <x:c r="C125" s="56" t="str">
        <x:v>急诊处理</x:v>
      </x:c>
      <x:c r="D125" s="56" t="str">
        <x:v>评估血流动力学、血红蛋白、感染、结石和肾功能；稳定者镇痛休息，持续出血或不稳定者请泌尿外科/介入评估。
排除肿瘤和感染后处理囊肿出血；反复或严重出血可考虑介入栓塞等治疗，并由肾内科管理ADPKD。</x:v>
      </x:c>
      <x:c r="E125" s="56" t="str">
        <x:v>评估血流动力学、血红蛋白、感染、结石和肾功能；稳定者镇痛休息，持续出血或不稳定者请泌尿外科/介入评估。</x:v>
      </x:c>
      <x:c r="F125" s="56" t="str">
        <x:v>按病例诊断和严重度</x:v>
      </x:c>
      <x:c r="G125" s="56" t="str">
        <x:v>满足急症触发条件</x:v>
      </x:c>
      <x:c r="H125" s="56" t="str">
        <x:v>待专家确认</x:v>
      </x:c>
      <x:c r="I125" s="56" t="str">
        <x:v>未排除感染或肿瘤；严重出血未评估血流动力学</x:v>
      </x:c>
      <x:c r="J125" s="56" t="str">
        <x:v>泌尿外科</x:v>
      </x:c>
      <x:c r="K125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L125" s="56" t="str">
        <x:v>待专家核对</x:v>
      </x:c>
      <x:c r="M125" s="59" t="str">
        <x:v>待专家确认</x:v>
      </x:c>
    </x:row>
    <x:row r="126">
      <x:c r="A126" s="56" t="str">
        <x:v>P040</x:v>
      </x:c>
      <x:c r="B126" s="56" t="str">
        <x:v>HX-ADD-028</x:v>
      </x:c>
      <x:c r="C126" s="56" t="str">
        <x:v>病因/确定性治疗</x:v>
      </x:c>
      <x:c r="D126" s="56" t="str">
        <x:v>评估血流动力学、血红蛋白、感染、结石和肾功能；稳定者镇痛休息，持续出血或不稳定者请泌尿外科/介入评估。
排除肿瘤和感染后处理囊肿出血；反复或严重出血可考虑介入栓塞等治疗，并由肾内科管理ADPKD。</x:v>
      </x:c>
      <x:c r="E126" s="56" t="str">
        <x:v>排除肿瘤和感染后处理囊肿出血；反复或严重出血可考虑介入栓塞等治疗，并由肾内科管理ADPKD。</x:v>
      </x:c>
      <x:c r="F126" s="56" t="str">
        <x:v>按病例诊断和严重度</x:v>
      </x:c>
      <x:c r="G126" s="56" t="str">
        <x:v>完成必要诊断和分期</x:v>
      </x:c>
      <x:c r="H126" s="56" t="str">
        <x:v>待专家确认</x:v>
      </x:c>
      <x:c r="I126" s="56" t="str">
        <x:v>未排除感染或肿瘤；严重出血未评估血流动力学</x:v>
      </x:c>
      <x:c r="J126" s="56" t="str">
        <x:v>泌尿外科</x:v>
      </x:c>
      <x:c r="K126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L126" s="56" t="str">
        <x:v>待专家核对</x:v>
      </x:c>
      <x:c r="M126" s="59" t="str">
        <x:v>待专家确认</x:v>
      </x:c>
    </x:row>
    <x:row r="127">
      <x:c r="A127" s="56" t="str">
        <x:v>P040</x:v>
      </x:c>
      <x:c r="B127" s="56" t="str">
        <x:v>HX-ADD-028</x:v>
      </x:c>
      <x:c r="C127" s="56" t="str">
        <x:v>随访与教育</x:v>
      </x:c>
      <x:c r="D127" s="56" t="str">
        <x:v>评估血流动力学、血红蛋白、感染、结石和肾功能；稳定者镇痛休息，持续出血或不稳定者请泌尿外科/介入评估。
排除肿瘤和感染后处理囊肿出血；反复或严重出血可考虑介入栓塞等治疗，并由肾内科管理ADPKD。</x:v>
      </x:c>
      <x:c r="E127" s="56" t="str">
        <x:v>监测血压、肾功能和囊肿并发症，进行家族遗传咨询和ADPKD规范随访。</x:v>
      </x:c>
      <x:c r="F127" s="56" t="str">
        <x:v>按病例诊断和严重度</x:v>
      </x:c>
      <x:c r="G127" s="56" t="str">
        <x:v>完成治疗或进入观察</x:v>
      </x:c>
      <x:c r="H127" s="56" t="str">
        <x:v>待专家确认</x:v>
      </x:c>
      <x:c r="I127" s="56" t="str">
        <x:v>遗漏安全网需扣分</x:v>
      </x:c>
      <x:c r="J127" s="56" t="str">
        <x:v>泌尿外科</x:v>
      </x:c>
      <x:c r="K127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  <x:c r="L127" s="56" t="str">
        <x:v>待专家核对</x:v>
      </x:c>
      <x:c r="M127" s="59" t="str">
        <x:v>待专家确认</x:v>
      </x:c>
    </x:row>
    <x:row r="128">
      <x:c r="A128" s="56" t="str">
        <x:v>P041</x:v>
      </x:c>
      <x:c r="B128" s="56" t="str">
        <x:v>HX-ADD-029</x:v>
      </x:c>
      <x:c r="C128" s="56" t="str">
        <x:v>确定性治疗</x:v>
      </x:c>
      <x:c r="D128" s="56" t="str">
        <x:v>评估生命体征、出血程度、尿量、肾功能和急症红旗，按病因路径请相关专科。
完成针对性检验和影像确认病因后制定个体化治疗。</x:v>
      </x:c>
      <x:c r="E128" s="56" t="str">
        <x:v>轻症可观察并随访贫血、蛋白尿和症状；严重或持续症状再由多学科评估干预。</x:v>
      </x:c>
      <x:c r="F128" s="56" t="str">
        <x:v>按病例诊断和严重度</x:v>
      </x:c>
      <x:c r="G128" s="56" t="str">
        <x:v>结合影像和严重度</x:v>
      </x:c>
      <x:c r="H128" s="56" t="str">
        <x:v>待专家确认</x:v>
      </x:c>
      <x:c r="I128" s="56" t="str">
        <x:v>不得仅凭针对性影像直接干预</x:v>
      </x:c>
      <x:c r="J128" s="56" t="str">
        <x:v>泌尿外科</x:v>
      </x:c>
      <x:c r="K128" s="56" t="str">
        <x:v>https://www.auanet.org/guidelines-and-quality/guidelines/microhematuria</x:v>
      </x:c>
      <x:c r="L128" s="56" t="str">
        <x:v>Alternative causes</x:v>
      </x:c>
      <x:c r="M128" s="59" t="str">
        <x:v>待专家确认</x:v>
      </x:c>
    </x:row>
    <x:row r="129">
      <x:c r="A129" s="57" t="str">
        <x:v>P042</x:v>
      </x:c>
      <x:c r="B129" s="57" t="str">
        <x:v>HX-ADD-030</x:v>
      </x:c>
      <x:c r="C129" s="57" t="str">
        <x:v>评估路径</x:v>
      </x:c>
      <x:c r="D129" s="57" t="str">
        <x:v>评估出血程度、贫血、血块尿潴留和肾功能；尿潴留时导尿冲洗，持续活动性出血时泌尿外科急诊处理。
完成膀胱镜/输尿管镜或影像定位并取得病理，结合分期和患者状况制定内镜切除、根治性手术或系统治疗。</x:v>
      </x:c>
      <x:c r="E129" s="57" t="str">
        <x:v>本病例是高危镜下血尿风险分层，不是已确诊肿瘤；完成膀胱镜和上尿路影像后按发现进入相应路径。</x:v>
      </x:c>
      <x:c r="F129" s="57" t="str">
        <x:v>按病例诊断和严重度</x:v>
      </x:c>
      <x:c r="G129" s="57" t="str">
        <x:v>确认持续真性血尿</x:v>
      </x:c>
      <x:c r="H129" s="57" t="str">
        <x:v>待专家确认</x:v>
      </x:c>
      <x:c r="I129" s="57" t="str">
        <x:v>未发现肿瘤前不得释放根治手术或系统治疗</x:v>
      </x:c>
      <x:c r="J129" s="57" t="str">
        <x:v>泌尿外科、影像科、病理科、肿瘤内科</x:v>
      </x:c>
      <x:c r="K129" s="57" t="str">
        <x:v>https://www.auanet.org/guidelines-and-quality/guidelines/microhematuria</x:v>
      </x:c>
      <x:c r="L129" s="57" t="str">
        <x:v>High-risk evaluation</x:v>
      </x:c>
      <x:c r="M129" s="60" t="str">
        <x:v>待专家确认</x:v>
      </x:c>
    </x:row>
  </x:sheetData>
  <x:mergeCells>
    <x:mergeCell ref="A1:M1"/>
  </x:mergeCells>
  <x:conditionalFormatting sqref="H4:M129">
    <x:cfRule type="containsText" dxfId="14" priority="1" operator="containsText" text="待"/>
    <x:cfRule type="containsText" dxfId="15" priority="2" operator="containsText" text="禁忌"/>
    <x:cfRule type="containsText" dxfId="16" priority="3" operator="containsText" text="重大"/>
    <x:cfRule type="containsText" dxfId="17" priority="4" operator="containsText" text="已复核"/>
  </x:conditionalFormatting>
  <x:dataValidations count="1">
    <x:dataValidation type="list" sqref="M4:M129">
      <x:formula1>"待专家确认,审核中,需修改,已复核"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bad7c1c6bef4ad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3.130000114440918" hidden="0" customWidth="1"/>
    <x:col min="3" max="3" width="12.5" hidden="0" customWidth="1"/>
    <x:col min="4" max="4" width="11.25" hidden="0" customWidth="1"/>
    <x:col min="5" max="5" width="23.1299991607666" hidden="0" customWidth="1"/>
    <x:col min="6" max="6" width="27.5" hidden="0" customWidth="1"/>
    <x:col min="7" max="7" width="11.25" hidden="0" customWidth="1"/>
    <x:col min="8" max="8" width="15.630000114440918" hidden="0" customWidth="1"/>
    <x:col min="9" max="9" width="13.75" hidden="0" customWidth="1"/>
    <x:col min="10" max="10" width="12.5" hidden="0" customWidth="1"/>
    <x:col min="11" max="11" width="12.5" hidden="0" customWidth="1"/>
    <x:col min="12" max="12" width="30" hidden="0" customWidth="1"/>
    <x:col min="13" max="13" width="28.75" hidden="0" customWidth="1"/>
    <x:col min="14" max="14" width="13.130000114440918" hidden="0" customWidth="1"/>
    <x:col min="15" max="15" width="11.25" hidden="0" customWidth="1"/>
    <x:col min="16" max="16" width="26.25" hidden="0" customWidth="1"/>
    <x:col min="17" max="17" width="12.5" hidden="0" customWidth="1"/>
  </x:cols>
  <x:sheetData>
    <x:row r="1" ht="30" customHeight="1">
      <x:c r="A1" s="42" t="str">
        <x:v>评分权重</x:v>
      </x:c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  <x:c r="N1" s="42"/>
      <x:c r="O1" s="42"/>
      <x:c r="P1" s="42"/>
      <x:c r="Q1" s="42"/>
    </x:row>
    <x:row r="2">
      <x:c r="A2" t="str">
        <x:v>全部病例360分校验</x:v>
      </x:c>
      <x:c r="B2" t="n">
        <x:f>COUNTIF(O4:O1673,"失败")</x:f>
        <x:v>0</x:v>
      </x:c>
      <x:c r="C2" t="str">
        <x:v>失败病例应为0</x:v>
      </x:c>
    </x:row>
    <x:row r="3" ht="36" customHeight="1">
      <x:c r="A3" s="47" t="str">
        <x:v>caseId</x:v>
      </x:c>
      <x:c r="B3" s="47" t="str">
        <x:v>originalCaseId</x:v>
      </x:c>
      <x:c r="C3" s="47" t="str">
        <x:v>dimensionId</x:v>
      </x:c>
      <x:c r="D3" s="47" t="str">
        <x:v>维度分值</x:v>
      </x:c>
      <x:c r="E3" s="47" t="str">
        <x:v>rubricItemId</x:v>
      </x:c>
      <x:c r="F3" s="47" t="str">
        <x:v>评分要求</x:v>
      </x:c>
      <x:c r="G3" s="47" t="str">
        <x:v>评分项满分</x:v>
      </x:c>
      <x:c r="H3" s="47" t="str">
        <x:v>评分项类型</x:v>
      </x:c>
      <x:c r="I3" s="47" t="str">
        <x:v>患者安全关键项</x:v>
      </x:c>
      <x:c r="J3" s="47" t="str">
        <x:v>维度0分错误</x:v>
      </x:c>
      <x:c r="K3" s="47" t="str">
        <x:v>总分封顶错误</x:v>
      </x:c>
      <x:c r="L3" s="47" t="str">
        <x:v>部分得分规则</x:v>
      </x:c>
      <x:c r="M3" s="47" t="str">
        <x:v>关键错误</x:v>
      </x:c>
      <x:c r="N3" s="47" t="str">
        <x:v>病例总分校验</x:v>
      </x:c>
      <x:c r="O3" s="47" t="str">
        <x:v>校验结果</x:v>
      </x:c>
      <x:c r="P3" s="47" t="str">
        <x:v>专家意见</x:v>
      </x:c>
      <x:c r="Q3" s="47" t="str">
        <x:v>修改状态</x:v>
      </x:c>
    </x:row>
    <x:row r="4">
      <x:c r="A4" s="55" t="str">
        <x:v>P001</x:v>
      </x:c>
      <x:c r="B4" s="55" t="str">
        <x:v>P001</x:v>
      </x:c>
      <x:c r="C4" s="55" t="str">
        <x:v>history</x:v>
      </x:c>
      <x:c r="D4" s="55" t="n">
        <x:v>50</x:v>
      </x:c>
      <x:c r="E4" s="55" t="str">
        <x:v>history.hematuria_visibility</x:v>
      </x:c>
      <x:c r="F4" s="55" t="str">
        <x:v>hematuria_visibility</x:v>
      </x:c>
      <x:c r="G4" s="55" t="n">
        <x:v>5</x:v>
      </x:c>
      <x:c r="H4" s="55" t="str">
        <x:v>普通得分项</x:v>
      </x:c>
      <x:c r="I4" s="55" t="str">
        <x:v>否</x:v>
      </x:c>
      <x:c r="J4" s="55" t="str">
        <x:v>否</x:v>
      </x:c>
      <x:c r="K4" s="55" t="str">
        <x:v>否</x:v>
      </x:c>
      <x:c r="L4" s="55" t="str">
        <x:v>按结构化事件证据给予0/部分/满分；不能由总结反推已完成</x:v>
      </x:c>
      <x:c r="M4" s="55" t="str"/>
      <x:c r="N4" s="55" t="n">
        <x:f>SUMIFS($G$4:$G$1673,$A$4:$A$1673,A4)</x:f>
        <x:v>360</x:v>
      </x:c>
      <x:c r="O4" s="55" t="str">
        <x:f>IF(N4=360,"通过","失败")</x:f>
        <x:v>通过</x:v>
      </x:c>
      <x:c r="P4" s="55" t="str"/>
      <x:c r="Q4" s="58" t="str">
        <x:v>待确认</x:v>
      </x:c>
    </x:row>
    <x:row r="5">
      <x:c r="A5" s="56" t="str">
        <x:v>P001</x:v>
      </x:c>
      <x:c r="B5" s="56" t="str">
        <x:v>P001</x:v>
      </x:c>
      <x:c r="C5" s="56" t="str">
        <x:v>history</x:v>
      </x:c>
      <x:c r="D5" s="56" t="n">
        <x:v>50</x:v>
      </x:c>
      <x:c r="E5" s="56" t="str">
        <x:v>history.hematuria_onset</x:v>
      </x:c>
      <x:c r="F5" s="56" t="str">
        <x:v>hematuria_onset</x:v>
      </x:c>
      <x:c r="G5" s="56" t="n">
        <x:v>5</x:v>
      </x:c>
      <x:c r="H5" s="56" t="str">
        <x:v>普通得分项</x:v>
      </x:c>
      <x:c r="I5" s="56" t="str">
        <x:v>否</x:v>
      </x:c>
      <x:c r="J5" s="56" t="str">
        <x:v>否</x:v>
      </x:c>
      <x:c r="K5" s="56" t="str">
        <x:v>否</x:v>
      </x:c>
      <x:c r="L5" s="56" t="str">
        <x:v>按结构化事件证据给予0/部分/满分；不能由总结反推已完成</x:v>
      </x:c>
      <x:c r="M5" s="56" t="str"/>
      <x:c r="N5" s="56" t="n">
        <x:f>SUMIFS($G$4:$G$1673,$A$4:$A$1673,A5)</x:f>
        <x:v>360</x:v>
      </x:c>
      <x:c r="O5" s="56" t="str">
        <x:f>IF(N5=360,"通过","失败")</x:f>
        <x:v>通过</x:v>
      </x:c>
      <x:c r="P5" s="56" t="str"/>
      <x:c r="Q5" s="59" t="str">
        <x:v>待确认</x:v>
      </x:c>
    </x:row>
    <x:row r="6">
      <x:c r="A6" s="56" t="str">
        <x:v>P001</x:v>
      </x:c>
      <x:c r="B6" s="56" t="str">
        <x:v>P001</x:v>
      </x:c>
      <x:c r="C6" s="56" t="str">
        <x:v>history</x:v>
      </x:c>
      <x:c r="D6" s="56" t="n">
        <x:v>50</x:v>
      </x:c>
      <x:c r="E6" s="56" t="str">
        <x:v>history.hematuria_frequency</x:v>
      </x:c>
      <x:c r="F6" s="56" t="str">
        <x:v>hematuria_frequency</x:v>
      </x:c>
      <x:c r="G6" s="56" t="n">
        <x:v>4</x:v>
      </x:c>
      <x:c r="H6" s="56" t="str">
        <x:v>普通得分项</x:v>
      </x:c>
      <x:c r="I6" s="56" t="str">
        <x:v>否</x:v>
      </x:c>
      <x:c r="J6" s="56" t="str">
        <x:v>否</x:v>
      </x:c>
      <x:c r="K6" s="56" t="str">
        <x:v>否</x:v>
      </x:c>
      <x:c r="L6" s="56" t="str">
        <x:v>按结构化事件证据给予0/部分/满分；不能由总结反推已完成</x:v>
      </x:c>
      <x:c r="M6" s="56" t="str"/>
      <x:c r="N6" s="56" t="n">
        <x:f>SUMIFS($G$4:$G$1673,$A$4:$A$1673,A6)</x:f>
        <x:v>360</x:v>
      </x:c>
      <x:c r="O6" s="56" t="str">
        <x:f>IF(N6=360,"通过","失败")</x:f>
        <x:v>通过</x:v>
      </x:c>
      <x:c r="P6" s="56" t="str"/>
      <x:c r="Q6" s="59" t="str">
        <x:v>待确认</x:v>
      </x:c>
    </x:row>
    <x:row r="7">
      <x:c r="A7" s="56" t="str">
        <x:v>P001</x:v>
      </x:c>
      <x:c r="B7" s="56" t="str">
        <x:v>P001</x:v>
      </x:c>
      <x:c r="C7" s="56" t="str">
        <x:v>history</x:v>
      </x:c>
      <x:c r="D7" s="56" t="n">
        <x:v>50</x:v>
      </x:c>
      <x:c r="E7" s="56" t="str">
        <x:v>history.hematuria_phase</x:v>
      </x:c>
      <x:c r="F7" s="56" t="str">
        <x:v>hematuria_phase</x:v>
      </x:c>
      <x:c r="G7" s="56" t="n">
        <x:v>4</x:v>
      </x:c>
      <x:c r="H7" s="56" t="str">
        <x:v>普通得分项</x:v>
      </x:c>
      <x:c r="I7" s="56" t="str">
        <x:v>否</x:v>
      </x:c>
      <x:c r="J7" s="56" t="str">
        <x:v>否</x:v>
      </x:c>
      <x:c r="K7" s="56" t="str">
        <x:v>否</x:v>
      </x:c>
      <x:c r="L7" s="56" t="str">
        <x:v>按结构化事件证据给予0/部分/满分；不能由总结反推已完成</x:v>
      </x:c>
      <x:c r="M7" s="56" t="str"/>
      <x:c r="N7" s="56" t="n">
        <x:f>SUMIFS($G$4:$G$1673,$A$4:$A$1673,A7)</x:f>
        <x:v>360</x:v>
      </x:c>
      <x:c r="O7" s="56" t="str">
        <x:f>IF(N7=360,"通过","失败")</x:f>
        <x:v>通过</x:v>
      </x:c>
      <x:c r="P7" s="56" t="str"/>
      <x:c r="Q7" s="59" t="str">
        <x:v>待确认</x:v>
      </x:c>
    </x:row>
    <x:row r="8">
      <x:c r="A8" s="56" t="str">
        <x:v>P001</x:v>
      </x:c>
      <x:c r="B8" s="56" t="str">
        <x:v>P001</x:v>
      </x:c>
      <x:c r="C8" s="56" t="str">
        <x:v>history</x:v>
      </x:c>
      <x:c r="D8" s="56" t="n">
        <x:v>50</x:v>
      </x:c>
      <x:c r="E8" s="56" t="str">
        <x:v>history.urine_color</x:v>
      </x:c>
      <x:c r="F8" s="56" t="str">
        <x:v>urine_color</x:v>
      </x:c>
      <x:c r="G8" s="56" t="n">
        <x:v>4</x:v>
      </x:c>
      <x:c r="H8" s="56" t="str">
        <x:v>普通得分项</x:v>
      </x:c>
      <x:c r="I8" s="56" t="str">
        <x:v>否</x:v>
      </x:c>
      <x:c r="J8" s="56" t="str">
        <x:v>否</x:v>
      </x:c>
      <x:c r="K8" s="56" t="str">
        <x:v>否</x:v>
      </x:c>
      <x:c r="L8" s="56" t="str">
        <x:v>按结构化事件证据给予0/部分/满分；不能由总结反推已完成</x:v>
      </x:c>
      <x:c r="M8" s="56" t="str"/>
      <x:c r="N8" s="56" t="n">
        <x:f>SUMIFS($G$4:$G$1673,$A$4:$A$1673,A8)</x:f>
        <x:v>360</x:v>
      </x:c>
      <x:c r="O8" s="56" t="str">
        <x:f>IF(N8=360,"通过","失败")</x:f>
        <x:v>通过</x:v>
      </x:c>
      <x:c r="P8" s="56" t="str"/>
      <x:c r="Q8" s="59" t="str">
        <x:v>待确认</x:v>
      </x:c>
    </x:row>
    <x:row r="9">
      <x:c r="A9" s="56" t="str">
        <x:v>P001</x:v>
      </x:c>
      <x:c r="B9" s="56" t="str">
        <x:v>P001</x:v>
      </x:c>
      <x:c r="C9" s="56" t="str">
        <x:v>history</x:v>
      </x:c>
      <x:c r="D9" s="56" t="n">
        <x:v>50</x:v>
      </x:c>
      <x:c r="E9" s="56" t="str">
        <x:v>history.clots</x:v>
      </x:c>
      <x:c r="F9" s="56" t="str">
        <x:v>clots</x:v>
      </x:c>
      <x:c r="G9" s="56" t="n">
        <x:v>4</x:v>
      </x:c>
      <x:c r="H9" s="56" t="str">
        <x:v>普通得分项</x:v>
      </x:c>
      <x:c r="I9" s="56" t="str">
        <x:v>否</x:v>
      </x:c>
      <x:c r="J9" s="56" t="str">
        <x:v>否</x:v>
      </x:c>
      <x:c r="K9" s="56" t="str">
        <x:v>否</x:v>
      </x:c>
      <x:c r="L9" s="56" t="str">
        <x:v>按结构化事件证据给予0/部分/满分；不能由总结反推已完成</x:v>
      </x:c>
      <x:c r="M9" s="56" t="str"/>
      <x:c r="N9" s="56" t="n">
        <x:f>SUMIFS($G$4:$G$1673,$A$4:$A$1673,A9)</x:f>
        <x:v>360</x:v>
      </x:c>
      <x:c r="O9" s="56" t="str">
        <x:f>IF(N9=360,"通过","失败")</x:f>
        <x:v>通过</x:v>
      </x:c>
      <x:c r="P9" s="56" t="str"/>
      <x:c r="Q9" s="59" t="str">
        <x:v>待确认</x:v>
      </x:c>
    </x:row>
    <x:row r="10">
      <x:c r="A10" s="56" t="str">
        <x:v>P001</x:v>
      </x:c>
      <x:c r="B10" s="56" t="str">
        <x:v>P001</x:v>
      </x:c>
      <x:c r="C10" s="56" t="str">
        <x:v>history</x:v>
      </x:c>
      <x:c r="D10" s="56" t="n">
        <x:v>50</x:v>
      </x:c>
      <x:c r="E10" s="56" t="str">
        <x:v>history.pain</x:v>
      </x:c>
      <x:c r="F10" s="56" t="str">
        <x:v>pain</x:v>
      </x:c>
      <x:c r="G10" s="56" t="n">
        <x:v>4</x:v>
      </x:c>
      <x:c r="H10" s="56" t="str">
        <x:v>普通得分项</x:v>
      </x:c>
      <x:c r="I10" s="56" t="str">
        <x:v>否</x:v>
      </x:c>
      <x:c r="J10" s="56" t="str">
        <x:v>否</x:v>
      </x:c>
      <x:c r="K10" s="56" t="str">
        <x:v>否</x:v>
      </x:c>
      <x:c r="L10" s="56" t="str">
        <x:v>按结构化事件证据给予0/部分/满分；不能由总结反推已完成</x:v>
      </x:c>
      <x:c r="M10" s="56" t="str"/>
      <x:c r="N10" s="56" t="n">
        <x:f>SUMIFS($G$4:$G$1673,$A$4:$A$1673,A10)</x:f>
        <x:v>360</x:v>
      </x:c>
      <x:c r="O10" s="56" t="str">
        <x:f>IF(N10=360,"通过","失败")</x:f>
        <x:v>通过</x:v>
      </x:c>
      <x:c r="P10" s="56" t="str"/>
      <x:c r="Q10" s="59" t="str">
        <x:v>待确认</x:v>
      </x:c>
    </x:row>
    <x:row r="11">
      <x:c r="A11" s="56" t="str">
        <x:v>P001</x:v>
      </x:c>
      <x:c r="B11" s="56" t="str">
        <x:v>P001</x:v>
      </x:c>
      <x:c r="C11" s="56" t="str">
        <x:v>history</x:v>
      </x:c>
      <x:c r="D11" s="56" t="n">
        <x:v>50</x:v>
      </x:c>
      <x:c r="E11" s="56" t="str">
        <x:v>history.dysuria</x:v>
      </x:c>
      <x:c r="F11" s="56" t="str">
        <x:v>dysuria</x:v>
      </x:c>
      <x:c r="G11" s="56" t="n">
        <x:v>4</x:v>
      </x:c>
      <x:c r="H11" s="56" t="str">
        <x:v>普通得分项</x:v>
      </x:c>
      <x:c r="I11" s="56" t="str">
        <x:v>否</x:v>
      </x:c>
      <x:c r="J11" s="56" t="str">
        <x:v>否</x:v>
      </x:c>
      <x:c r="K11" s="56" t="str">
        <x:v>否</x:v>
      </x:c>
      <x:c r="L11" s="56" t="str">
        <x:v>按结构化事件证据给予0/部分/满分；不能由总结反推已完成</x:v>
      </x:c>
      <x:c r="M11" s="56" t="str"/>
      <x:c r="N11" s="56" t="n">
        <x:f>SUMIFS($G$4:$G$1673,$A$4:$A$1673,A11)</x:f>
        <x:v>360</x:v>
      </x:c>
      <x:c r="O11" s="56" t="str">
        <x:f>IF(N11=360,"通过","失败")</x:f>
        <x:v>通过</x:v>
      </x:c>
      <x:c r="P11" s="56" t="str"/>
      <x:c r="Q11" s="59" t="str">
        <x:v>待确认</x:v>
      </x:c>
    </x:row>
    <x:row r="12">
      <x:c r="A12" s="56" t="str">
        <x:v>P001</x:v>
      </x:c>
      <x:c r="B12" s="56" t="str">
        <x:v>P001</x:v>
      </x:c>
      <x:c r="C12" s="56" t="str">
        <x:v>history</x:v>
      </x:c>
      <x:c r="D12" s="56" t="n">
        <x:v>50</x:v>
      </x:c>
      <x:c r="E12" s="56" t="str">
        <x:v>history.urinary_frequency</x:v>
      </x:c>
      <x:c r="F12" s="56" t="str">
        <x:v>urinary_frequency</x:v>
      </x:c>
      <x:c r="G12" s="56" t="n">
        <x:v>4</x:v>
      </x:c>
      <x:c r="H12" s="56" t="str">
        <x:v>普通得分项</x:v>
      </x:c>
      <x:c r="I12" s="56" t="str">
        <x:v>否</x:v>
      </x:c>
      <x:c r="J12" s="56" t="str">
        <x:v>否</x:v>
      </x:c>
      <x:c r="K12" s="56" t="str">
        <x:v>否</x:v>
      </x:c>
      <x:c r="L12" s="56" t="str">
        <x:v>按结构化事件证据给予0/部分/满分；不能由总结反推已完成</x:v>
      </x:c>
      <x:c r="M12" s="56" t="str"/>
      <x:c r="N12" s="56" t="n">
        <x:f>SUMIFS($G$4:$G$1673,$A$4:$A$1673,A12)</x:f>
        <x:v>360</x:v>
      </x:c>
      <x:c r="O12" s="56" t="str">
        <x:f>IF(N12=360,"通过","失败")</x:f>
        <x:v>通过</x:v>
      </x:c>
      <x:c r="P12" s="56" t="str"/>
      <x:c r="Q12" s="59" t="str">
        <x:v>待确认</x:v>
      </x:c>
    </x:row>
    <x:row r="13">
      <x:c r="A13" s="56" t="str">
        <x:v>P001</x:v>
      </x:c>
      <x:c r="B13" s="56" t="str">
        <x:v>P001</x:v>
      </x:c>
      <x:c r="C13" s="56" t="str">
        <x:v>history</x:v>
      </x:c>
      <x:c r="D13" s="56" t="n">
        <x:v>50</x:v>
      </x:c>
      <x:c r="E13" s="56" t="str">
        <x:v>history.urinary_urgency</x:v>
      </x:c>
      <x:c r="F13" s="56" t="str">
        <x:v>urinary_urgency</x:v>
      </x:c>
      <x:c r="G13" s="56" t="n">
        <x:v>4</x:v>
      </x:c>
      <x:c r="H13" s="56" t="str">
        <x:v>普通得分项</x:v>
      </x:c>
      <x:c r="I13" s="56" t="str">
        <x:v>否</x:v>
      </x:c>
      <x:c r="J13" s="56" t="str">
        <x:v>否</x:v>
      </x:c>
      <x:c r="K13" s="56" t="str">
        <x:v>否</x:v>
      </x:c>
      <x:c r="L13" s="56" t="str">
        <x:v>按结构化事件证据给予0/部分/满分；不能由总结反推已完成</x:v>
      </x:c>
      <x:c r="M13" s="56" t="str"/>
      <x:c r="N13" s="56" t="n">
        <x:f>SUMIFS($G$4:$G$1673,$A$4:$A$1673,A13)</x:f>
        <x:v>360</x:v>
      </x:c>
      <x:c r="O13" s="56" t="str">
        <x:f>IF(N13=360,"通过","失败")</x:f>
        <x:v>通过</x:v>
      </x:c>
      <x:c r="P13" s="56" t="str"/>
      <x:c r="Q13" s="59" t="str">
        <x:v>待确认</x:v>
      </x:c>
    </x:row>
    <x:row r="14">
      <x:c r="A14" s="56" t="str">
        <x:v>P001</x:v>
      </x:c>
      <x:c r="B14" s="56" t="str">
        <x:v>P001</x:v>
      </x:c>
      <x:c r="C14" s="56" t="str">
        <x:v>history</x:v>
      </x:c>
      <x:c r="D14" s="56" t="n">
        <x:v>50</x:v>
      </x:c>
      <x:c r="E14" s="56" t="str">
        <x:v>history.flank_pain</x:v>
      </x:c>
      <x:c r="F14" s="56" t="str">
        <x:v>flank_pain</x:v>
      </x:c>
      <x:c r="G14" s="56" t="n">
        <x:v>4</x:v>
      </x:c>
      <x:c r="H14" s="56" t="str">
        <x:v>普通得分项</x:v>
      </x:c>
      <x:c r="I14" s="56" t="str">
        <x:v>否</x:v>
      </x:c>
      <x:c r="J14" s="56" t="str">
        <x:v>否</x:v>
      </x:c>
      <x:c r="K14" s="56" t="str">
        <x:v>否</x:v>
      </x:c>
      <x:c r="L14" s="56" t="str">
        <x:v>按结构化事件证据给予0/部分/满分；不能由总结反推已完成</x:v>
      </x:c>
      <x:c r="M14" s="56" t="str"/>
      <x:c r="N14" s="56" t="n">
        <x:f>SUMIFS($G$4:$G$1673,$A$4:$A$1673,A14)</x:f>
        <x:v>360</x:v>
      </x:c>
      <x:c r="O14" s="56" t="str">
        <x:f>IF(N14=360,"通过","失败")</x:f>
        <x:v>通过</x:v>
      </x:c>
      <x:c r="P14" s="56" t="str"/>
      <x:c r="Q14" s="59" t="str">
        <x:v>待确认</x:v>
      </x:c>
    </x:row>
    <x:row r="15">
      <x:c r="A15" s="56" t="str">
        <x:v>P001</x:v>
      </x:c>
      <x:c r="B15" s="56" t="str">
        <x:v>P001</x:v>
      </x:c>
      <x:c r="C15" s="56" t="str">
        <x:v>history</x:v>
      </x:c>
      <x:c r="D15" s="56" t="n">
        <x:v>50</x:v>
      </x:c>
      <x:c r="E15" s="56" t="str">
        <x:v>history.fever_chills</x:v>
      </x:c>
      <x:c r="F15" s="56" t="str">
        <x:v>fever_chills</x:v>
      </x:c>
      <x:c r="G15" s="56" t="n">
        <x:v>4</x:v>
      </x:c>
      <x:c r="H15" s="56" t="str">
        <x:v>普通得分项</x:v>
      </x:c>
      <x:c r="I15" s="56" t="str">
        <x:v>否</x:v>
      </x:c>
      <x:c r="J15" s="56" t="str">
        <x:v>否</x:v>
      </x:c>
      <x:c r="K15" s="56" t="str">
        <x:v>否</x:v>
      </x:c>
      <x:c r="L15" s="56" t="str">
        <x:v>按结构化事件证据给予0/部分/满分；不能由总结反推已完成</x:v>
      </x:c>
      <x:c r="M15" s="56" t="str"/>
      <x:c r="N15" s="56" t="n">
        <x:f>SUMIFS($G$4:$G$1673,$A$4:$A$1673,A15)</x:f>
        <x:v>360</x:v>
      </x:c>
      <x:c r="O15" s="56" t="str">
        <x:f>IF(N15=360,"通过","失败")</x:f>
        <x:v>通过</x:v>
      </x:c>
      <x:c r="P15" s="56" t="str"/>
      <x:c r="Q15" s="59" t="str">
        <x:v>待确认</x:v>
      </x:c>
    </x:row>
    <x:row r="16">
      <x:c r="A16" s="56" t="str">
        <x:v>P001</x:v>
      </x:c>
      <x:c r="B16" s="56" t="str">
        <x:v>P001</x:v>
      </x:c>
      <x:c r="C16" s="56" t="str">
        <x:v>risk</x:v>
      </x:c>
      <x:c r="D16" s="56" t="n">
        <x:v>40</x:v>
      </x:c>
      <x:c r="E16" s="56" t="str">
        <x:v>risk.smoking</x:v>
      </x:c>
      <x:c r="F16" s="56" t="str">
        <x:v>smoking</x:v>
      </x:c>
      <x:c r="G16" s="56" t="n">
        <x:v>8</x:v>
      </x:c>
      <x:c r="H16" s="56" t="str">
        <x:v>普通得分项</x:v>
      </x:c>
      <x:c r="I16" s="56" t="str">
        <x:v>否</x:v>
      </x:c>
      <x:c r="J16" s="56" t="str">
        <x:v>否</x:v>
      </x:c>
      <x:c r="K16" s="56" t="str">
        <x:v>否</x:v>
      </x:c>
      <x:c r="L16" s="56" t="str">
        <x:v>按结构化事件证据给予0/部分/满分；不能由总结反推已完成</x:v>
      </x:c>
      <x:c r="M16" s="56" t="str"/>
      <x:c r="N16" s="56" t="n">
        <x:f>SUMIFS($G$4:$G$1673,$A$4:$A$1673,A16)</x:f>
        <x:v>360</x:v>
      </x:c>
      <x:c r="O16" s="56" t="str">
        <x:f>IF(N16=360,"通过","失败")</x:f>
        <x:v>通过</x:v>
      </x:c>
      <x:c r="P16" s="56" t="str"/>
      <x:c r="Q16" s="59" t="str">
        <x:v>待确认</x:v>
      </x:c>
    </x:row>
    <x:row r="17">
      <x:c r="A17" s="56" t="str">
        <x:v>P001</x:v>
      </x:c>
      <x:c r="B17" s="56" t="str">
        <x:v>P001</x:v>
      </x:c>
      <x:c r="C17" s="56" t="str">
        <x:v>risk</x:v>
      </x:c>
      <x:c r="D17" s="56" t="n">
        <x:v>40</x:v>
      </x:c>
      <x:c r="E17" s="56" t="str">
        <x:v>risk.occupation_exposure</x:v>
      </x:c>
      <x:c r="F17" s="56" t="str">
        <x:v>occupation_exposure</x:v>
      </x:c>
      <x:c r="G17" s="56" t="n">
        <x:v>8</x:v>
      </x:c>
      <x:c r="H17" s="56" t="str">
        <x:v>普通得分项</x:v>
      </x:c>
      <x:c r="I17" s="56" t="str">
        <x:v>否</x:v>
      </x:c>
      <x:c r="J17" s="56" t="str">
        <x:v>否</x:v>
      </x:c>
      <x:c r="K17" s="56" t="str">
        <x:v>否</x:v>
      </x:c>
      <x:c r="L17" s="56" t="str">
        <x:v>按结构化事件证据给予0/部分/满分；不能由总结反推已完成</x:v>
      </x:c>
      <x:c r="M17" s="56" t="str"/>
      <x:c r="N17" s="56" t="n">
        <x:f>SUMIFS($G$4:$G$1673,$A$4:$A$1673,A17)</x:f>
        <x:v>360</x:v>
      </x:c>
      <x:c r="O17" s="56" t="str">
        <x:f>IF(N17=360,"通过","失败")</x:f>
        <x:v>通过</x:v>
      </x:c>
      <x:c r="P17" s="56" t="str"/>
      <x:c r="Q17" s="59" t="str">
        <x:v>待确认</x:v>
      </x:c>
    </x:row>
    <x:row r="18">
      <x:c r="A18" s="56" t="str">
        <x:v>P001</x:v>
      </x:c>
      <x:c r="B18" s="56" t="str">
        <x:v>P001</x:v>
      </x:c>
      <x:c r="C18" s="56" t="str">
        <x:v>risk</x:v>
      </x:c>
      <x:c r="D18" s="56" t="n">
        <x:v>40</x:v>
      </x:c>
      <x:c r="E18" s="56" t="str">
        <x:v>risk.tumor_history</x:v>
      </x:c>
      <x:c r="F18" s="56" t="str">
        <x:v>tumor_history</x:v>
      </x:c>
      <x:c r="G18" s="56" t="n">
        <x:v>8</x:v>
      </x:c>
      <x:c r="H18" s="56" t="str">
        <x:v>普通得分项</x:v>
      </x:c>
      <x:c r="I18" s="56" t="str">
        <x:v>否</x:v>
      </x:c>
      <x:c r="J18" s="56" t="str">
        <x:v>否</x:v>
      </x:c>
      <x:c r="K18" s="56" t="str">
        <x:v>否</x:v>
      </x:c>
      <x:c r="L18" s="56" t="str">
        <x:v>按结构化事件证据给予0/部分/满分；不能由总结反推已完成</x:v>
      </x:c>
      <x:c r="M18" s="56" t="str"/>
      <x:c r="N18" s="56" t="n">
        <x:f>SUMIFS($G$4:$G$1673,$A$4:$A$1673,A18)</x:f>
        <x:v>360</x:v>
      </x:c>
      <x:c r="O18" s="56" t="str">
        <x:f>IF(N18=360,"通过","失败")</x:f>
        <x:v>通过</x:v>
      </x:c>
      <x:c r="P18" s="56" t="str"/>
      <x:c r="Q18" s="59" t="str">
        <x:v>待确认</x:v>
      </x:c>
    </x:row>
    <x:row r="19">
      <x:c r="A19" s="56" t="str">
        <x:v>P001</x:v>
      </x:c>
      <x:c r="B19" s="56" t="str">
        <x:v>P001</x:v>
      </x:c>
      <x:c r="C19" s="56" t="str">
        <x:v>risk</x:v>
      </x:c>
      <x:c r="D19" s="56" t="n">
        <x:v>40</x:v>
      </x:c>
      <x:c r="E19" s="56" t="str">
        <x:v>risk.anticoagulant</x:v>
      </x:c>
      <x:c r="F19" s="56" t="str">
        <x:v>anticoagulant</x:v>
      </x:c>
      <x:c r="G19" s="56" t="n">
        <x:v>8</x:v>
      </x:c>
      <x:c r="H19" s="56" t="str">
        <x:v>普通得分项</x:v>
      </x:c>
      <x:c r="I19" s="56" t="str">
        <x:v>否</x:v>
      </x:c>
      <x:c r="J19" s="56" t="str">
        <x:v>否</x:v>
      </x:c>
      <x:c r="K19" s="56" t="str">
        <x:v>否</x:v>
      </x:c>
      <x:c r="L19" s="56" t="str">
        <x:v>按结构化事件证据给予0/部分/满分；不能由总结反推已完成</x:v>
      </x:c>
      <x:c r="M19" s="56" t="str"/>
      <x:c r="N19" s="56" t="n">
        <x:f>SUMIFS($G$4:$G$1673,$A$4:$A$1673,A19)</x:f>
        <x:v>360</x:v>
      </x:c>
      <x:c r="O19" s="56" t="str">
        <x:f>IF(N19=360,"通过","失败")</x:f>
        <x:v>通过</x:v>
      </x:c>
      <x:c r="P19" s="56" t="str"/>
      <x:c r="Q19" s="59" t="str">
        <x:v>待确认</x:v>
      </x:c>
    </x:row>
    <x:row r="20">
      <x:c r="A20" s="56" t="str">
        <x:v>P001</x:v>
      </x:c>
      <x:c r="B20" s="56" t="str">
        <x:v>P001</x:v>
      </x:c>
      <x:c r="C20" s="56" t="str">
        <x:v>risk</x:v>
      </x:c>
      <x:c r="D20" s="56" t="n">
        <x:v>40</x:v>
      </x:c>
      <x:c r="E20" s="56" t="str">
        <x:v>risk.antiplatelet</x:v>
      </x:c>
      <x:c r="F20" s="56" t="str">
        <x:v>antiplatelet</x:v>
      </x:c>
      <x:c r="G20" s="56" t="n">
        <x:v>8</x:v>
      </x:c>
      <x:c r="H20" s="56" t="str">
        <x:v>普通得分项</x:v>
      </x:c>
      <x:c r="I20" s="56" t="str">
        <x:v>否</x:v>
      </x:c>
      <x:c r="J20" s="56" t="str">
        <x:v>否</x:v>
      </x:c>
      <x:c r="K20" s="56" t="str">
        <x:v>否</x:v>
      </x:c>
      <x:c r="L20" s="56" t="str">
        <x:v>按结构化事件证据给予0/部分/满分；不能由总结反推已完成</x:v>
      </x:c>
      <x:c r="M20" s="56" t="str"/>
      <x:c r="N20" s="56" t="n">
        <x:f>SUMIFS($G$4:$G$1673,$A$4:$A$1673,A20)</x:f>
        <x:v>360</x:v>
      </x:c>
      <x:c r="O20" s="56" t="str">
        <x:f>IF(N20=360,"通过","失败")</x:f>
        <x:v>通过</x:v>
      </x:c>
      <x:c r="P20" s="56" t="str"/>
      <x:c r="Q20" s="59" t="str">
        <x:v>待确认</x:v>
      </x:c>
    </x:row>
    <x:row r="21">
      <x:c r="A21" s="56" t="str">
        <x:v>P001</x:v>
      </x:c>
      <x:c r="B21" s="56" t="str">
        <x:v>P001</x:v>
      </x:c>
      <x:c r="C21" s="56" t="str">
        <x:v>exam</x:v>
      </x:c>
      <x:c r="D21" s="56" t="n">
        <x:v>35</x:v>
      </x:c>
      <x:c r="E21" s="56" t="str">
        <x:v>exam.temperature</x:v>
      </x:c>
      <x:c r="F21" s="56" t="str">
        <x:v>体温</x:v>
      </x:c>
      <x:c r="G21" s="56" t="n">
        <x:v>12</x:v>
      </x:c>
      <x:c r="H21" s="56" t="str">
        <x:v>普通得分项</x:v>
      </x:c>
      <x:c r="I21" s="56" t="str">
        <x:v>否</x:v>
      </x:c>
      <x:c r="J21" s="56" t="str">
        <x:v>否</x:v>
      </x:c>
      <x:c r="K21" s="56" t="str">
        <x:v>否</x:v>
      </x:c>
      <x:c r="L21" s="56" t="str">
        <x:v>按结构化事件证据给予0/部分/满分；不能由总结反推已完成</x:v>
      </x:c>
      <x:c r="M21" s="56" t="str"/>
      <x:c r="N21" s="56" t="n">
        <x:f>SUMIFS($G$4:$G$1673,$A$4:$A$1673,A21)</x:f>
        <x:v>360</x:v>
      </x:c>
      <x:c r="O21" s="56" t="str">
        <x:f>IF(N21=360,"通过","失败")</x:f>
        <x:v>通过</x:v>
      </x:c>
      <x:c r="P21" s="56" t="str"/>
      <x:c r="Q21" s="59" t="str">
        <x:v>待确认</x:v>
      </x:c>
    </x:row>
    <x:row r="22">
      <x:c r="A22" s="56" t="str">
        <x:v>P001</x:v>
      </x:c>
      <x:c r="B22" s="56" t="str">
        <x:v>P001</x:v>
      </x:c>
      <x:c r="C22" s="56" t="str">
        <x:v>exam</x:v>
      </x:c>
      <x:c r="D22" s="56" t="n">
        <x:v>35</x:v>
      </x:c>
      <x:c r="E22" s="56" t="str">
        <x:v>exam.blood_pressure</x:v>
      </x:c>
      <x:c r="F22" s="56" t="str">
        <x:v>血压</x:v>
      </x:c>
      <x:c r="G22" s="56" t="n">
        <x:v>12</x:v>
      </x:c>
      <x:c r="H22" s="56" t="str">
        <x:v>普通得分项</x:v>
      </x:c>
      <x:c r="I22" s="56" t="str">
        <x:v>否</x:v>
      </x:c>
      <x:c r="J22" s="56" t="str">
        <x:v>否</x:v>
      </x:c>
      <x:c r="K22" s="56" t="str">
        <x:v>否</x:v>
      </x:c>
      <x:c r="L22" s="56" t="str">
        <x:v>按结构化事件证据给予0/部分/满分；不能由总结反推已完成</x:v>
      </x:c>
      <x:c r="M22" s="56" t="str"/>
      <x:c r="N22" s="56" t="n">
        <x:f>SUMIFS($G$4:$G$1673,$A$4:$A$1673,A22)</x:f>
        <x:v>360</x:v>
      </x:c>
      <x:c r="O22" s="56" t="str">
        <x:f>IF(N22=360,"通过","失败")</x:f>
        <x:v>通过</x:v>
      </x:c>
      <x:c r="P22" s="56" t="str"/>
      <x:c r="Q22" s="59" t="str">
        <x:v>待确认</x:v>
      </x:c>
    </x:row>
    <x:row r="23">
      <x:c r="A23" s="56" t="str">
        <x:v>P001</x:v>
      </x:c>
      <x:c r="B23" s="56" t="str">
        <x:v>P001</x:v>
      </x:c>
      <x:c r="C23" s="56" t="str">
        <x:v>exam</x:v>
      </x:c>
      <x:c r="D23" s="56" t="n">
        <x:v>35</x:v>
      </x:c>
      <x:c r="E23" s="56" t="str">
        <x:v>exam.targeted</x:v>
      </x:c>
      <x:c r="F23" s="56" t="str">
        <x:v>病例针对性查体</x:v>
      </x:c>
      <x:c r="G23" s="56" t="n">
        <x:v>11</x:v>
      </x:c>
      <x:c r="H23" s="56" t="str">
        <x:v>普通得分项</x:v>
      </x:c>
      <x:c r="I23" s="56" t="str">
        <x:v>否</x:v>
      </x:c>
      <x:c r="J23" s="56" t="str">
        <x:v>否</x:v>
      </x:c>
      <x:c r="K23" s="56" t="str">
        <x:v>否</x:v>
      </x:c>
      <x:c r="L23" s="56" t="str">
        <x:v>按结构化事件证据给予0/部分/满分；不能由总结反推已完成</x:v>
      </x:c>
      <x:c r="M23" s="56" t="str"/>
      <x:c r="N23" s="56" t="n">
        <x:f>SUMIFS($G$4:$G$1673,$A$4:$A$1673,A23)</x:f>
        <x:v>360</x:v>
      </x:c>
      <x:c r="O23" s="56" t="str">
        <x:f>IF(N23=360,"通过","失败")</x:f>
        <x:v>通过</x:v>
      </x:c>
      <x:c r="P23" s="56" t="str"/>
      <x:c r="Q23" s="59" t="str">
        <x:v>待确认</x:v>
      </x:c>
    </x:row>
    <x:row r="24">
      <x:c r="A24" s="56" t="str">
        <x:v>P001</x:v>
      </x:c>
      <x:c r="B24" s="56" t="str">
        <x:v>P001</x:v>
      </x:c>
      <x:c r="C24" s="56" t="str">
        <x:v>diagnosis</x:v>
      </x:c>
      <x:c r="D24" s="56" t="n">
        <x:v>45</x:v>
      </x:c>
      <x:c r="E24" s="56" t="str">
        <x:v>diagnosis.primary</x:v>
      </x:c>
      <x:c r="F24" s="56" t="str">
        <x:v>最可能诊断及依据</x:v>
      </x:c>
      <x:c r="G24" s="56" t="n">
        <x:v>15</x:v>
      </x:c>
      <x:c r="H24" s="56" t="str">
        <x:v>普通得分项</x:v>
      </x:c>
      <x:c r="I24" s="56" t="str">
        <x:v>否</x:v>
      </x:c>
      <x:c r="J24" s="56" t="str">
        <x:v>否</x:v>
      </x:c>
      <x:c r="K24" s="56" t="str">
        <x:v>否</x:v>
      </x:c>
      <x:c r="L24" s="56" t="str">
        <x:v>按结构化事件证据给予0/部分/满分；不能由总结反推已完成</x:v>
      </x:c>
      <x:c r="M24" s="56" t="str"/>
      <x:c r="N24" s="56" t="n">
        <x:f>SUMIFS($G$4:$G$1673,$A$4:$A$1673,A24)</x:f>
        <x:v>360</x:v>
      </x:c>
      <x:c r="O24" s="56" t="str">
        <x:f>IF(N24=360,"通过","失败")</x:f>
        <x:v>通过</x:v>
      </x:c>
      <x:c r="P24" s="56" t="str"/>
      <x:c r="Q24" s="59" t="str">
        <x:v>待确认</x:v>
      </x:c>
    </x:row>
    <x:row r="25">
      <x:c r="A25" s="56" t="str">
        <x:v>P001</x:v>
      </x:c>
      <x:c r="B25" s="56" t="str">
        <x:v>P001</x:v>
      </x:c>
      <x:c r="C25" s="56" t="str">
        <x:v>diagnosis</x:v>
      </x:c>
      <x:c r="D25" s="56" t="n">
        <x:v>45</x:v>
      </x:c>
      <x:c r="E25" s="56" t="str">
        <x:v>diagnosis.differentials</x:v>
      </x:c>
      <x:c r="F25" s="56" t="str">
        <x:v>至少3项鉴别及支持/反对点</x:v>
      </x:c>
      <x:c r="G25" s="56" t="n">
        <x:v>15</x:v>
      </x:c>
      <x:c r="H25" s="56" t="str">
        <x:v>普通得分项</x:v>
      </x:c>
      <x:c r="I25" s="56" t="str">
        <x:v>否</x:v>
      </x:c>
      <x:c r="J25" s="56" t="str">
        <x:v>否</x:v>
      </x:c>
      <x:c r="K25" s="56" t="str">
        <x:v>否</x:v>
      </x:c>
      <x:c r="L25" s="56" t="str">
        <x:v>按结构化事件证据给予0/部分/满分；不能由总结反推已完成</x:v>
      </x:c>
      <x:c r="M25" s="56" t="str"/>
      <x:c r="N25" s="56" t="n">
        <x:f>SUMIFS($G$4:$G$1673,$A$4:$A$1673,A25)</x:f>
        <x:v>360</x:v>
      </x:c>
      <x:c r="O25" s="56" t="str">
        <x:f>IF(N25=360,"通过","失败")</x:f>
        <x:v>通过</x:v>
      </x:c>
      <x:c r="P25" s="56" t="str"/>
      <x:c r="Q25" s="59" t="str">
        <x:v>待确认</x:v>
      </x:c>
    </x:row>
    <x:row r="26">
      <x:c r="A26" s="56" t="str">
        <x:v>P001</x:v>
      </x:c>
      <x:c r="B26" s="56" t="str">
        <x:v>P001</x:v>
      </x:c>
      <x:c r="C26" s="56" t="str">
        <x:v>diagnosis</x:v>
      </x:c>
      <x:c r="D26" s="56" t="n">
        <x:v>45</x:v>
      </x:c>
      <x:c r="E26" s="56" t="str">
        <x:v>diagnosis.confirmation</x:v>
      </x:c>
      <x:c r="F26" s="56" t="str">
        <x:v>确认计划</x:v>
      </x:c>
      <x:c r="G26" s="56" t="n">
        <x:v>15</x:v>
      </x:c>
      <x:c r="H26" s="56" t="str">
        <x:v>普通得分项</x:v>
      </x:c>
      <x:c r="I26" s="56" t="str">
        <x:v>否</x:v>
      </x:c>
      <x:c r="J26" s="56" t="str">
        <x:v>否</x:v>
      </x:c>
      <x:c r="K26" s="56" t="str">
        <x:v>否</x:v>
      </x:c>
      <x:c r="L26" s="56" t="str">
        <x:v>按结构化事件证据给予0/部分/满分；不能由总结反推已完成</x:v>
      </x:c>
      <x:c r="M26" s="56" t="str"/>
      <x:c r="N26" s="56" t="n">
        <x:f>SUMIFS($G$4:$G$1673,$A$4:$A$1673,A26)</x:f>
        <x:v>360</x:v>
      </x:c>
      <x:c r="O26" s="56" t="str">
        <x:f>IF(N26=360,"通过","失败")</x:f>
        <x:v>通过</x:v>
      </x:c>
      <x:c r="P26" s="56" t="str"/>
      <x:c r="Q26" s="59" t="str">
        <x:v>待确认</x:v>
      </x:c>
    </x:row>
    <x:row r="27">
      <x:c r="A27" s="56" t="str">
        <x:v>P001</x:v>
      </x:c>
      <x:c r="B27" s="56" t="str">
        <x:v>P001</x:v>
      </x:c>
      <x:c r="C27" s="56" t="str">
        <x:v>orders</x:v>
      </x:c>
      <x:c r="D27" s="56" t="n">
        <x:v>55</x:v>
      </x:c>
      <x:c r="E27" s="56" t="str">
        <x:v>orders.LAB-UR-001</x:v>
      </x:c>
      <x:c r="F27" s="56" t="str">
        <x:v>LAB-UR-001</x:v>
      </x:c>
      <x:c r="G27" s="56" t="n">
        <x:v>10</x:v>
      </x:c>
      <x:c r="H27" s="56" t="str">
        <x:v>病例特异得分项</x:v>
      </x:c>
      <x:c r="I27" s="56" t="str">
        <x:v>否</x:v>
      </x:c>
      <x:c r="J27" s="56" t="str">
        <x:v>否</x:v>
      </x:c>
      <x:c r="K27" s="56" t="str">
        <x:v>否</x:v>
      </x:c>
      <x:c r="L27" s="56" t="str">
        <x:v>按结构化事件证据给予0/部分/满分；不能由总结反推已完成</x:v>
      </x:c>
      <x:c r="M27" s="56" t="str"/>
      <x:c r="N27" s="56" t="n">
        <x:f>SUMIFS($G$4:$G$1673,$A$4:$A$1673,A27)</x:f>
        <x:v>360</x:v>
      </x:c>
      <x:c r="O27" s="56" t="str">
        <x:f>IF(N27=360,"通过","失败")</x:f>
        <x:v>通过</x:v>
      </x:c>
      <x:c r="P27" s="56" t="str"/>
      <x:c r="Q27" s="59" t="str">
        <x:v>待确认</x:v>
      </x:c>
    </x:row>
    <x:row r="28">
      <x:c r="A28" s="56" t="str">
        <x:v>P001</x:v>
      </x:c>
      <x:c r="B28" s="56" t="str">
        <x:v>P001</x:v>
      </x:c>
      <x:c r="C28" s="56" t="str">
        <x:v>orders</x:v>
      </x:c>
      <x:c r="D28" s="56" t="n">
        <x:v>55</x:v>
      </x:c>
      <x:c r="E28" s="56" t="str">
        <x:v>orders.LAB-UR-002</x:v>
      </x:c>
      <x:c r="F28" s="56" t="str">
        <x:v>LAB-UR-002</x:v>
      </x:c>
      <x:c r="G28" s="56" t="n">
        <x:v>9</x:v>
      </x:c>
      <x:c r="H28" s="56" t="str">
        <x:v>病例特异得分项</x:v>
      </x:c>
      <x:c r="I28" s="56" t="str">
        <x:v>否</x:v>
      </x:c>
      <x:c r="J28" s="56" t="str">
        <x:v>否</x:v>
      </x:c>
      <x:c r="K28" s="56" t="str">
        <x:v>否</x:v>
      </x:c>
      <x:c r="L28" s="56" t="str">
        <x:v>按结构化事件证据给予0/部分/满分；不能由总结反推已完成</x:v>
      </x:c>
      <x:c r="M28" s="56" t="str"/>
      <x:c r="N28" s="56" t="n">
        <x:f>SUMIFS($G$4:$G$1673,$A$4:$A$1673,A28)</x:f>
        <x:v>360</x:v>
      </x:c>
      <x:c r="O28" s="56" t="str">
        <x:f>IF(N28=360,"通过","失败")</x:f>
        <x:v>通过</x:v>
      </x:c>
      <x:c r="P28" s="56" t="str"/>
      <x:c r="Q28" s="59" t="str">
        <x:v>待确认</x:v>
      </x:c>
    </x:row>
    <x:row r="29">
      <x:c r="A29" s="56" t="str">
        <x:v>P001</x:v>
      </x:c>
      <x:c r="B29" s="56" t="str">
        <x:v>P001</x:v>
      </x:c>
      <x:c r="C29" s="56" t="str">
        <x:v>orders</x:v>
      </x:c>
      <x:c r="D29" s="56" t="n">
        <x:v>55</x:v>
      </x:c>
      <x:c r="E29" s="56" t="str">
        <x:v>orders.LAB-UR-006</x:v>
      </x:c>
      <x:c r="F29" s="56" t="str">
        <x:v>LAB-UR-006</x:v>
      </x:c>
      <x:c r="G29" s="56" t="n">
        <x:v>9</x:v>
      </x:c>
      <x:c r="H29" s="56" t="str">
        <x:v>病例特异得分项</x:v>
      </x:c>
      <x:c r="I29" s="56" t="str">
        <x:v>否</x:v>
      </x:c>
      <x:c r="J29" s="56" t="str">
        <x:v>否</x:v>
      </x:c>
      <x:c r="K29" s="56" t="str">
        <x:v>否</x:v>
      </x:c>
      <x:c r="L29" s="56" t="str">
        <x:v>按结构化事件证据给予0/部分/满分；不能由总结反推已完成</x:v>
      </x:c>
      <x:c r="M29" s="56" t="str"/>
      <x:c r="N29" s="56" t="n">
        <x:f>SUMIFS($G$4:$G$1673,$A$4:$A$1673,A29)</x:f>
        <x:v>360</x:v>
      </x:c>
      <x:c r="O29" s="56" t="str">
        <x:f>IF(N29=360,"通过","失败")</x:f>
        <x:v>通过</x:v>
      </x:c>
      <x:c r="P29" s="56" t="str"/>
      <x:c r="Q29" s="59" t="str">
        <x:v>待确认</x:v>
      </x:c>
    </x:row>
    <x:row r="30">
      <x:c r="A30" s="56" t="str">
        <x:v>P001</x:v>
      </x:c>
      <x:c r="B30" s="56" t="str">
        <x:v>P001</x:v>
      </x:c>
      <x:c r="C30" s="56" t="str">
        <x:v>orders</x:v>
      </x:c>
      <x:c r="D30" s="56" t="n">
        <x:v>55</x:v>
      </x:c>
      <x:c r="E30" s="56" t="str">
        <x:v>orders.LAB-BL-003</x:v>
      </x:c>
      <x:c r="F30" s="56" t="str">
        <x:v>LAB-BL-003</x:v>
      </x:c>
      <x:c r="G30" s="56" t="n">
        <x:v>9</x:v>
      </x:c>
      <x:c r="H30" s="56" t="str">
        <x:v>病例特异得分项</x:v>
      </x:c>
      <x:c r="I30" s="56" t="str">
        <x:v>否</x:v>
      </x:c>
      <x:c r="J30" s="56" t="str">
        <x:v>否</x:v>
      </x:c>
      <x:c r="K30" s="56" t="str">
        <x:v>否</x:v>
      </x:c>
      <x:c r="L30" s="56" t="str">
        <x:v>按结构化事件证据给予0/部分/满分；不能由总结反推已完成</x:v>
      </x:c>
      <x:c r="M30" s="56" t="str"/>
      <x:c r="N30" s="56" t="n">
        <x:f>SUMIFS($G$4:$G$1673,$A$4:$A$1673,A30)</x:f>
        <x:v>360</x:v>
      </x:c>
      <x:c r="O30" s="56" t="str">
        <x:f>IF(N30=360,"通过","失败")</x:f>
        <x:v>通过</x:v>
      </x:c>
      <x:c r="P30" s="56" t="str"/>
      <x:c r="Q30" s="59" t="str">
        <x:v>待确认</x:v>
      </x:c>
    </x:row>
    <x:row r="31">
      <x:c r="A31" s="56" t="str">
        <x:v>P001</x:v>
      </x:c>
      <x:c r="B31" s="56" t="str">
        <x:v>P001</x:v>
      </x:c>
      <x:c r="C31" s="56" t="str">
        <x:v>orders</x:v>
      </x:c>
      <x:c r="D31" s="56" t="n">
        <x:v>55</x:v>
      </x:c>
      <x:c r="E31" s="56" t="str">
        <x:v>orders.IMG-CT-002</x:v>
      </x:c>
      <x:c r="F31" s="56" t="str">
        <x:v>IMG-CT-002</x:v>
      </x:c>
      <x:c r="G31" s="56" t="n">
        <x:v>9</x:v>
      </x:c>
      <x:c r="H31" s="56" t="str">
        <x:v>病例特异得分项</x:v>
      </x:c>
      <x:c r="I31" s="56" t="str">
        <x:v>否</x:v>
      </x:c>
      <x:c r="J31" s="56" t="str">
        <x:v>否</x:v>
      </x:c>
      <x:c r="K31" s="56" t="str">
        <x:v>否</x:v>
      </x:c>
      <x:c r="L31" s="56" t="str">
        <x:v>按结构化事件证据给予0/部分/满分；不能由总结反推已完成</x:v>
      </x:c>
      <x:c r="M31" s="56" t="str"/>
      <x:c r="N31" s="56" t="n">
        <x:f>SUMIFS($G$4:$G$1673,$A$4:$A$1673,A31)</x:f>
        <x:v>360</x:v>
      </x:c>
      <x:c r="O31" s="56" t="str">
        <x:f>IF(N31=360,"通过","失败")</x:f>
        <x:v>通过</x:v>
      </x:c>
      <x:c r="P31" s="56" t="str"/>
      <x:c r="Q31" s="59" t="str">
        <x:v>待确认</x:v>
      </x:c>
    </x:row>
    <x:row r="32">
      <x:c r="A32" s="56" t="str">
        <x:v>P001</x:v>
      </x:c>
      <x:c r="B32" s="56" t="str">
        <x:v>P001</x:v>
      </x:c>
      <x:c r="C32" s="56" t="str">
        <x:v>orders</x:v>
      </x:c>
      <x:c r="D32" s="56" t="n">
        <x:v>55</x:v>
      </x:c>
      <x:c r="E32" s="56" t="str">
        <x:v>orders.END-001</x:v>
      </x:c>
      <x:c r="F32" s="56" t="str">
        <x:v>END-001</x:v>
      </x:c>
      <x:c r="G32" s="56" t="n">
        <x:v>9</x:v>
      </x:c>
      <x:c r="H32" s="56" t="str">
        <x:v>病例特异得分项</x:v>
      </x:c>
      <x:c r="I32" s="56" t="str">
        <x:v>否</x:v>
      </x:c>
      <x:c r="J32" s="56" t="str">
        <x:v>否</x:v>
      </x:c>
      <x:c r="K32" s="56" t="str">
        <x:v>否</x:v>
      </x:c>
      <x:c r="L32" s="56" t="str">
        <x:v>按结构化事件证据给予0/部分/满分；不能由总结反推已完成</x:v>
      </x:c>
      <x:c r="M32" s="56" t="str"/>
      <x:c r="N32" s="56" t="n">
        <x:f>SUMIFS($G$4:$G$1673,$A$4:$A$1673,A32)</x:f>
        <x:v>360</x:v>
      </x:c>
      <x:c r="O32" s="56" t="str">
        <x:f>IF(N32=360,"通过","失败")</x:f>
        <x:v>通过</x:v>
      </x:c>
      <x:c r="P32" s="56" t="str"/>
      <x:c r="Q32" s="59" t="str">
        <x:v>待确认</x:v>
      </x:c>
    </x:row>
    <x:row r="33">
      <x:c r="A33" s="56" t="str">
        <x:v>P001</x:v>
      </x:c>
      <x:c r="B33" s="56" t="str">
        <x:v>P001</x:v>
      </x:c>
      <x:c r="C33" s="56" t="str">
        <x:v>mdt</x:v>
      </x:c>
      <x:c r="D33" s="56" t="n">
        <x:v>45</x:v>
      </x:c>
      <x:c r="E33" s="56" t="str">
        <x:v>mdt.department</x:v>
      </x:c>
      <x:c r="F33" s="56" t="str">
        <x:v>department</x:v>
      </x:c>
      <x:c r="G33" s="56" t="n">
        <x:v>12</x:v>
      </x:c>
      <x:c r="H33" s="56" t="str">
        <x:v>病例特异得分项</x:v>
      </x:c>
      <x:c r="I33" s="56" t="str">
        <x:v>否</x:v>
      </x:c>
      <x:c r="J33" s="56" t="str">
        <x:v>否</x:v>
      </x:c>
      <x:c r="K33" s="56" t="str">
        <x:v>否</x:v>
      </x:c>
      <x:c r="L33" s="56" t="str">
        <x:v>按结构化事件证据给予0/部分/满分；不能由总结反推已完成</x:v>
      </x:c>
      <x:c r="M33" s="56" t="str"/>
      <x:c r="N33" s="56" t="n">
        <x:f>SUMIFS($G$4:$G$1673,$A$4:$A$1673,A33)</x:f>
        <x:v>360</x:v>
      </x:c>
      <x:c r="O33" s="56" t="str">
        <x:f>IF(N33=360,"通过","失败")</x:f>
        <x:v>通过</x:v>
      </x:c>
      <x:c r="P33" s="56" t="str"/>
      <x:c r="Q33" s="59" t="str">
        <x:v>待确认</x:v>
      </x:c>
    </x:row>
    <x:row r="34">
      <x:c r="A34" s="56" t="str">
        <x:v>P001</x:v>
      </x:c>
      <x:c r="B34" s="56" t="str">
        <x:v>P001</x:v>
      </x:c>
      <x:c r="C34" s="56" t="str">
        <x:v>mdt</x:v>
      </x:c>
      <x:c r="D34" s="56" t="n">
        <x:v>45</x:v>
      </x:c>
      <x:c r="E34" s="56" t="str">
        <x:v>mdt.trigger</x:v>
      </x:c>
      <x:c r="F34" s="56" t="str">
        <x:v>trigger</x:v>
      </x:c>
      <x:c r="G34" s="56" t="n">
        <x:v>11</x:v>
      </x:c>
      <x:c r="H34" s="56" t="str">
        <x:v>病例特异得分项</x:v>
      </x:c>
      <x:c r="I34" s="56" t="str">
        <x:v>否</x:v>
      </x:c>
      <x:c r="J34" s="56" t="str">
        <x:v>否</x:v>
      </x:c>
      <x:c r="K34" s="56" t="str">
        <x:v>否</x:v>
      </x:c>
      <x:c r="L34" s="56" t="str">
        <x:v>按结构化事件证据给予0/部分/满分；不能由总结反推已完成</x:v>
      </x:c>
      <x:c r="M34" s="56" t="str"/>
      <x:c r="N34" s="56" t="n">
        <x:f>SUMIFS($G$4:$G$1673,$A$4:$A$1673,A34)</x:f>
        <x:v>360</x:v>
      </x:c>
      <x:c r="O34" s="56" t="str">
        <x:f>IF(N34=360,"通过","失败")</x:f>
        <x:v>通过</x:v>
      </x:c>
      <x:c r="P34" s="56" t="str"/>
      <x:c r="Q34" s="59" t="str">
        <x:v>待确认</x:v>
      </x:c>
    </x:row>
    <x:row r="35">
      <x:c r="A35" s="56" t="str">
        <x:v>P001</x:v>
      </x:c>
      <x:c r="B35" s="56" t="str">
        <x:v>P001</x:v>
      </x:c>
      <x:c r="C35" s="56" t="str">
        <x:v>mdt</x:v>
      </x:c>
      <x:c r="D35" s="56" t="n">
        <x:v>45</x:v>
      </x:c>
      <x:c r="E35" s="56" t="str">
        <x:v>mdt.question</x:v>
      </x:c>
      <x:c r="F35" s="56" t="str">
        <x:v>question</x:v>
      </x:c>
      <x:c r="G35" s="56" t="n">
        <x:v>11</x:v>
      </x:c>
      <x:c r="H35" s="56" t="str">
        <x:v>病例特异得分项</x:v>
      </x:c>
      <x:c r="I35" s="56" t="str">
        <x:v>否</x:v>
      </x:c>
      <x:c r="J35" s="56" t="str">
        <x:v>否</x:v>
      </x:c>
      <x:c r="K35" s="56" t="str">
        <x:v>否</x:v>
      </x:c>
      <x:c r="L35" s="56" t="str">
        <x:v>按结构化事件证据给予0/部分/满分；不能由总结反推已完成</x:v>
      </x:c>
      <x:c r="M35" s="56" t="str"/>
      <x:c r="N35" s="56" t="n">
        <x:f>SUMIFS($G$4:$G$1673,$A$4:$A$1673,A35)</x:f>
        <x:v>360</x:v>
      </x:c>
      <x:c r="O35" s="56" t="str">
        <x:f>IF(N35=360,"通过","失败")</x:f>
        <x:v>通过</x:v>
      </x:c>
      <x:c r="P35" s="56" t="str"/>
      <x:c r="Q35" s="59" t="str">
        <x:v>待确认</x:v>
      </x:c>
    </x:row>
    <x:row r="36">
      <x:c r="A36" s="56" t="str">
        <x:v>P001</x:v>
      </x:c>
      <x:c r="B36" s="56" t="str">
        <x:v>P001</x:v>
      </x:c>
      <x:c r="C36" s="56" t="str">
        <x:v>mdt</x:v>
      </x:c>
      <x:c r="D36" s="56" t="n">
        <x:v>45</x:v>
      </x:c>
      <x:c r="E36" s="56" t="str">
        <x:v>mdt.evidence</x:v>
      </x:c>
      <x:c r="F36" s="56" t="str">
        <x:v>evidence</x:v>
      </x:c>
      <x:c r="G36" s="56" t="n">
        <x:v>11</x:v>
      </x:c>
      <x:c r="H36" s="56" t="str">
        <x:v>病例特异得分项</x:v>
      </x:c>
      <x:c r="I36" s="56" t="str">
        <x:v>否</x:v>
      </x:c>
      <x:c r="J36" s="56" t="str">
        <x:v>否</x:v>
      </x:c>
      <x:c r="K36" s="56" t="str">
        <x:v>否</x:v>
      </x:c>
      <x:c r="L36" s="56" t="str">
        <x:v>按结构化事件证据给予0/部分/满分；不能由总结反推已完成</x:v>
      </x:c>
      <x:c r="M36" s="56" t="str"/>
      <x:c r="N36" s="56" t="n">
        <x:f>SUMIFS($G$4:$G$1673,$A$4:$A$1673,A36)</x:f>
        <x:v>360</x:v>
      </x:c>
      <x:c r="O36" s="56" t="str">
        <x:f>IF(N36=360,"通过","失败")</x:f>
        <x:v>通过</x:v>
      </x:c>
      <x:c r="P36" s="56" t="str"/>
      <x:c r="Q36" s="59" t="str">
        <x:v>待确认</x:v>
      </x:c>
    </x:row>
    <x:row r="37">
      <x:c r="A37" s="56" t="str">
        <x:v>P001</x:v>
      </x:c>
      <x:c r="B37" s="56" t="str">
        <x:v>P001</x:v>
      </x:c>
      <x:c r="C37" s="56" t="str">
        <x:v>treatment</x:v>
      </x:c>
      <x:c r="D37" s="56" t="n">
        <x:v>50</x:v>
      </x:c>
      <x:c r="E37" s="56" t="str">
        <x:v>treatment.immediate</x:v>
      </x:c>
      <x:c r="F37" s="56" t="str">
        <x:v>immediate</x:v>
      </x:c>
      <x:c r="G37" s="56" t="n">
        <x:v>13</x:v>
      </x:c>
      <x:c r="H37" s="56" t="str">
        <x:v>病例特异得分项</x:v>
      </x:c>
      <x:c r="I37" s="56" t="str">
        <x:v>否</x:v>
      </x:c>
      <x:c r="J37" s="56" t="str">
        <x:v>否</x:v>
      </x:c>
      <x:c r="K37" s="56" t="str">
        <x:v>否</x:v>
      </x:c>
      <x:c r="L37" s="56" t="str">
        <x:v>按结构化事件证据给予0/部分/满分；不能由总结反推已完成</x:v>
      </x:c>
      <x:c r="M37" s="56" t="str"/>
      <x:c r="N37" s="56" t="n">
        <x:f>SUMIFS($G$4:$G$1673,$A$4:$A$1673,A37)</x:f>
        <x:v>360</x:v>
      </x:c>
      <x:c r="O37" s="56" t="str">
        <x:f>IF(N37=360,"通过","失败")</x:f>
        <x:v>通过</x:v>
      </x:c>
      <x:c r="P37" s="56" t="str"/>
      <x:c r="Q37" s="59" t="str">
        <x:v>待确认</x:v>
      </x:c>
    </x:row>
    <x:row r="38">
      <x:c r="A38" s="56" t="str">
        <x:v>P001</x:v>
      </x:c>
      <x:c r="B38" s="56" t="str">
        <x:v>P001</x:v>
      </x:c>
      <x:c r="C38" s="56" t="str">
        <x:v>treatment</x:v>
      </x:c>
      <x:c r="D38" s="56" t="n">
        <x:v>50</x:v>
      </x:c>
      <x:c r="E38" s="56" t="str">
        <x:v>treatment.etiologic</x:v>
      </x:c>
      <x:c r="F38" s="56" t="str">
        <x:v>etiologic</x:v>
      </x:c>
      <x:c r="G38" s="56" t="n">
        <x:v>13</x:v>
      </x:c>
      <x:c r="H38" s="56" t="str">
        <x:v>病例特异得分项</x:v>
      </x:c>
      <x:c r="I38" s="56" t="str">
        <x:v>否</x:v>
      </x:c>
      <x:c r="J38" s="56" t="str">
        <x:v>否</x:v>
      </x:c>
      <x:c r="K38" s="56" t="str">
        <x:v>否</x:v>
      </x:c>
      <x:c r="L38" s="56" t="str">
        <x:v>按结构化事件证据给予0/部分/满分；不能由总结反推已完成</x:v>
      </x:c>
      <x:c r="M38" s="56" t="str"/>
      <x:c r="N38" s="56" t="n">
        <x:f>SUMIFS($G$4:$G$1673,$A$4:$A$1673,A38)</x:f>
        <x:v>360</x:v>
      </x:c>
      <x:c r="O38" s="56" t="str">
        <x:f>IF(N38=360,"通过","失败")</x:f>
        <x:v>通过</x:v>
      </x:c>
      <x:c r="P38" s="56" t="str"/>
      <x:c r="Q38" s="59" t="str">
        <x:v>待确认</x:v>
      </x:c>
    </x:row>
    <x:row r="39">
      <x:c r="A39" s="56" t="str">
        <x:v>P001</x:v>
      </x:c>
      <x:c r="B39" s="56" t="str">
        <x:v>P001</x:v>
      </x:c>
      <x:c r="C39" s="56" t="str">
        <x:v>treatment</x:v>
      </x:c>
      <x:c r="D39" s="56" t="n">
        <x:v>50</x:v>
      </x:c>
      <x:c r="E39" s="56" t="str">
        <x:v>treatment.definitive</x:v>
      </x:c>
      <x:c r="F39" s="56" t="str">
        <x:v>definitive</x:v>
      </x:c>
      <x:c r="G39" s="56" t="n">
        <x:v>12</x:v>
      </x:c>
      <x:c r="H39" s="56" t="str">
        <x:v>病例特异得分项</x:v>
      </x:c>
      <x:c r="I39" s="56" t="str">
        <x:v>否</x:v>
      </x:c>
      <x:c r="J39" s="56" t="str">
        <x:v>否</x:v>
      </x:c>
      <x:c r="K39" s="56" t="str">
        <x:v>否</x:v>
      </x:c>
      <x:c r="L39" s="56" t="str">
        <x:v>按结构化事件证据给予0/部分/满分；不能由总结反推已完成</x:v>
      </x:c>
      <x:c r="M39" s="56" t="str"/>
      <x:c r="N39" s="56" t="n">
        <x:f>SUMIFS($G$4:$G$1673,$A$4:$A$1673,A39)</x:f>
        <x:v>360</x:v>
      </x:c>
      <x:c r="O39" s="56" t="str">
        <x:f>IF(N39=360,"通过","失败")</x:f>
        <x:v>通过</x:v>
      </x:c>
      <x:c r="P39" s="56" t="str"/>
      <x:c r="Q39" s="59" t="str">
        <x:v>待确认</x:v>
      </x:c>
    </x:row>
    <x:row r="40">
      <x:c r="A40" s="56" t="str">
        <x:v>P001</x:v>
      </x:c>
      <x:c r="B40" s="56" t="str">
        <x:v>P001</x:v>
      </x:c>
      <x:c r="C40" s="56" t="str">
        <x:v>treatment</x:v>
      </x:c>
      <x:c r="D40" s="56" t="n">
        <x:v>50</x:v>
      </x:c>
      <x:c r="E40" s="56" t="str">
        <x:v>treatment.perioperative</x:v>
      </x:c>
      <x:c r="F40" s="56" t="str">
        <x:v>perioperative</x:v>
      </x:c>
      <x:c r="G40" s="56" t="n">
        <x:v>12</x:v>
      </x:c>
      <x:c r="H40" s="56" t="str">
        <x:v>病例特异得分项</x:v>
      </x:c>
      <x:c r="I40" s="56" t="str">
        <x:v>否</x:v>
      </x:c>
      <x:c r="J40" s="56" t="str">
        <x:v>否</x:v>
      </x:c>
      <x:c r="K40" s="56" t="str">
        <x:v>否</x:v>
      </x:c>
      <x:c r="L40" s="56" t="str">
        <x:v>按结构化事件证据给予0/部分/满分；不能由总结反推已完成</x:v>
      </x:c>
      <x:c r="M40" s="56" t="str"/>
      <x:c r="N40" s="56" t="n">
        <x:f>SUMIFS($G$4:$G$1673,$A$4:$A$1673,A40)</x:f>
        <x:v>360</x:v>
      </x:c>
      <x:c r="O40" s="56" t="str">
        <x:f>IF(N40=360,"通过","失败")</x:f>
        <x:v>通过</x:v>
      </x:c>
      <x:c r="P40" s="56" t="str"/>
      <x:c r="Q40" s="59" t="str">
        <x:v>待确认</x:v>
      </x:c>
    </x:row>
    <x:row r="41">
      <x:c r="A41" s="56" t="str">
        <x:v>P001</x:v>
      </x:c>
      <x:c r="B41" s="56" t="str">
        <x:v>P001</x:v>
      </x:c>
      <x:c r="C41" s="56" t="str">
        <x:v>followup</x:v>
      </x:c>
      <x:c r="D41" s="56" t="n">
        <x:v>40</x:v>
      </x:c>
      <x:c r="E41" s="56" t="str">
        <x:v>followup.plan</x:v>
      </x:c>
      <x:c r="F41" s="56" t="str">
        <x:v>随访复查</x:v>
      </x:c>
      <x:c r="G41" s="56" t="n">
        <x:v>10</x:v>
      </x:c>
      <x:c r="H41" s="56" t="str">
        <x:v>普通得分项</x:v>
      </x:c>
      <x:c r="I41" s="56" t="str">
        <x:v>否</x:v>
      </x:c>
      <x:c r="J41" s="56" t="str">
        <x:v>否</x:v>
      </x:c>
      <x:c r="K41" s="56" t="str">
        <x:v>否</x:v>
      </x:c>
      <x:c r="L41" s="56" t="str">
        <x:v>按结构化事件证据给予0/部分/满分；不能由总结反推已完成</x:v>
      </x:c>
      <x:c r="M41" s="56" t="str"/>
      <x:c r="N41" s="56" t="n">
        <x:f>SUMIFS($G$4:$G$1673,$A$4:$A$1673,A41)</x:f>
        <x:v>360</x:v>
      </x:c>
      <x:c r="O41" s="56" t="str">
        <x:f>IF(N41=360,"通过","失败")</x:f>
        <x:v>通过</x:v>
      </x:c>
      <x:c r="P41" s="56" t="str"/>
      <x:c r="Q41" s="59" t="str">
        <x:v>待确认</x:v>
      </x:c>
    </x:row>
    <x:row r="42">
      <x:c r="A42" s="56" t="str">
        <x:v>P001</x:v>
      </x:c>
      <x:c r="B42" s="56" t="str">
        <x:v>P001</x:v>
      </x:c>
      <x:c r="C42" s="56" t="str">
        <x:v>followup</x:v>
      </x:c>
      <x:c r="D42" s="56" t="n">
        <x:v>40</x:v>
      </x:c>
      <x:c r="E42" s="56" t="str">
        <x:v>followup.education</x:v>
      </x:c>
      <x:c r="F42" s="56" t="str">
        <x:v>患者教育</x:v>
      </x:c>
      <x:c r="G42" s="56" t="n">
        <x:v>10</x:v>
      </x:c>
      <x:c r="H42" s="56" t="str">
        <x:v>普通得分项</x:v>
      </x:c>
      <x:c r="I42" s="56" t="str">
        <x:v>否</x:v>
      </x:c>
      <x:c r="J42" s="56" t="str">
        <x:v>否</x:v>
      </x:c>
      <x:c r="K42" s="56" t="str">
        <x:v>否</x:v>
      </x:c>
      <x:c r="L42" s="56" t="str">
        <x:v>按结构化事件证据给予0/部分/满分；不能由总结反推已完成</x:v>
      </x:c>
      <x:c r="M42" s="56" t="str"/>
      <x:c r="N42" s="56" t="n">
        <x:f>SUMIFS($G$4:$G$1673,$A$4:$A$1673,A42)</x:f>
        <x:v>360</x:v>
      </x:c>
      <x:c r="O42" s="56" t="str">
        <x:f>IF(N42=360,"通过","失败")</x:f>
        <x:v>通过</x:v>
      </x:c>
      <x:c r="P42" s="56" t="str"/>
      <x:c r="Q42" s="59" t="str">
        <x:v>待确认</x:v>
      </x:c>
    </x:row>
    <x:row r="43">
      <x:c r="A43" s="56" t="str">
        <x:v>P001</x:v>
      </x:c>
      <x:c r="B43" s="56" t="str">
        <x:v>P001</x:v>
      </x:c>
      <x:c r="C43" s="56" t="str">
        <x:v>followup</x:v>
      </x:c>
      <x:c r="D43" s="56" t="n">
        <x:v>40</x:v>
      </x:c>
      <x:c r="E43" s="56" t="str">
        <x:v>followup.reflection</x:v>
      </x:c>
      <x:c r="F43" s="56" t="str">
        <x:v>学习反思质量</x:v>
      </x:c>
      <x:c r="G43" s="56" t="n">
        <x:v>10</x:v>
      </x:c>
      <x:c r="H43" s="56" t="str">
        <x:v>普通得分项</x:v>
      </x:c>
      <x:c r="I43" s="56" t="str">
        <x:v>否</x:v>
      </x:c>
      <x:c r="J43" s="56" t="str">
        <x:v>否</x:v>
      </x:c>
      <x:c r="K43" s="56" t="str">
        <x:v>否</x:v>
      </x:c>
      <x:c r="L43" s="56" t="str">
        <x:v>按结构化事件证据给予0/部分/满分；不能由总结反推已完成</x:v>
      </x:c>
      <x:c r="M43" s="56" t="str"/>
      <x:c r="N43" s="56" t="n">
        <x:f>SUMIFS($G$4:$G$1673,$A$4:$A$1673,A43)</x:f>
        <x:v>360</x:v>
      </x:c>
      <x:c r="O43" s="56" t="str">
        <x:f>IF(N43=360,"通过","失败")</x:f>
        <x:v>通过</x:v>
      </x:c>
      <x:c r="P43" s="56" t="str"/>
      <x:c r="Q43" s="59" t="str">
        <x:v>待确认</x:v>
      </x:c>
    </x:row>
    <x:row r="44">
      <x:c r="A44" s="56" t="str">
        <x:v>P001</x:v>
      </x:c>
      <x:c r="B44" s="56" t="str">
        <x:v>P001</x:v>
      </x:c>
      <x:c r="C44" s="56" t="str">
        <x:v>followup</x:v>
      </x:c>
      <x:c r="D44" s="56" t="n">
        <x:v>40</x:v>
      </x:c>
      <x:c r="E44" s="56" t="str">
        <x:v>followup.efficiency</x:v>
      </x:c>
      <x:c r="F44" s="56" t="str">
        <x:v>操作效率</x:v>
      </x:c>
      <x:c r="G44" s="56" t="n">
        <x:v>10</x:v>
      </x:c>
      <x:c r="H44" s="56" t="str">
        <x:v>普通得分项</x:v>
      </x:c>
      <x:c r="I44" s="56" t="str">
        <x:v>否</x:v>
      </x:c>
      <x:c r="J44" s="56" t="str">
        <x:v>否</x:v>
      </x:c>
      <x:c r="K44" s="56" t="str">
        <x:v>否</x:v>
      </x:c>
      <x:c r="L44" s="56" t="str">
        <x:v>按结构化事件证据给予0/部分/满分；不能由总结反推已完成</x:v>
      </x:c>
      <x:c r="M44" s="56" t="str"/>
      <x:c r="N44" s="56" t="n">
        <x:f>SUMIFS($G$4:$G$1673,$A$4:$A$1673,A44)</x:f>
        <x:v>360</x:v>
      </x:c>
      <x:c r="O44" s="56" t="str">
        <x:f>IF(N44=360,"通过","失败")</x:f>
        <x:v>通过</x:v>
      </x:c>
      <x:c r="P44" s="56" t="str"/>
      <x:c r="Q44" s="59" t="str">
        <x:v>待确认</x:v>
      </x:c>
    </x:row>
    <x:row r="45">
      <x:c r="A45" s="56" t="str">
        <x:v>P002</x:v>
      </x:c>
      <x:c r="B45" s="56" t="str">
        <x:v>P002</x:v>
      </x:c>
      <x:c r="C45" s="56" t="str">
        <x:v>history</x:v>
      </x:c>
      <x:c r="D45" s="56" t="n">
        <x:v>50</x:v>
      </x:c>
      <x:c r="E45" s="56" t="str">
        <x:v>history.hematuria_visibility</x:v>
      </x:c>
      <x:c r="F45" s="56" t="str">
        <x:v>hematuria_visibility</x:v>
      </x:c>
      <x:c r="G45" s="56" t="n">
        <x:v>5</x:v>
      </x:c>
      <x:c r="H45" s="56" t="str">
        <x:v>普通得分项</x:v>
      </x:c>
      <x:c r="I45" s="56" t="str">
        <x:v>否</x:v>
      </x:c>
      <x:c r="J45" s="56" t="str">
        <x:v>否</x:v>
      </x:c>
      <x:c r="K45" s="56" t="str">
        <x:v>否</x:v>
      </x:c>
      <x:c r="L45" s="56" t="str">
        <x:v>按结构化事件证据给予0/部分/满分；不能由总结反推已完成</x:v>
      </x:c>
      <x:c r="M45" s="56" t="str"/>
      <x:c r="N45" s="56" t="n">
        <x:f>SUMIFS($G$4:$G$1673,$A$4:$A$1673,A45)</x:f>
        <x:v>360</x:v>
      </x:c>
      <x:c r="O45" s="56" t="str">
        <x:f>IF(N45=360,"通过","失败")</x:f>
        <x:v>通过</x:v>
      </x:c>
      <x:c r="P45" s="56" t="str"/>
      <x:c r="Q45" s="59" t="str">
        <x:v>待确认</x:v>
      </x:c>
    </x:row>
    <x:row r="46">
      <x:c r="A46" s="56" t="str">
        <x:v>P002</x:v>
      </x:c>
      <x:c r="B46" s="56" t="str">
        <x:v>P002</x:v>
      </x:c>
      <x:c r="C46" s="56" t="str">
        <x:v>history</x:v>
      </x:c>
      <x:c r="D46" s="56" t="n">
        <x:v>50</x:v>
      </x:c>
      <x:c r="E46" s="56" t="str">
        <x:v>history.hematuria_onset</x:v>
      </x:c>
      <x:c r="F46" s="56" t="str">
        <x:v>hematuria_onset</x:v>
      </x:c>
      <x:c r="G46" s="56" t="n">
        <x:v>5</x:v>
      </x:c>
      <x:c r="H46" s="56" t="str">
        <x:v>普通得分项</x:v>
      </x:c>
      <x:c r="I46" s="56" t="str">
        <x:v>否</x:v>
      </x:c>
      <x:c r="J46" s="56" t="str">
        <x:v>否</x:v>
      </x:c>
      <x:c r="K46" s="56" t="str">
        <x:v>否</x:v>
      </x:c>
      <x:c r="L46" s="56" t="str">
        <x:v>按结构化事件证据给予0/部分/满分；不能由总结反推已完成</x:v>
      </x:c>
      <x:c r="M46" s="56" t="str"/>
      <x:c r="N46" s="56" t="n">
        <x:f>SUMIFS($G$4:$G$1673,$A$4:$A$1673,A46)</x:f>
        <x:v>360</x:v>
      </x:c>
      <x:c r="O46" s="56" t="str">
        <x:f>IF(N46=360,"通过","失败")</x:f>
        <x:v>通过</x:v>
      </x:c>
      <x:c r="P46" s="56" t="str"/>
      <x:c r="Q46" s="59" t="str">
        <x:v>待确认</x:v>
      </x:c>
    </x:row>
    <x:row r="47">
      <x:c r="A47" s="56" t="str">
        <x:v>P002</x:v>
      </x:c>
      <x:c r="B47" s="56" t="str">
        <x:v>P002</x:v>
      </x:c>
      <x:c r="C47" s="56" t="str">
        <x:v>history</x:v>
      </x:c>
      <x:c r="D47" s="56" t="n">
        <x:v>50</x:v>
      </x:c>
      <x:c r="E47" s="56" t="str">
        <x:v>history.hematuria_frequency</x:v>
      </x:c>
      <x:c r="F47" s="56" t="str">
        <x:v>hematuria_frequency</x:v>
      </x:c>
      <x:c r="G47" s="56" t="n">
        <x:v>4</x:v>
      </x:c>
      <x:c r="H47" s="56" t="str">
        <x:v>普通得分项</x:v>
      </x:c>
      <x:c r="I47" s="56" t="str">
        <x:v>否</x:v>
      </x:c>
      <x:c r="J47" s="56" t="str">
        <x:v>否</x:v>
      </x:c>
      <x:c r="K47" s="56" t="str">
        <x:v>否</x:v>
      </x:c>
      <x:c r="L47" s="56" t="str">
        <x:v>按结构化事件证据给予0/部分/满分；不能由总结反推已完成</x:v>
      </x:c>
      <x:c r="M47" s="56" t="str"/>
      <x:c r="N47" s="56" t="n">
        <x:f>SUMIFS($G$4:$G$1673,$A$4:$A$1673,A47)</x:f>
        <x:v>360</x:v>
      </x:c>
      <x:c r="O47" s="56" t="str">
        <x:f>IF(N47=360,"通过","失败")</x:f>
        <x:v>通过</x:v>
      </x:c>
      <x:c r="P47" s="56" t="str"/>
      <x:c r="Q47" s="59" t="str">
        <x:v>待确认</x:v>
      </x:c>
    </x:row>
    <x:row r="48">
      <x:c r="A48" s="56" t="str">
        <x:v>P002</x:v>
      </x:c>
      <x:c r="B48" s="56" t="str">
        <x:v>P002</x:v>
      </x:c>
      <x:c r="C48" s="56" t="str">
        <x:v>history</x:v>
      </x:c>
      <x:c r="D48" s="56" t="n">
        <x:v>50</x:v>
      </x:c>
      <x:c r="E48" s="56" t="str">
        <x:v>history.hematuria_phase</x:v>
      </x:c>
      <x:c r="F48" s="56" t="str">
        <x:v>hematuria_phase</x:v>
      </x:c>
      <x:c r="G48" s="56" t="n">
        <x:v>4</x:v>
      </x:c>
      <x:c r="H48" s="56" t="str">
        <x:v>普通得分项</x:v>
      </x:c>
      <x:c r="I48" s="56" t="str">
        <x:v>否</x:v>
      </x:c>
      <x:c r="J48" s="56" t="str">
        <x:v>否</x:v>
      </x:c>
      <x:c r="K48" s="56" t="str">
        <x:v>否</x:v>
      </x:c>
      <x:c r="L48" s="56" t="str">
        <x:v>按结构化事件证据给予0/部分/满分；不能由总结反推已完成</x:v>
      </x:c>
      <x:c r="M48" s="56" t="str"/>
      <x:c r="N48" s="56" t="n">
        <x:f>SUMIFS($G$4:$G$1673,$A$4:$A$1673,A48)</x:f>
        <x:v>360</x:v>
      </x:c>
      <x:c r="O48" s="56" t="str">
        <x:f>IF(N48=360,"通过","失败")</x:f>
        <x:v>通过</x:v>
      </x:c>
      <x:c r="P48" s="56" t="str"/>
      <x:c r="Q48" s="59" t="str">
        <x:v>待确认</x:v>
      </x:c>
    </x:row>
    <x:row r="49">
      <x:c r="A49" s="56" t="str">
        <x:v>P002</x:v>
      </x:c>
      <x:c r="B49" s="56" t="str">
        <x:v>P002</x:v>
      </x:c>
      <x:c r="C49" s="56" t="str">
        <x:v>history</x:v>
      </x:c>
      <x:c r="D49" s="56" t="n">
        <x:v>50</x:v>
      </x:c>
      <x:c r="E49" s="56" t="str">
        <x:v>history.urine_color</x:v>
      </x:c>
      <x:c r="F49" s="56" t="str">
        <x:v>urine_color</x:v>
      </x:c>
      <x:c r="G49" s="56" t="n">
        <x:v>4</x:v>
      </x:c>
      <x:c r="H49" s="56" t="str">
        <x:v>普通得分项</x:v>
      </x:c>
      <x:c r="I49" s="56" t="str">
        <x:v>否</x:v>
      </x:c>
      <x:c r="J49" s="56" t="str">
        <x:v>否</x:v>
      </x:c>
      <x:c r="K49" s="56" t="str">
        <x:v>否</x:v>
      </x:c>
      <x:c r="L49" s="56" t="str">
        <x:v>按结构化事件证据给予0/部分/满分；不能由总结反推已完成</x:v>
      </x:c>
      <x:c r="M49" s="56" t="str"/>
      <x:c r="N49" s="56" t="n">
        <x:f>SUMIFS($G$4:$G$1673,$A$4:$A$1673,A49)</x:f>
        <x:v>360</x:v>
      </x:c>
      <x:c r="O49" s="56" t="str">
        <x:f>IF(N49=360,"通过","失败")</x:f>
        <x:v>通过</x:v>
      </x:c>
      <x:c r="P49" s="56" t="str"/>
      <x:c r="Q49" s="59" t="str">
        <x:v>待确认</x:v>
      </x:c>
    </x:row>
    <x:row r="50">
      <x:c r="A50" s="56" t="str">
        <x:v>P002</x:v>
      </x:c>
      <x:c r="B50" s="56" t="str">
        <x:v>P002</x:v>
      </x:c>
      <x:c r="C50" s="56" t="str">
        <x:v>history</x:v>
      </x:c>
      <x:c r="D50" s="56" t="n">
        <x:v>50</x:v>
      </x:c>
      <x:c r="E50" s="56" t="str">
        <x:v>history.clots</x:v>
      </x:c>
      <x:c r="F50" s="56" t="str">
        <x:v>clots</x:v>
      </x:c>
      <x:c r="G50" s="56" t="n">
        <x:v>4</x:v>
      </x:c>
      <x:c r="H50" s="56" t="str">
        <x:v>普通得分项</x:v>
      </x:c>
      <x:c r="I50" s="56" t="str">
        <x:v>否</x:v>
      </x:c>
      <x:c r="J50" s="56" t="str">
        <x:v>否</x:v>
      </x:c>
      <x:c r="K50" s="56" t="str">
        <x:v>否</x:v>
      </x:c>
      <x:c r="L50" s="56" t="str">
        <x:v>按结构化事件证据给予0/部分/满分；不能由总结反推已完成</x:v>
      </x:c>
      <x:c r="M50" s="56" t="str"/>
      <x:c r="N50" s="56" t="n">
        <x:f>SUMIFS($G$4:$G$1673,$A$4:$A$1673,A50)</x:f>
        <x:v>360</x:v>
      </x:c>
      <x:c r="O50" s="56" t="str">
        <x:f>IF(N50=360,"通过","失败")</x:f>
        <x:v>通过</x:v>
      </x:c>
      <x:c r="P50" s="56" t="str"/>
      <x:c r="Q50" s="59" t="str">
        <x:v>待确认</x:v>
      </x:c>
    </x:row>
    <x:row r="51">
      <x:c r="A51" s="56" t="str">
        <x:v>P002</x:v>
      </x:c>
      <x:c r="B51" s="56" t="str">
        <x:v>P002</x:v>
      </x:c>
      <x:c r="C51" s="56" t="str">
        <x:v>history</x:v>
      </x:c>
      <x:c r="D51" s="56" t="n">
        <x:v>50</x:v>
      </x:c>
      <x:c r="E51" s="56" t="str">
        <x:v>history.pain</x:v>
      </x:c>
      <x:c r="F51" s="56" t="str">
        <x:v>pain</x:v>
      </x:c>
      <x:c r="G51" s="56" t="n">
        <x:v>4</x:v>
      </x:c>
      <x:c r="H51" s="56" t="str">
        <x:v>普通得分项</x:v>
      </x:c>
      <x:c r="I51" s="56" t="str">
        <x:v>否</x:v>
      </x:c>
      <x:c r="J51" s="56" t="str">
        <x:v>否</x:v>
      </x:c>
      <x:c r="K51" s="56" t="str">
        <x:v>否</x:v>
      </x:c>
      <x:c r="L51" s="56" t="str">
        <x:v>按结构化事件证据给予0/部分/满分；不能由总结反推已完成</x:v>
      </x:c>
      <x:c r="M51" s="56" t="str"/>
      <x:c r="N51" s="56" t="n">
        <x:f>SUMIFS($G$4:$G$1673,$A$4:$A$1673,A51)</x:f>
        <x:v>360</x:v>
      </x:c>
      <x:c r="O51" s="56" t="str">
        <x:f>IF(N51=360,"通过","失败")</x:f>
        <x:v>通过</x:v>
      </x:c>
      <x:c r="P51" s="56" t="str"/>
      <x:c r="Q51" s="59" t="str">
        <x:v>待确认</x:v>
      </x:c>
    </x:row>
    <x:row r="52">
      <x:c r="A52" s="56" t="str">
        <x:v>P002</x:v>
      </x:c>
      <x:c r="B52" s="56" t="str">
        <x:v>P002</x:v>
      </x:c>
      <x:c r="C52" s="56" t="str">
        <x:v>history</x:v>
      </x:c>
      <x:c r="D52" s="56" t="n">
        <x:v>50</x:v>
      </x:c>
      <x:c r="E52" s="56" t="str">
        <x:v>history.dysuria</x:v>
      </x:c>
      <x:c r="F52" s="56" t="str">
        <x:v>dysuria</x:v>
      </x:c>
      <x:c r="G52" s="56" t="n">
        <x:v>4</x:v>
      </x:c>
      <x:c r="H52" s="56" t="str">
        <x:v>普通得分项</x:v>
      </x:c>
      <x:c r="I52" s="56" t="str">
        <x:v>否</x:v>
      </x:c>
      <x:c r="J52" s="56" t="str">
        <x:v>否</x:v>
      </x:c>
      <x:c r="K52" s="56" t="str">
        <x:v>否</x:v>
      </x:c>
      <x:c r="L52" s="56" t="str">
        <x:v>按结构化事件证据给予0/部分/满分；不能由总结反推已完成</x:v>
      </x:c>
      <x:c r="M52" s="56" t="str"/>
      <x:c r="N52" s="56" t="n">
        <x:f>SUMIFS($G$4:$G$1673,$A$4:$A$1673,A52)</x:f>
        <x:v>360</x:v>
      </x:c>
      <x:c r="O52" s="56" t="str">
        <x:f>IF(N52=360,"通过","失败")</x:f>
        <x:v>通过</x:v>
      </x:c>
      <x:c r="P52" s="56" t="str"/>
      <x:c r="Q52" s="59" t="str">
        <x:v>待确认</x:v>
      </x:c>
    </x:row>
    <x:row r="53">
      <x:c r="A53" s="56" t="str">
        <x:v>P002</x:v>
      </x:c>
      <x:c r="B53" s="56" t="str">
        <x:v>P002</x:v>
      </x:c>
      <x:c r="C53" s="56" t="str">
        <x:v>history</x:v>
      </x:c>
      <x:c r="D53" s="56" t="n">
        <x:v>50</x:v>
      </x:c>
      <x:c r="E53" s="56" t="str">
        <x:v>history.urinary_frequency</x:v>
      </x:c>
      <x:c r="F53" s="56" t="str">
        <x:v>urinary_frequency</x:v>
      </x:c>
      <x:c r="G53" s="56" t="n">
        <x:v>4</x:v>
      </x:c>
      <x:c r="H53" s="56" t="str">
        <x:v>普通得分项</x:v>
      </x:c>
      <x:c r="I53" s="56" t="str">
        <x:v>否</x:v>
      </x:c>
      <x:c r="J53" s="56" t="str">
        <x:v>否</x:v>
      </x:c>
      <x:c r="K53" s="56" t="str">
        <x:v>否</x:v>
      </x:c>
      <x:c r="L53" s="56" t="str">
        <x:v>按结构化事件证据给予0/部分/满分；不能由总结反推已完成</x:v>
      </x:c>
      <x:c r="M53" s="56" t="str"/>
      <x:c r="N53" s="56" t="n">
        <x:f>SUMIFS($G$4:$G$1673,$A$4:$A$1673,A53)</x:f>
        <x:v>360</x:v>
      </x:c>
      <x:c r="O53" s="56" t="str">
        <x:f>IF(N53=360,"通过","失败")</x:f>
        <x:v>通过</x:v>
      </x:c>
      <x:c r="P53" s="56" t="str"/>
      <x:c r="Q53" s="59" t="str">
        <x:v>待确认</x:v>
      </x:c>
    </x:row>
    <x:row r="54">
      <x:c r="A54" s="56" t="str">
        <x:v>P002</x:v>
      </x:c>
      <x:c r="B54" s="56" t="str">
        <x:v>P002</x:v>
      </x:c>
      <x:c r="C54" s="56" t="str">
        <x:v>history</x:v>
      </x:c>
      <x:c r="D54" s="56" t="n">
        <x:v>50</x:v>
      </x:c>
      <x:c r="E54" s="56" t="str">
        <x:v>history.urinary_urgency</x:v>
      </x:c>
      <x:c r="F54" s="56" t="str">
        <x:v>urinary_urgency</x:v>
      </x:c>
      <x:c r="G54" s="56" t="n">
        <x:v>4</x:v>
      </x:c>
      <x:c r="H54" s="56" t="str">
        <x:v>普通得分项</x:v>
      </x:c>
      <x:c r="I54" s="56" t="str">
        <x:v>否</x:v>
      </x:c>
      <x:c r="J54" s="56" t="str">
        <x:v>否</x:v>
      </x:c>
      <x:c r="K54" s="56" t="str">
        <x:v>否</x:v>
      </x:c>
      <x:c r="L54" s="56" t="str">
        <x:v>按结构化事件证据给予0/部分/满分；不能由总结反推已完成</x:v>
      </x:c>
      <x:c r="M54" s="56" t="str"/>
      <x:c r="N54" s="56" t="n">
        <x:f>SUMIFS($G$4:$G$1673,$A$4:$A$1673,A54)</x:f>
        <x:v>360</x:v>
      </x:c>
      <x:c r="O54" s="56" t="str">
        <x:f>IF(N54=360,"通过","失败")</x:f>
        <x:v>通过</x:v>
      </x:c>
      <x:c r="P54" s="56" t="str"/>
      <x:c r="Q54" s="59" t="str">
        <x:v>待确认</x:v>
      </x:c>
    </x:row>
    <x:row r="55">
      <x:c r="A55" s="56" t="str">
        <x:v>P002</x:v>
      </x:c>
      <x:c r="B55" s="56" t="str">
        <x:v>P002</x:v>
      </x:c>
      <x:c r="C55" s="56" t="str">
        <x:v>history</x:v>
      </x:c>
      <x:c r="D55" s="56" t="n">
        <x:v>50</x:v>
      </x:c>
      <x:c r="E55" s="56" t="str">
        <x:v>history.flank_pain</x:v>
      </x:c>
      <x:c r="F55" s="56" t="str">
        <x:v>flank_pain</x:v>
      </x:c>
      <x:c r="G55" s="56" t="n">
        <x:v>4</x:v>
      </x:c>
      <x:c r="H55" s="56" t="str">
        <x:v>普通得分项</x:v>
      </x:c>
      <x:c r="I55" s="56" t="str">
        <x:v>否</x:v>
      </x:c>
      <x:c r="J55" s="56" t="str">
        <x:v>否</x:v>
      </x:c>
      <x:c r="K55" s="56" t="str">
        <x:v>否</x:v>
      </x:c>
      <x:c r="L55" s="56" t="str">
        <x:v>按结构化事件证据给予0/部分/满分；不能由总结反推已完成</x:v>
      </x:c>
      <x:c r="M55" s="56" t="str"/>
      <x:c r="N55" s="56" t="n">
        <x:f>SUMIFS($G$4:$G$1673,$A$4:$A$1673,A55)</x:f>
        <x:v>360</x:v>
      </x:c>
      <x:c r="O55" s="56" t="str">
        <x:f>IF(N55=360,"通过","失败")</x:f>
        <x:v>通过</x:v>
      </x:c>
      <x:c r="P55" s="56" t="str"/>
      <x:c r="Q55" s="59" t="str">
        <x:v>待确认</x:v>
      </x:c>
    </x:row>
    <x:row r="56">
      <x:c r="A56" s="56" t="str">
        <x:v>P002</x:v>
      </x:c>
      <x:c r="B56" s="56" t="str">
        <x:v>P002</x:v>
      </x:c>
      <x:c r="C56" s="56" t="str">
        <x:v>history</x:v>
      </x:c>
      <x:c r="D56" s="56" t="n">
        <x:v>50</x:v>
      </x:c>
      <x:c r="E56" s="56" t="str">
        <x:v>history.fever_chills</x:v>
      </x:c>
      <x:c r="F56" s="56" t="str">
        <x:v>fever_chills</x:v>
      </x:c>
      <x:c r="G56" s="56" t="n">
        <x:v>4</x:v>
      </x:c>
      <x:c r="H56" s="56" t="str">
        <x:v>普通得分项</x:v>
      </x:c>
      <x:c r="I56" s="56" t="str">
        <x:v>否</x:v>
      </x:c>
      <x:c r="J56" s="56" t="str">
        <x:v>否</x:v>
      </x:c>
      <x:c r="K56" s="56" t="str">
        <x:v>否</x:v>
      </x:c>
      <x:c r="L56" s="56" t="str">
        <x:v>按结构化事件证据给予0/部分/满分；不能由总结反推已完成</x:v>
      </x:c>
      <x:c r="M56" s="56" t="str"/>
      <x:c r="N56" s="56" t="n">
        <x:f>SUMIFS($G$4:$G$1673,$A$4:$A$1673,A56)</x:f>
        <x:v>360</x:v>
      </x:c>
      <x:c r="O56" s="56" t="str">
        <x:f>IF(N56=360,"通过","失败")</x:f>
        <x:v>通过</x:v>
      </x:c>
      <x:c r="P56" s="56" t="str"/>
      <x:c r="Q56" s="59" t="str">
        <x:v>待确认</x:v>
      </x:c>
    </x:row>
    <x:row r="57">
      <x:c r="A57" s="56" t="str">
        <x:v>P002</x:v>
      </x:c>
      <x:c r="B57" s="56" t="str">
        <x:v>P002</x:v>
      </x:c>
      <x:c r="C57" s="56" t="str">
        <x:v>risk</x:v>
      </x:c>
      <x:c r="D57" s="56" t="n">
        <x:v>40</x:v>
      </x:c>
      <x:c r="E57" s="56" t="str">
        <x:v>risk.smoking</x:v>
      </x:c>
      <x:c r="F57" s="56" t="str">
        <x:v>smoking</x:v>
      </x:c>
      <x:c r="G57" s="56" t="n">
        <x:v>7</x:v>
      </x:c>
      <x:c r="H57" s="56" t="str">
        <x:v>普通得分项</x:v>
      </x:c>
      <x:c r="I57" s="56" t="str">
        <x:v>否</x:v>
      </x:c>
      <x:c r="J57" s="56" t="str">
        <x:v>否</x:v>
      </x:c>
      <x:c r="K57" s="56" t="str">
        <x:v>否</x:v>
      </x:c>
      <x:c r="L57" s="56" t="str">
        <x:v>按结构化事件证据给予0/部分/满分；不能由总结反推已完成</x:v>
      </x:c>
      <x:c r="M57" s="56" t="str"/>
      <x:c r="N57" s="56" t="n">
        <x:f>SUMIFS($G$4:$G$1673,$A$4:$A$1673,A57)</x:f>
        <x:v>360</x:v>
      </x:c>
      <x:c r="O57" s="56" t="str">
        <x:f>IF(N57=360,"通过","失败")</x:f>
        <x:v>通过</x:v>
      </x:c>
      <x:c r="P57" s="56" t="str"/>
      <x:c r="Q57" s="59" t="str">
        <x:v>待确认</x:v>
      </x:c>
    </x:row>
    <x:row r="58">
      <x:c r="A58" s="56" t="str">
        <x:v>P002</x:v>
      </x:c>
      <x:c r="B58" s="56" t="str">
        <x:v>P002</x:v>
      </x:c>
      <x:c r="C58" s="56" t="str">
        <x:v>risk</x:v>
      </x:c>
      <x:c r="D58" s="56" t="n">
        <x:v>40</x:v>
      </x:c>
      <x:c r="E58" s="56" t="str">
        <x:v>risk.occupation_exposure</x:v>
      </x:c>
      <x:c r="F58" s="56" t="str">
        <x:v>occupation_exposure</x:v>
      </x:c>
      <x:c r="G58" s="56" t="n">
        <x:v>7</x:v>
      </x:c>
      <x:c r="H58" s="56" t="str">
        <x:v>普通得分项</x:v>
      </x:c>
      <x:c r="I58" s="56" t="str">
        <x:v>否</x:v>
      </x:c>
      <x:c r="J58" s="56" t="str">
        <x:v>否</x:v>
      </x:c>
      <x:c r="K58" s="56" t="str">
        <x:v>否</x:v>
      </x:c>
      <x:c r="L58" s="56" t="str">
        <x:v>按结构化事件证据给予0/部分/满分；不能由总结反推已完成</x:v>
      </x:c>
      <x:c r="M58" s="56" t="str"/>
      <x:c r="N58" s="56" t="n">
        <x:f>SUMIFS($G$4:$G$1673,$A$4:$A$1673,A58)</x:f>
        <x:v>360</x:v>
      </x:c>
      <x:c r="O58" s="56" t="str">
        <x:f>IF(N58=360,"通过","失败")</x:f>
        <x:v>通过</x:v>
      </x:c>
      <x:c r="P58" s="56" t="str"/>
      <x:c r="Q58" s="59" t="str">
        <x:v>待确认</x:v>
      </x:c>
    </x:row>
    <x:row r="59">
      <x:c r="A59" s="56" t="str">
        <x:v>P002</x:v>
      </x:c>
      <x:c r="B59" s="56" t="str">
        <x:v>P002</x:v>
      </x:c>
      <x:c r="C59" s="56" t="str">
        <x:v>risk</x:v>
      </x:c>
      <x:c r="D59" s="56" t="n">
        <x:v>40</x:v>
      </x:c>
      <x:c r="E59" s="56" t="str">
        <x:v>risk.tumor_history</x:v>
      </x:c>
      <x:c r="F59" s="56" t="str">
        <x:v>tumor_history</x:v>
      </x:c>
      <x:c r="G59" s="56" t="n">
        <x:v>7</x:v>
      </x:c>
      <x:c r="H59" s="56" t="str">
        <x:v>普通得分项</x:v>
      </x:c>
      <x:c r="I59" s="56" t="str">
        <x:v>否</x:v>
      </x:c>
      <x:c r="J59" s="56" t="str">
        <x:v>否</x:v>
      </x:c>
      <x:c r="K59" s="56" t="str">
        <x:v>否</x:v>
      </x:c>
      <x:c r="L59" s="56" t="str">
        <x:v>按结构化事件证据给予0/部分/满分；不能由总结反推已完成</x:v>
      </x:c>
      <x:c r="M59" s="56" t="str"/>
      <x:c r="N59" s="56" t="n">
        <x:f>SUMIFS($G$4:$G$1673,$A$4:$A$1673,A59)</x:f>
        <x:v>360</x:v>
      </x:c>
      <x:c r="O59" s="56" t="str">
        <x:f>IF(N59=360,"通过","失败")</x:f>
        <x:v>通过</x:v>
      </x:c>
      <x:c r="P59" s="56" t="str"/>
      <x:c r="Q59" s="59" t="str">
        <x:v>待确认</x:v>
      </x:c>
    </x:row>
    <x:row r="60">
      <x:c r="A60" s="56" t="str">
        <x:v>P002</x:v>
      </x:c>
      <x:c r="B60" s="56" t="str">
        <x:v>P002</x:v>
      </x:c>
      <x:c r="C60" s="56" t="str">
        <x:v>risk</x:v>
      </x:c>
      <x:c r="D60" s="56" t="n">
        <x:v>40</x:v>
      </x:c>
      <x:c r="E60" s="56" t="str">
        <x:v>risk.anticoagulant</x:v>
      </x:c>
      <x:c r="F60" s="56" t="str">
        <x:v>anticoagulant</x:v>
      </x:c>
      <x:c r="G60" s="56" t="n">
        <x:v>7</x:v>
      </x:c>
      <x:c r="H60" s="56" t="str">
        <x:v>普通得分项</x:v>
      </x:c>
      <x:c r="I60" s="56" t="str">
        <x:v>否</x:v>
      </x:c>
      <x:c r="J60" s="56" t="str">
        <x:v>否</x:v>
      </x:c>
      <x:c r="K60" s="56" t="str">
        <x:v>否</x:v>
      </x:c>
      <x:c r="L60" s="56" t="str">
        <x:v>按结构化事件证据给予0/部分/满分；不能由总结反推已完成</x:v>
      </x:c>
      <x:c r="M60" s="56" t="str"/>
      <x:c r="N60" s="56" t="n">
        <x:f>SUMIFS($G$4:$G$1673,$A$4:$A$1673,A60)</x:f>
        <x:v>360</x:v>
      </x:c>
      <x:c r="O60" s="56" t="str">
        <x:f>IF(N60=360,"通过","失败")</x:f>
        <x:v>通过</x:v>
      </x:c>
      <x:c r="P60" s="56" t="str"/>
      <x:c r="Q60" s="59" t="str">
        <x:v>待确认</x:v>
      </x:c>
    </x:row>
    <x:row r="61">
      <x:c r="A61" s="56" t="str">
        <x:v>P002</x:v>
      </x:c>
      <x:c r="B61" s="56" t="str">
        <x:v>P002</x:v>
      </x:c>
      <x:c r="C61" s="56" t="str">
        <x:v>risk</x:v>
      </x:c>
      <x:c r="D61" s="56" t="n">
        <x:v>40</x:v>
      </x:c>
      <x:c r="E61" s="56" t="str">
        <x:v>risk.antiplatelet</x:v>
      </x:c>
      <x:c r="F61" s="56" t="str">
        <x:v>antiplatelet</x:v>
      </x:c>
      <x:c r="G61" s="56" t="n">
        <x:v>6</x:v>
      </x:c>
      <x:c r="H61" s="56" t="str">
        <x:v>普通得分项</x:v>
      </x:c>
      <x:c r="I61" s="56" t="str">
        <x:v>否</x:v>
      </x:c>
      <x:c r="J61" s="56" t="str">
        <x:v>否</x:v>
      </x:c>
      <x:c r="K61" s="56" t="str">
        <x:v>否</x:v>
      </x:c>
      <x:c r="L61" s="56" t="str">
        <x:v>按结构化事件证据给予0/部分/满分；不能由总结反推已完成</x:v>
      </x:c>
      <x:c r="M61" s="56" t="str"/>
      <x:c r="N61" s="56" t="n">
        <x:f>SUMIFS($G$4:$G$1673,$A$4:$A$1673,A61)</x:f>
        <x:v>360</x:v>
      </x:c>
      <x:c r="O61" s="56" t="str">
        <x:f>IF(N61=360,"通过","失败")</x:f>
        <x:v>通过</x:v>
      </x:c>
      <x:c r="P61" s="56" t="str"/>
      <x:c r="Q61" s="59" t="str">
        <x:v>待确认</x:v>
      </x:c>
    </x:row>
    <x:row r="62">
      <x:c r="A62" s="56" t="str">
        <x:v>P002</x:v>
      </x:c>
      <x:c r="B62" s="56" t="str">
        <x:v>P002</x:v>
      </x:c>
      <x:c r="C62" s="56" t="str">
        <x:v>risk</x:v>
      </x:c>
      <x:c r="D62" s="56" t="n">
        <x:v>40</x:v>
      </x:c>
      <x:c r="E62" s="56" t="str">
        <x:v>risk.gynecologic_contamination</x:v>
      </x:c>
      <x:c r="F62" s="56" t="str">
        <x:v>gynecologic_contamination</x:v>
      </x:c>
      <x:c r="G62" s="56" t="n">
        <x:v>6</x:v>
      </x:c>
      <x:c r="H62" s="56" t="str">
        <x:v>普通得分项</x:v>
      </x:c>
      <x:c r="I62" s="56" t="str">
        <x:v>否</x:v>
      </x:c>
      <x:c r="J62" s="56" t="str">
        <x:v>否</x:v>
      </x:c>
      <x:c r="K62" s="56" t="str">
        <x:v>否</x:v>
      </x:c>
      <x:c r="L62" s="56" t="str">
        <x:v>按结构化事件证据给予0/部分/满分；不能由总结反推已完成</x:v>
      </x:c>
      <x:c r="M62" s="56" t="str"/>
      <x:c r="N62" s="56" t="n">
        <x:f>SUMIFS($G$4:$G$1673,$A$4:$A$1673,A62)</x:f>
        <x:v>360</x:v>
      </x:c>
      <x:c r="O62" s="56" t="str">
        <x:f>IF(N62=360,"通过","失败")</x:f>
        <x:v>通过</x:v>
      </x:c>
      <x:c r="P62" s="56" t="str"/>
      <x:c r="Q62" s="59" t="str">
        <x:v>待确认</x:v>
      </x:c>
    </x:row>
    <x:row r="63">
      <x:c r="A63" s="56" t="str">
        <x:v>P002</x:v>
      </x:c>
      <x:c r="B63" s="56" t="str">
        <x:v>P002</x:v>
      </x:c>
      <x:c r="C63" s="56" t="str">
        <x:v>exam</x:v>
      </x:c>
      <x:c r="D63" s="56" t="n">
        <x:v>35</x:v>
      </x:c>
      <x:c r="E63" s="56" t="str">
        <x:v>exam.temperature</x:v>
      </x:c>
      <x:c r="F63" s="56" t="str">
        <x:v>体温</x:v>
      </x:c>
      <x:c r="G63" s="56" t="n">
        <x:v>12</x:v>
      </x:c>
      <x:c r="H63" s="56" t="str">
        <x:v>普通得分项</x:v>
      </x:c>
      <x:c r="I63" s="56" t="str">
        <x:v>否</x:v>
      </x:c>
      <x:c r="J63" s="56" t="str">
        <x:v>否</x:v>
      </x:c>
      <x:c r="K63" s="56" t="str">
        <x:v>否</x:v>
      </x:c>
      <x:c r="L63" s="56" t="str">
        <x:v>按结构化事件证据给予0/部分/满分；不能由总结反推已完成</x:v>
      </x:c>
      <x:c r="M63" s="56" t="str"/>
      <x:c r="N63" s="56" t="n">
        <x:f>SUMIFS($G$4:$G$1673,$A$4:$A$1673,A63)</x:f>
        <x:v>360</x:v>
      </x:c>
      <x:c r="O63" s="56" t="str">
        <x:f>IF(N63=360,"通过","失败")</x:f>
        <x:v>通过</x:v>
      </x:c>
      <x:c r="P63" s="56" t="str"/>
      <x:c r="Q63" s="59" t="str">
        <x:v>待确认</x:v>
      </x:c>
    </x:row>
    <x:row r="64">
      <x:c r="A64" s="56" t="str">
        <x:v>P002</x:v>
      </x:c>
      <x:c r="B64" s="56" t="str">
        <x:v>P002</x:v>
      </x:c>
      <x:c r="C64" s="56" t="str">
        <x:v>exam</x:v>
      </x:c>
      <x:c r="D64" s="56" t="n">
        <x:v>35</x:v>
      </x:c>
      <x:c r="E64" s="56" t="str">
        <x:v>exam.blood_pressure</x:v>
      </x:c>
      <x:c r="F64" s="56" t="str">
        <x:v>血压</x:v>
      </x:c>
      <x:c r="G64" s="56" t="n">
        <x:v>12</x:v>
      </x:c>
      <x:c r="H64" s="56" t="str">
        <x:v>普通得分项</x:v>
      </x:c>
      <x:c r="I64" s="56" t="str">
        <x:v>否</x:v>
      </x:c>
      <x:c r="J64" s="56" t="str">
        <x:v>否</x:v>
      </x:c>
      <x:c r="K64" s="56" t="str">
        <x:v>否</x:v>
      </x:c>
      <x:c r="L64" s="56" t="str">
        <x:v>按结构化事件证据给予0/部分/满分；不能由总结反推已完成</x:v>
      </x:c>
      <x:c r="M64" s="56" t="str"/>
      <x:c r="N64" s="56" t="n">
        <x:f>SUMIFS($G$4:$G$1673,$A$4:$A$1673,A64)</x:f>
        <x:v>360</x:v>
      </x:c>
      <x:c r="O64" s="56" t="str">
        <x:f>IF(N64=360,"通过","失败")</x:f>
        <x:v>通过</x:v>
      </x:c>
      <x:c r="P64" s="56" t="str"/>
      <x:c r="Q64" s="59" t="str">
        <x:v>待确认</x:v>
      </x:c>
    </x:row>
    <x:row r="65">
      <x:c r="A65" s="56" t="str">
        <x:v>P002</x:v>
      </x:c>
      <x:c r="B65" s="56" t="str">
        <x:v>P002</x:v>
      </x:c>
      <x:c r="C65" s="56" t="str">
        <x:v>exam</x:v>
      </x:c>
      <x:c r="D65" s="56" t="n">
        <x:v>35</x:v>
      </x:c>
      <x:c r="E65" s="56" t="str">
        <x:v>exam.targeted</x:v>
      </x:c>
      <x:c r="F65" s="56" t="str">
        <x:v>病例针对性查体</x:v>
      </x:c>
      <x:c r="G65" s="56" t="n">
        <x:v>11</x:v>
      </x:c>
      <x:c r="H65" s="56" t="str">
        <x:v>普通得分项</x:v>
      </x:c>
      <x:c r="I65" s="56" t="str">
        <x:v>否</x:v>
      </x:c>
      <x:c r="J65" s="56" t="str">
        <x:v>否</x:v>
      </x:c>
      <x:c r="K65" s="56" t="str">
        <x:v>否</x:v>
      </x:c>
      <x:c r="L65" s="56" t="str">
        <x:v>按结构化事件证据给予0/部分/满分；不能由总结反推已完成</x:v>
      </x:c>
      <x:c r="M65" s="56" t="str"/>
      <x:c r="N65" s="56" t="n">
        <x:f>SUMIFS($G$4:$G$1673,$A$4:$A$1673,A65)</x:f>
        <x:v>360</x:v>
      </x:c>
      <x:c r="O65" s="56" t="str">
        <x:f>IF(N65=360,"通过","失败")</x:f>
        <x:v>通过</x:v>
      </x:c>
      <x:c r="P65" s="56" t="str"/>
      <x:c r="Q65" s="59" t="str">
        <x:v>待确认</x:v>
      </x:c>
    </x:row>
    <x:row r="66">
      <x:c r="A66" s="56" t="str">
        <x:v>P002</x:v>
      </x:c>
      <x:c r="B66" s="56" t="str">
        <x:v>P002</x:v>
      </x:c>
      <x:c r="C66" s="56" t="str">
        <x:v>diagnosis</x:v>
      </x:c>
      <x:c r="D66" s="56" t="n">
        <x:v>45</x:v>
      </x:c>
      <x:c r="E66" s="56" t="str">
        <x:v>diagnosis.primary</x:v>
      </x:c>
      <x:c r="F66" s="56" t="str">
        <x:v>最可能诊断及依据</x:v>
      </x:c>
      <x:c r="G66" s="56" t="n">
        <x:v>15</x:v>
      </x:c>
      <x:c r="H66" s="56" t="str">
        <x:v>普通得分项</x:v>
      </x:c>
      <x:c r="I66" s="56" t="str">
        <x:v>否</x:v>
      </x:c>
      <x:c r="J66" s="56" t="str">
        <x:v>否</x:v>
      </x:c>
      <x:c r="K66" s="56" t="str">
        <x:v>否</x:v>
      </x:c>
      <x:c r="L66" s="56" t="str">
        <x:v>按结构化事件证据给予0/部分/满分；不能由总结反推已完成</x:v>
      </x:c>
      <x:c r="M66" s="56" t="str"/>
      <x:c r="N66" s="56" t="n">
        <x:f>SUMIFS($G$4:$G$1673,$A$4:$A$1673,A66)</x:f>
        <x:v>360</x:v>
      </x:c>
      <x:c r="O66" s="56" t="str">
        <x:f>IF(N66=360,"通过","失败")</x:f>
        <x:v>通过</x:v>
      </x:c>
      <x:c r="P66" s="56" t="str"/>
      <x:c r="Q66" s="59" t="str">
        <x:v>待确认</x:v>
      </x:c>
    </x:row>
    <x:row r="67">
      <x:c r="A67" s="56" t="str">
        <x:v>P002</x:v>
      </x:c>
      <x:c r="B67" s="56" t="str">
        <x:v>P002</x:v>
      </x:c>
      <x:c r="C67" s="56" t="str">
        <x:v>diagnosis</x:v>
      </x:c>
      <x:c r="D67" s="56" t="n">
        <x:v>45</x:v>
      </x:c>
      <x:c r="E67" s="56" t="str">
        <x:v>diagnosis.differentials</x:v>
      </x:c>
      <x:c r="F67" s="56" t="str">
        <x:v>至少3项鉴别及支持/反对点</x:v>
      </x:c>
      <x:c r="G67" s="56" t="n">
        <x:v>15</x:v>
      </x:c>
      <x:c r="H67" s="56" t="str">
        <x:v>普通得分项</x:v>
      </x:c>
      <x:c r="I67" s="56" t="str">
        <x:v>否</x:v>
      </x:c>
      <x:c r="J67" s="56" t="str">
        <x:v>否</x:v>
      </x:c>
      <x:c r="K67" s="56" t="str">
        <x:v>否</x:v>
      </x:c>
      <x:c r="L67" s="56" t="str">
        <x:v>按结构化事件证据给予0/部分/满分；不能由总结反推已完成</x:v>
      </x:c>
      <x:c r="M67" s="56" t="str"/>
      <x:c r="N67" s="56" t="n">
        <x:f>SUMIFS($G$4:$G$1673,$A$4:$A$1673,A67)</x:f>
        <x:v>360</x:v>
      </x:c>
      <x:c r="O67" s="56" t="str">
        <x:f>IF(N67=360,"通过","失败")</x:f>
        <x:v>通过</x:v>
      </x:c>
      <x:c r="P67" s="56" t="str"/>
      <x:c r="Q67" s="59" t="str">
        <x:v>待确认</x:v>
      </x:c>
    </x:row>
    <x:row r="68">
      <x:c r="A68" s="56" t="str">
        <x:v>P002</x:v>
      </x:c>
      <x:c r="B68" s="56" t="str">
        <x:v>P002</x:v>
      </x:c>
      <x:c r="C68" s="56" t="str">
        <x:v>diagnosis</x:v>
      </x:c>
      <x:c r="D68" s="56" t="n">
        <x:v>45</x:v>
      </x:c>
      <x:c r="E68" s="56" t="str">
        <x:v>diagnosis.confirmation</x:v>
      </x:c>
      <x:c r="F68" s="56" t="str">
        <x:v>确认计划</x:v>
      </x:c>
      <x:c r="G68" s="56" t="n">
        <x:v>15</x:v>
      </x:c>
      <x:c r="H68" s="56" t="str">
        <x:v>普通得分项</x:v>
      </x:c>
      <x:c r="I68" s="56" t="str">
        <x:v>否</x:v>
      </x:c>
      <x:c r="J68" s="56" t="str">
        <x:v>否</x:v>
      </x:c>
      <x:c r="K68" s="56" t="str">
        <x:v>否</x:v>
      </x:c>
      <x:c r="L68" s="56" t="str">
        <x:v>按结构化事件证据给予0/部分/满分；不能由总结反推已完成</x:v>
      </x:c>
      <x:c r="M68" s="56" t="str"/>
      <x:c r="N68" s="56" t="n">
        <x:f>SUMIFS($G$4:$G$1673,$A$4:$A$1673,A68)</x:f>
        <x:v>360</x:v>
      </x:c>
      <x:c r="O68" s="56" t="str">
        <x:f>IF(N68=360,"通过","失败")</x:f>
        <x:v>通过</x:v>
      </x:c>
      <x:c r="P68" s="56" t="str"/>
      <x:c r="Q68" s="59" t="str">
        <x:v>待确认</x:v>
      </x:c>
    </x:row>
    <x:row r="69">
      <x:c r="A69" s="56" t="str">
        <x:v>P002</x:v>
      </x:c>
      <x:c r="B69" s="56" t="str">
        <x:v>P002</x:v>
      </x:c>
      <x:c r="C69" s="56" t="str">
        <x:v>orders</x:v>
      </x:c>
      <x:c r="D69" s="56" t="n">
        <x:v>55</x:v>
      </x:c>
      <x:c r="E69" s="56" t="str">
        <x:v>orders.LAB-UR-001</x:v>
      </x:c>
      <x:c r="F69" s="56" t="str">
        <x:v>LAB-UR-001</x:v>
      </x:c>
      <x:c r="G69" s="56" t="n">
        <x:v>10</x:v>
      </x:c>
      <x:c r="H69" s="56" t="str">
        <x:v>病例特异得分项</x:v>
      </x:c>
      <x:c r="I69" s="56" t="str">
        <x:v>否</x:v>
      </x:c>
      <x:c r="J69" s="56" t="str">
        <x:v>否</x:v>
      </x:c>
      <x:c r="K69" s="56" t="str">
        <x:v>否</x:v>
      </x:c>
      <x:c r="L69" s="56" t="str">
        <x:v>按结构化事件证据给予0/部分/满分；不能由总结反推已完成</x:v>
      </x:c>
      <x:c r="M69" s="56" t="str"/>
      <x:c r="N69" s="56" t="n">
        <x:f>SUMIFS($G$4:$G$1673,$A$4:$A$1673,A69)</x:f>
        <x:v>360</x:v>
      </x:c>
      <x:c r="O69" s="56" t="str">
        <x:f>IF(N69=360,"通过","失败")</x:f>
        <x:v>通过</x:v>
      </x:c>
      <x:c r="P69" s="56" t="str"/>
      <x:c r="Q69" s="59" t="str">
        <x:v>待确认</x:v>
      </x:c>
    </x:row>
    <x:row r="70">
      <x:c r="A70" s="56" t="str">
        <x:v>P002</x:v>
      </x:c>
      <x:c r="B70" s="56" t="str">
        <x:v>P002</x:v>
      </x:c>
      <x:c r="C70" s="56" t="str">
        <x:v>orders</x:v>
      </x:c>
      <x:c r="D70" s="56" t="n">
        <x:v>55</x:v>
      </x:c>
      <x:c r="E70" s="56" t="str">
        <x:v>orders.LAB-UR-002</x:v>
      </x:c>
      <x:c r="F70" s="56" t="str">
        <x:v>LAB-UR-002</x:v>
      </x:c>
      <x:c r="G70" s="56" t="n">
        <x:v>9</x:v>
      </x:c>
      <x:c r="H70" s="56" t="str">
        <x:v>病例特异得分项</x:v>
      </x:c>
      <x:c r="I70" s="56" t="str">
        <x:v>否</x:v>
      </x:c>
      <x:c r="J70" s="56" t="str">
        <x:v>否</x:v>
      </x:c>
      <x:c r="K70" s="56" t="str">
        <x:v>否</x:v>
      </x:c>
      <x:c r="L70" s="56" t="str">
        <x:v>按结构化事件证据给予0/部分/满分；不能由总结反推已完成</x:v>
      </x:c>
      <x:c r="M70" s="56" t="str"/>
      <x:c r="N70" s="56" t="n">
        <x:f>SUMIFS($G$4:$G$1673,$A$4:$A$1673,A70)</x:f>
        <x:v>360</x:v>
      </x:c>
      <x:c r="O70" s="56" t="str">
        <x:f>IF(N70=360,"通过","失败")</x:f>
        <x:v>通过</x:v>
      </x:c>
      <x:c r="P70" s="56" t="str"/>
      <x:c r="Q70" s="59" t="str">
        <x:v>待确认</x:v>
      </x:c>
    </x:row>
    <x:row r="71">
      <x:c r="A71" s="56" t="str">
        <x:v>P002</x:v>
      </x:c>
      <x:c r="B71" s="56" t="str">
        <x:v>P002</x:v>
      </x:c>
      <x:c r="C71" s="56" t="str">
        <x:v>orders</x:v>
      </x:c>
      <x:c r="D71" s="56" t="n">
        <x:v>55</x:v>
      </x:c>
      <x:c r="E71" s="56" t="str">
        <x:v>orders.LAB-UR-006</x:v>
      </x:c>
      <x:c r="F71" s="56" t="str">
        <x:v>LAB-UR-006</x:v>
      </x:c>
      <x:c r="G71" s="56" t="n">
        <x:v>9</x:v>
      </x:c>
      <x:c r="H71" s="56" t="str">
        <x:v>病例特异得分项</x:v>
      </x:c>
      <x:c r="I71" s="56" t="str">
        <x:v>否</x:v>
      </x:c>
      <x:c r="J71" s="56" t="str">
        <x:v>否</x:v>
      </x:c>
      <x:c r="K71" s="56" t="str">
        <x:v>否</x:v>
      </x:c>
      <x:c r="L71" s="56" t="str">
        <x:v>按结构化事件证据给予0/部分/满分；不能由总结反推已完成</x:v>
      </x:c>
      <x:c r="M71" s="56" t="str"/>
      <x:c r="N71" s="56" t="n">
        <x:f>SUMIFS($G$4:$G$1673,$A$4:$A$1673,A71)</x:f>
        <x:v>360</x:v>
      </x:c>
      <x:c r="O71" s="56" t="str">
        <x:f>IF(N71=360,"通过","失败")</x:f>
        <x:v>通过</x:v>
      </x:c>
      <x:c r="P71" s="56" t="str"/>
      <x:c r="Q71" s="59" t="str">
        <x:v>待确认</x:v>
      </x:c>
    </x:row>
    <x:row r="72">
      <x:c r="A72" s="56" t="str">
        <x:v>P002</x:v>
      </x:c>
      <x:c r="B72" s="56" t="str">
        <x:v>P002</x:v>
      </x:c>
      <x:c r="C72" s="56" t="str">
        <x:v>orders</x:v>
      </x:c>
      <x:c r="D72" s="56" t="n">
        <x:v>55</x:v>
      </x:c>
      <x:c r="E72" s="56" t="str">
        <x:v>orders.LAB-BL-003</x:v>
      </x:c>
      <x:c r="F72" s="56" t="str">
        <x:v>LAB-BL-003</x:v>
      </x:c>
      <x:c r="G72" s="56" t="n">
        <x:v>9</x:v>
      </x:c>
      <x:c r="H72" s="56" t="str">
        <x:v>病例特异得分项</x:v>
      </x:c>
      <x:c r="I72" s="56" t="str">
        <x:v>否</x:v>
      </x:c>
      <x:c r="J72" s="56" t="str">
        <x:v>否</x:v>
      </x:c>
      <x:c r="K72" s="56" t="str">
        <x:v>否</x:v>
      </x:c>
      <x:c r="L72" s="56" t="str">
        <x:v>按结构化事件证据给予0/部分/满分；不能由总结反推已完成</x:v>
      </x:c>
      <x:c r="M72" s="56" t="str"/>
      <x:c r="N72" s="56" t="n">
        <x:f>SUMIFS($G$4:$G$1673,$A$4:$A$1673,A72)</x:f>
        <x:v>360</x:v>
      </x:c>
      <x:c r="O72" s="56" t="str">
        <x:f>IF(N72=360,"通过","失败")</x:f>
        <x:v>通过</x:v>
      </x:c>
      <x:c r="P72" s="56" t="str"/>
      <x:c r="Q72" s="59" t="str">
        <x:v>待确认</x:v>
      </x:c>
    </x:row>
    <x:row r="73">
      <x:c r="A73" s="56" t="str">
        <x:v>P002</x:v>
      </x:c>
      <x:c r="B73" s="56" t="str">
        <x:v>P002</x:v>
      </x:c>
      <x:c r="C73" s="56" t="str">
        <x:v>orders</x:v>
      </x:c>
      <x:c r="D73" s="56" t="n">
        <x:v>55</x:v>
      </x:c>
      <x:c r="E73" s="56" t="str">
        <x:v>orders.IMG-CT-002</x:v>
      </x:c>
      <x:c r="F73" s="56" t="str">
        <x:v>IMG-CT-002</x:v>
      </x:c>
      <x:c r="G73" s="56" t="n">
        <x:v>9</x:v>
      </x:c>
      <x:c r="H73" s="56" t="str">
        <x:v>病例特异得分项</x:v>
      </x:c>
      <x:c r="I73" s="56" t="str">
        <x:v>否</x:v>
      </x:c>
      <x:c r="J73" s="56" t="str">
        <x:v>否</x:v>
      </x:c>
      <x:c r="K73" s="56" t="str">
        <x:v>否</x:v>
      </x:c>
      <x:c r="L73" s="56" t="str">
        <x:v>按结构化事件证据给予0/部分/满分；不能由总结反推已完成</x:v>
      </x:c>
      <x:c r="M73" s="56" t="str"/>
      <x:c r="N73" s="56" t="n">
        <x:f>SUMIFS($G$4:$G$1673,$A$4:$A$1673,A73)</x:f>
        <x:v>360</x:v>
      </x:c>
      <x:c r="O73" s="56" t="str">
        <x:f>IF(N73=360,"通过","失败")</x:f>
        <x:v>通过</x:v>
      </x:c>
      <x:c r="P73" s="56" t="str"/>
      <x:c r="Q73" s="59" t="str">
        <x:v>待确认</x:v>
      </x:c>
    </x:row>
    <x:row r="74">
      <x:c r="A74" s="56" t="str">
        <x:v>P002</x:v>
      </x:c>
      <x:c r="B74" s="56" t="str">
        <x:v>P002</x:v>
      </x:c>
      <x:c r="C74" s="56" t="str">
        <x:v>orders</x:v>
      </x:c>
      <x:c r="D74" s="56" t="n">
        <x:v>55</x:v>
      </x:c>
      <x:c r="E74" s="56" t="str">
        <x:v>orders.END-001</x:v>
      </x:c>
      <x:c r="F74" s="56" t="str">
        <x:v>END-001</x:v>
      </x:c>
      <x:c r="G74" s="56" t="n">
        <x:v>9</x:v>
      </x:c>
      <x:c r="H74" s="56" t="str">
        <x:v>病例特异得分项</x:v>
      </x:c>
      <x:c r="I74" s="56" t="str">
        <x:v>否</x:v>
      </x:c>
      <x:c r="J74" s="56" t="str">
        <x:v>否</x:v>
      </x:c>
      <x:c r="K74" s="56" t="str">
        <x:v>否</x:v>
      </x:c>
      <x:c r="L74" s="56" t="str">
        <x:v>按结构化事件证据给予0/部分/满分；不能由总结反推已完成</x:v>
      </x:c>
      <x:c r="M74" s="56" t="str"/>
      <x:c r="N74" s="56" t="n">
        <x:f>SUMIFS($G$4:$G$1673,$A$4:$A$1673,A74)</x:f>
        <x:v>360</x:v>
      </x:c>
      <x:c r="O74" s="56" t="str">
        <x:f>IF(N74=360,"通过","失败")</x:f>
        <x:v>通过</x:v>
      </x:c>
      <x:c r="P74" s="56" t="str"/>
      <x:c r="Q74" s="59" t="str">
        <x:v>待确认</x:v>
      </x:c>
    </x:row>
    <x:row r="75">
      <x:c r="A75" s="56" t="str">
        <x:v>P002</x:v>
      </x:c>
      <x:c r="B75" s="56" t="str">
        <x:v>P002</x:v>
      </x:c>
      <x:c r="C75" s="56" t="str">
        <x:v>mdt</x:v>
      </x:c>
      <x:c r="D75" s="56" t="n">
        <x:v>45</x:v>
      </x:c>
      <x:c r="E75" s="56" t="str">
        <x:v>mdt.department</x:v>
      </x:c>
      <x:c r="F75" s="56" t="str">
        <x:v>department</x:v>
      </x:c>
      <x:c r="G75" s="56" t="n">
        <x:v>12</x:v>
      </x:c>
      <x:c r="H75" s="56" t="str">
        <x:v>病例特异得分项</x:v>
      </x:c>
      <x:c r="I75" s="56" t="str">
        <x:v>否</x:v>
      </x:c>
      <x:c r="J75" s="56" t="str">
        <x:v>否</x:v>
      </x:c>
      <x:c r="K75" s="56" t="str">
        <x:v>否</x:v>
      </x:c>
      <x:c r="L75" s="56" t="str">
        <x:v>按结构化事件证据给予0/部分/满分；不能由总结反推已完成</x:v>
      </x:c>
      <x:c r="M75" s="56" t="str"/>
      <x:c r="N75" s="56" t="n">
        <x:f>SUMIFS($G$4:$G$1673,$A$4:$A$1673,A75)</x:f>
        <x:v>360</x:v>
      </x:c>
      <x:c r="O75" s="56" t="str">
        <x:f>IF(N75=360,"通过","失败")</x:f>
        <x:v>通过</x:v>
      </x:c>
      <x:c r="P75" s="56" t="str"/>
      <x:c r="Q75" s="59" t="str">
        <x:v>待确认</x:v>
      </x:c>
    </x:row>
    <x:row r="76">
      <x:c r="A76" s="56" t="str">
        <x:v>P002</x:v>
      </x:c>
      <x:c r="B76" s="56" t="str">
        <x:v>P002</x:v>
      </x:c>
      <x:c r="C76" s="56" t="str">
        <x:v>mdt</x:v>
      </x:c>
      <x:c r="D76" s="56" t="n">
        <x:v>45</x:v>
      </x:c>
      <x:c r="E76" s="56" t="str">
        <x:v>mdt.trigger</x:v>
      </x:c>
      <x:c r="F76" s="56" t="str">
        <x:v>trigger</x:v>
      </x:c>
      <x:c r="G76" s="56" t="n">
        <x:v>11</x:v>
      </x:c>
      <x:c r="H76" s="56" t="str">
        <x:v>病例特异得分项</x:v>
      </x:c>
      <x:c r="I76" s="56" t="str">
        <x:v>否</x:v>
      </x:c>
      <x:c r="J76" s="56" t="str">
        <x:v>否</x:v>
      </x:c>
      <x:c r="K76" s="56" t="str">
        <x:v>否</x:v>
      </x:c>
      <x:c r="L76" s="56" t="str">
        <x:v>按结构化事件证据给予0/部分/满分；不能由总结反推已完成</x:v>
      </x:c>
      <x:c r="M76" s="56" t="str"/>
      <x:c r="N76" s="56" t="n">
        <x:f>SUMIFS($G$4:$G$1673,$A$4:$A$1673,A76)</x:f>
        <x:v>360</x:v>
      </x:c>
      <x:c r="O76" s="56" t="str">
        <x:f>IF(N76=360,"通过","失败")</x:f>
        <x:v>通过</x:v>
      </x:c>
      <x:c r="P76" s="56" t="str"/>
      <x:c r="Q76" s="59" t="str">
        <x:v>待确认</x:v>
      </x:c>
    </x:row>
    <x:row r="77">
      <x:c r="A77" s="56" t="str">
        <x:v>P002</x:v>
      </x:c>
      <x:c r="B77" s="56" t="str">
        <x:v>P002</x:v>
      </x:c>
      <x:c r="C77" s="56" t="str">
        <x:v>mdt</x:v>
      </x:c>
      <x:c r="D77" s="56" t="n">
        <x:v>45</x:v>
      </x:c>
      <x:c r="E77" s="56" t="str">
        <x:v>mdt.question</x:v>
      </x:c>
      <x:c r="F77" s="56" t="str">
        <x:v>question</x:v>
      </x:c>
      <x:c r="G77" s="56" t="n">
        <x:v>11</x:v>
      </x:c>
      <x:c r="H77" s="56" t="str">
        <x:v>病例特异得分项</x:v>
      </x:c>
      <x:c r="I77" s="56" t="str">
        <x:v>否</x:v>
      </x:c>
      <x:c r="J77" s="56" t="str">
        <x:v>否</x:v>
      </x:c>
      <x:c r="K77" s="56" t="str">
        <x:v>否</x:v>
      </x:c>
      <x:c r="L77" s="56" t="str">
        <x:v>按结构化事件证据给予0/部分/满分；不能由总结反推已完成</x:v>
      </x:c>
      <x:c r="M77" s="56" t="str"/>
      <x:c r="N77" s="56" t="n">
        <x:f>SUMIFS($G$4:$G$1673,$A$4:$A$1673,A77)</x:f>
        <x:v>360</x:v>
      </x:c>
      <x:c r="O77" s="56" t="str">
        <x:f>IF(N77=360,"通过","失败")</x:f>
        <x:v>通过</x:v>
      </x:c>
      <x:c r="P77" s="56" t="str"/>
      <x:c r="Q77" s="59" t="str">
        <x:v>待确认</x:v>
      </x:c>
    </x:row>
    <x:row r="78">
      <x:c r="A78" s="56" t="str">
        <x:v>P002</x:v>
      </x:c>
      <x:c r="B78" s="56" t="str">
        <x:v>P002</x:v>
      </x:c>
      <x:c r="C78" s="56" t="str">
        <x:v>mdt</x:v>
      </x:c>
      <x:c r="D78" s="56" t="n">
        <x:v>45</x:v>
      </x:c>
      <x:c r="E78" s="56" t="str">
        <x:v>mdt.evidence</x:v>
      </x:c>
      <x:c r="F78" s="56" t="str">
        <x:v>evidence</x:v>
      </x:c>
      <x:c r="G78" s="56" t="n">
        <x:v>11</x:v>
      </x:c>
      <x:c r="H78" s="56" t="str">
        <x:v>病例特异得分项</x:v>
      </x:c>
      <x:c r="I78" s="56" t="str">
        <x:v>否</x:v>
      </x:c>
      <x:c r="J78" s="56" t="str">
        <x:v>否</x:v>
      </x:c>
      <x:c r="K78" s="56" t="str">
        <x:v>否</x:v>
      </x:c>
      <x:c r="L78" s="56" t="str">
        <x:v>按结构化事件证据给予0/部分/满分；不能由总结反推已完成</x:v>
      </x:c>
      <x:c r="M78" s="56" t="str"/>
      <x:c r="N78" s="56" t="n">
        <x:f>SUMIFS($G$4:$G$1673,$A$4:$A$1673,A78)</x:f>
        <x:v>360</x:v>
      </x:c>
      <x:c r="O78" s="56" t="str">
        <x:f>IF(N78=360,"通过","失败")</x:f>
        <x:v>通过</x:v>
      </x:c>
      <x:c r="P78" s="56" t="str"/>
      <x:c r="Q78" s="59" t="str">
        <x:v>待确认</x:v>
      </x:c>
    </x:row>
    <x:row r="79">
      <x:c r="A79" s="56" t="str">
        <x:v>P002</x:v>
      </x:c>
      <x:c r="B79" s="56" t="str">
        <x:v>P002</x:v>
      </x:c>
      <x:c r="C79" s="56" t="str">
        <x:v>treatment</x:v>
      </x:c>
      <x:c r="D79" s="56" t="n">
        <x:v>50</x:v>
      </x:c>
      <x:c r="E79" s="56" t="str">
        <x:v>treatment.immediate</x:v>
      </x:c>
      <x:c r="F79" s="56" t="str">
        <x:v>immediate</x:v>
      </x:c>
      <x:c r="G79" s="56" t="n">
        <x:v>13</x:v>
      </x:c>
      <x:c r="H79" s="56" t="str">
        <x:v>病例特异得分项</x:v>
      </x:c>
      <x:c r="I79" s="56" t="str">
        <x:v>否</x:v>
      </x:c>
      <x:c r="J79" s="56" t="str">
        <x:v>否</x:v>
      </x:c>
      <x:c r="K79" s="56" t="str">
        <x:v>否</x:v>
      </x:c>
      <x:c r="L79" s="56" t="str">
        <x:v>按结构化事件证据给予0/部分/满分；不能由总结反推已完成</x:v>
      </x:c>
      <x:c r="M79" s="56" t="str"/>
      <x:c r="N79" s="56" t="n">
        <x:f>SUMIFS($G$4:$G$1673,$A$4:$A$1673,A79)</x:f>
        <x:v>360</x:v>
      </x:c>
      <x:c r="O79" s="56" t="str">
        <x:f>IF(N79=360,"通过","失败")</x:f>
        <x:v>通过</x:v>
      </x:c>
      <x:c r="P79" s="56" t="str"/>
      <x:c r="Q79" s="59" t="str">
        <x:v>待确认</x:v>
      </x:c>
    </x:row>
    <x:row r="80">
      <x:c r="A80" s="56" t="str">
        <x:v>P002</x:v>
      </x:c>
      <x:c r="B80" s="56" t="str">
        <x:v>P002</x:v>
      </x:c>
      <x:c r="C80" s="56" t="str">
        <x:v>treatment</x:v>
      </x:c>
      <x:c r="D80" s="56" t="n">
        <x:v>50</x:v>
      </x:c>
      <x:c r="E80" s="56" t="str">
        <x:v>treatment.etiologic</x:v>
      </x:c>
      <x:c r="F80" s="56" t="str">
        <x:v>etiologic</x:v>
      </x:c>
      <x:c r="G80" s="56" t="n">
        <x:v>13</x:v>
      </x:c>
      <x:c r="H80" s="56" t="str">
        <x:v>病例特异得分项</x:v>
      </x:c>
      <x:c r="I80" s="56" t="str">
        <x:v>否</x:v>
      </x:c>
      <x:c r="J80" s="56" t="str">
        <x:v>否</x:v>
      </x:c>
      <x:c r="K80" s="56" t="str">
        <x:v>否</x:v>
      </x:c>
      <x:c r="L80" s="56" t="str">
        <x:v>按结构化事件证据给予0/部分/满分；不能由总结反推已完成</x:v>
      </x:c>
      <x:c r="M80" s="56" t="str"/>
      <x:c r="N80" s="56" t="n">
        <x:f>SUMIFS($G$4:$G$1673,$A$4:$A$1673,A80)</x:f>
        <x:v>360</x:v>
      </x:c>
      <x:c r="O80" s="56" t="str">
        <x:f>IF(N80=360,"通过","失败")</x:f>
        <x:v>通过</x:v>
      </x:c>
      <x:c r="P80" s="56" t="str"/>
      <x:c r="Q80" s="59" t="str">
        <x:v>待确认</x:v>
      </x:c>
    </x:row>
    <x:row r="81">
      <x:c r="A81" s="56" t="str">
        <x:v>P002</x:v>
      </x:c>
      <x:c r="B81" s="56" t="str">
        <x:v>P002</x:v>
      </x:c>
      <x:c r="C81" s="56" t="str">
        <x:v>treatment</x:v>
      </x:c>
      <x:c r="D81" s="56" t="n">
        <x:v>50</x:v>
      </x:c>
      <x:c r="E81" s="56" t="str">
        <x:v>treatment.definitive</x:v>
      </x:c>
      <x:c r="F81" s="56" t="str">
        <x:v>definitive</x:v>
      </x:c>
      <x:c r="G81" s="56" t="n">
        <x:v>12</x:v>
      </x:c>
      <x:c r="H81" s="56" t="str">
        <x:v>病例特异得分项</x:v>
      </x:c>
      <x:c r="I81" s="56" t="str">
        <x:v>否</x:v>
      </x:c>
      <x:c r="J81" s="56" t="str">
        <x:v>否</x:v>
      </x:c>
      <x:c r="K81" s="56" t="str">
        <x:v>否</x:v>
      </x:c>
      <x:c r="L81" s="56" t="str">
        <x:v>按结构化事件证据给予0/部分/满分；不能由总结反推已完成</x:v>
      </x:c>
      <x:c r="M81" s="56" t="str"/>
      <x:c r="N81" s="56" t="n">
        <x:f>SUMIFS($G$4:$G$1673,$A$4:$A$1673,A81)</x:f>
        <x:v>360</x:v>
      </x:c>
      <x:c r="O81" s="56" t="str">
        <x:f>IF(N81=360,"通过","失败")</x:f>
        <x:v>通过</x:v>
      </x:c>
      <x:c r="P81" s="56" t="str"/>
      <x:c r="Q81" s="59" t="str">
        <x:v>待确认</x:v>
      </x:c>
    </x:row>
    <x:row r="82">
      <x:c r="A82" s="56" t="str">
        <x:v>P002</x:v>
      </x:c>
      <x:c r="B82" s="56" t="str">
        <x:v>P002</x:v>
      </x:c>
      <x:c r="C82" s="56" t="str">
        <x:v>treatment</x:v>
      </x:c>
      <x:c r="D82" s="56" t="n">
        <x:v>50</x:v>
      </x:c>
      <x:c r="E82" s="56" t="str">
        <x:v>treatment.perioperative</x:v>
      </x:c>
      <x:c r="F82" s="56" t="str">
        <x:v>perioperative</x:v>
      </x:c>
      <x:c r="G82" s="56" t="n">
        <x:v>12</x:v>
      </x:c>
      <x:c r="H82" s="56" t="str">
        <x:v>病例特异得分项</x:v>
      </x:c>
      <x:c r="I82" s="56" t="str">
        <x:v>否</x:v>
      </x:c>
      <x:c r="J82" s="56" t="str">
        <x:v>否</x:v>
      </x:c>
      <x:c r="K82" s="56" t="str">
        <x:v>否</x:v>
      </x:c>
      <x:c r="L82" s="56" t="str">
        <x:v>按结构化事件证据给予0/部分/满分；不能由总结反推已完成</x:v>
      </x:c>
      <x:c r="M82" s="56" t="str"/>
      <x:c r="N82" s="56" t="n">
        <x:f>SUMIFS($G$4:$G$1673,$A$4:$A$1673,A82)</x:f>
        <x:v>360</x:v>
      </x:c>
      <x:c r="O82" s="56" t="str">
        <x:f>IF(N82=360,"通过","失败")</x:f>
        <x:v>通过</x:v>
      </x:c>
      <x:c r="P82" s="56" t="str"/>
      <x:c r="Q82" s="59" t="str">
        <x:v>待确认</x:v>
      </x:c>
    </x:row>
    <x:row r="83">
      <x:c r="A83" s="56" t="str">
        <x:v>P002</x:v>
      </x:c>
      <x:c r="B83" s="56" t="str">
        <x:v>P002</x:v>
      </x:c>
      <x:c r="C83" s="56" t="str">
        <x:v>followup</x:v>
      </x:c>
      <x:c r="D83" s="56" t="n">
        <x:v>40</x:v>
      </x:c>
      <x:c r="E83" s="56" t="str">
        <x:v>followup.plan</x:v>
      </x:c>
      <x:c r="F83" s="56" t="str">
        <x:v>随访复查</x:v>
      </x:c>
      <x:c r="G83" s="56" t="n">
        <x:v>10</x:v>
      </x:c>
      <x:c r="H83" s="56" t="str">
        <x:v>普通得分项</x:v>
      </x:c>
      <x:c r="I83" s="56" t="str">
        <x:v>否</x:v>
      </x:c>
      <x:c r="J83" s="56" t="str">
        <x:v>否</x:v>
      </x:c>
      <x:c r="K83" s="56" t="str">
        <x:v>否</x:v>
      </x:c>
      <x:c r="L83" s="56" t="str">
        <x:v>按结构化事件证据给予0/部分/满分；不能由总结反推已完成</x:v>
      </x:c>
      <x:c r="M83" s="56" t="str"/>
      <x:c r="N83" s="56" t="n">
        <x:f>SUMIFS($G$4:$G$1673,$A$4:$A$1673,A83)</x:f>
        <x:v>360</x:v>
      </x:c>
      <x:c r="O83" s="56" t="str">
        <x:f>IF(N83=360,"通过","失败")</x:f>
        <x:v>通过</x:v>
      </x:c>
      <x:c r="P83" s="56" t="str"/>
      <x:c r="Q83" s="59" t="str">
        <x:v>待确认</x:v>
      </x:c>
    </x:row>
    <x:row r="84">
      <x:c r="A84" s="56" t="str">
        <x:v>P002</x:v>
      </x:c>
      <x:c r="B84" s="56" t="str">
        <x:v>P002</x:v>
      </x:c>
      <x:c r="C84" s="56" t="str">
        <x:v>followup</x:v>
      </x:c>
      <x:c r="D84" s="56" t="n">
        <x:v>40</x:v>
      </x:c>
      <x:c r="E84" s="56" t="str">
        <x:v>followup.education</x:v>
      </x:c>
      <x:c r="F84" s="56" t="str">
        <x:v>患者教育</x:v>
      </x:c>
      <x:c r="G84" s="56" t="n">
        <x:v>10</x:v>
      </x:c>
      <x:c r="H84" s="56" t="str">
        <x:v>普通得分项</x:v>
      </x:c>
      <x:c r="I84" s="56" t="str">
        <x:v>否</x:v>
      </x:c>
      <x:c r="J84" s="56" t="str">
        <x:v>否</x:v>
      </x:c>
      <x:c r="K84" s="56" t="str">
        <x:v>否</x:v>
      </x:c>
      <x:c r="L84" s="56" t="str">
        <x:v>按结构化事件证据给予0/部分/满分；不能由总结反推已完成</x:v>
      </x:c>
      <x:c r="M84" s="56" t="str"/>
      <x:c r="N84" s="56" t="n">
        <x:f>SUMIFS($G$4:$G$1673,$A$4:$A$1673,A84)</x:f>
        <x:v>360</x:v>
      </x:c>
      <x:c r="O84" s="56" t="str">
        <x:f>IF(N84=360,"通过","失败")</x:f>
        <x:v>通过</x:v>
      </x:c>
      <x:c r="P84" s="56" t="str"/>
      <x:c r="Q84" s="59" t="str">
        <x:v>待确认</x:v>
      </x:c>
    </x:row>
    <x:row r="85">
      <x:c r="A85" s="56" t="str">
        <x:v>P002</x:v>
      </x:c>
      <x:c r="B85" s="56" t="str">
        <x:v>P002</x:v>
      </x:c>
      <x:c r="C85" s="56" t="str">
        <x:v>followup</x:v>
      </x:c>
      <x:c r="D85" s="56" t="n">
        <x:v>40</x:v>
      </x:c>
      <x:c r="E85" s="56" t="str">
        <x:v>followup.reflection</x:v>
      </x:c>
      <x:c r="F85" s="56" t="str">
        <x:v>学习反思质量</x:v>
      </x:c>
      <x:c r="G85" s="56" t="n">
        <x:v>10</x:v>
      </x:c>
      <x:c r="H85" s="56" t="str">
        <x:v>普通得分项</x:v>
      </x:c>
      <x:c r="I85" s="56" t="str">
        <x:v>否</x:v>
      </x:c>
      <x:c r="J85" s="56" t="str">
        <x:v>否</x:v>
      </x:c>
      <x:c r="K85" s="56" t="str">
        <x:v>否</x:v>
      </x:c>
      <x:c r="L85" s="56" t="str">
        <x:v>按结构化事件证据给予0/部分/满分；不能由总结反推已完成</x:v>
      </x:c>
      <x:c r="M85" s="56" t="str"/>
      <x:c r="N85" s="56" t="n">
        <x:f>SUMIFS($G$4:$G$1673,$A$4:$A$1673,A85)</x:f>
        <x:v>360</x:v>
      </x:c>
      <x:c r="O85" s="56" t="str">
        <x:f>IF(N85=360,"通过","失败")</x:f>
        <x:v>通过</x:v>
      </x:c>
      <x:c r="P85" s="56" t="str"/>
      <x:c r="Q85" s="59" t="str">
        <x:v>待确认</x:v>
      </x:c>
    </x:row>
    <x:row r="86">
      <x:c r="A86" s="56" t="str">
        <x:v>P002</x:v>
      </x:c>
      <x:c r="B86" s="56" t="str">
        <x:v>P002</x:v>
      </x:c>
      <x:c r="C86" s="56" t="str">
        <x:v>followup</x:v>
      </x:c>
      <x:c r="D86" s="56" t="n">
        <x:v>40</x:v>
      </x:c>
      <x:c r="E86" s="56" t="str">
        <x:v>followup.efficiency</x:v>
      </x:c>
      <x:c r="F86" s="56" t="str">
        <x:v>操作效率</x:v>
      </x:c>
      <x:c r="G86" s="56" t="n">
        <x:v>10</x:v>
      </x:c>
      <x:c r="H86" s="56" t="str">
        <x:v>普通得分项</x:v>
      </x:c>
      <x:c r="I86" s="56" t="str">
        <x:v>否</x:v>
      </x:c>
      <x:c r="J86" s="56" t="str">
        <x:v>否</x:v>
      </x:c>
      <x:c r="K86" s="56" t="str">
        <x:v>否</x:v>
      </x:c>
      <x:c r="L86" s="56" t="str">
        <x:v>按结构化事件证据给予0/部分/满分；不能由总结反推已完成</x:v>
      </x:c>
      <x:c r="M86" s="56" t="str"/>
      <x:c r="N86" s="56" t="n">
        <x:f>SUMIFS($G$4:$G$1673,$A$4:$A$1673,A86)</x:f>
        <x:v>360</x:v>
      </x:c>
      <x:c r="O86" s="56" t="str">
        <x:f>IF(N86=360,"通过","失败")</x:f>
        <x:v>通过</x:v>
      </x:c>
      <x:c r="P86" s="56" t="str"/>
      <x:c r="Q86" s="59" t="str">
        <x:v>待确认</x:v>
      </x:c>
    </x:row>
    <x:row r="87">
      <x:c r="A87" s="56" t="str">
        <x:v>P003</x:v>
      </x:c>
      <x:c r="B87" s="56" t="str">
        <x:v>P003</x:v>
      </x:c>
      <x:c r="C87" s="56" t="str">
        <x:v>history</x:v>
      </x:c>
      <x:c r="D87" s="56" t="n">
        <x:v>50</x:v>
      </x:c>
      <x:c r="E87" s="56" t="str">
        <x:v>history.hematuria_visibility</x:v>
      </x:c>
      <x:c r="F87" s="56" t="str">
        <x:v>hematuria_visibility</x:v>
      </x:c>
      <x:c r="G87" s="56" t="n">
        <x:v>5</x:v>
      </x:c>
      <x:c r="H87" s="56" t="str">
        <x:v>普通得分项</x:v>
      </x:c>
      <x:c r="I87" s="56" t="str">
        <x:v>否</x:v>
      </x:c>
      <x:c r="J87" s="56" t="str">
        <x:v>否</x:v>
      </x:c>
      <x:c r="K87" s="56" t="str">
        <x:v>否</x:v>
      </x:c>
      <x:c r="L87" s="56" t="str">
        <x:v>按结构化事件证据给予0/部分/满分；不能由总结反推已完成</x:v>
      </x:c>
      <x:c r="M87" s="56" t="str"/>
      <x:c r="N87" s="56" t="n">
        <x:f>SUMIFS($G$4:$G$1673,$A$4:$A$1673,A87)</x:f>
        <x:v>360</x:v>
      </x:c>
      <x:c r="O87" s="56" t="str">
        <x:f>IF(N87=360,"通过","失败")</x:f>
        <x:v>通过</x:v>
      </x:c>
      <x:c r="P87" s="56" t="str"/>
      <x:c r="Q87" s="59" t="str">
        <x:v>待确认</x:v>
      </x:c>
    </x:row>
    <x:row r="88">
      <x:c r="A88" s="56" t="str">
        <x:v>P003</x:v>
      </x:c>
      <x:c r="B88" s="56" t="str">
        <x:v>P003</x:v>
      </x:c>
      <x:c r="C88" s="56" t="str">
        <x:v>history</x:v>
      </x:c>
      <x:c r="D88" s="56" t="n">
        <x:v>50</x:v>
      </x:c>
      <x:c r="E88" s="56" t="str">
        <x:v>history.hematuria_onset</x:v>
      </x:c>
      <x:c r="F88" s="56" t="str">
        <x:v>hematuria_onset</x:v>
      </x:c>
      <x:c r="G88" s="56" t="n">
        <x:v>5</x:v>
      </x:c>
      <x:c r="H88" s="56" t="str">
        <x:v>普通得分项</x:v>
      </x:c>
      <x:c r="I88" s="56" t="str">
        <x:v>否</x:v>
      </x:c>
      <x:c r="J88" s="56" t="str">
        <x:v>否</x:v>
      </x:c>
      <x:c r="K88" s="56" t="str">
        <x:v>否</x:v>
      </x:c>
      <x:c r="L88" s="56" t="str">
        <x:v>按结构化事件证据给予0/部分/满分；不能由总结反推已完成</x:v>
      </x:c>
      <x:c r="M88" s="56" t="str"/>
      <x:c r="N88" s="56" t="n">
        <x:f>SUMIFS($G$4:$G$1673,$A$4:$A$1673,A88)</x:f>
        <x:v>360</x:v>
      </x:c>
      <x:c r="O88" s="56" t="str">
        <x:f>IF(N88=360,"通过","失败")</x:f>
        <x:v>通过</x:v>
      </x:c>
      <x:c r="P88" s="56" t="str"/>
      <x:c r="Q88" s="59" t="str">
        <x:v>待确认</x:v>
      </x:c>
    </x:row>
    <x:row r="89">
      <x:c r="A89" s="56" t="str">
        <x:v>P003</x:v>
      </x:c>
      <x:c r="B89" s="56" t="str">
        <x:v>P003</x:v>
      </x:c>
      <x:c r="C89" s="56" t="str">
        <x:v>history</x:v>
      </x:c>
      <x:c r="D89" s="56" t="n">
        <x:v>50</x:v>
      </x:c>
      <x:c r="E89" s="56" t="str">
        <x:v>history.hematuria_frequency</x:v>
      </x:c>
      <x:c r="F89" s="56" t="str">
        <x:v>hematuria_frequency</x:v>
      </x:c>
      <x:c r="G89" s="56" t="n">
        <x:v>4</x:v>
      </x:c>
      <x:c r="H89" s="56" t="str">
        <x:v>普通得分项</x:v>
      </x:c>
      <x:c r="I89" s="56" t="str">
        <x:v>否</x:v>
      </x:c>
      <x:c r="J89" s="56" t="str">
        <x:v>否</x:v>
      </x:c>
      <x:c r="K89" s="56" t="str">
        <x:v>否</x:v>
      </x:c>
      <x:c r="L89" s="56" t="str">
        <x:v>按结构化事件证据给予0/部分/满分；不能由总结反推已完成</x:v>
      </x:c>
      <x:c r="M89" s="56" t="str"/>
      <x:c r="N89" s="56" t="n">
        <x:f>SUMIFS($G$4:$G$1673,$A$4:$A$1673,A89)</x:f>
        <x:v>360</x:v>
      </x:c>
      <x:c r="O89" s="56" t="str">
        <x:f>IF(N89=360,"通过","失败")</x:f>
        <x:v>通过</x:v>
      </x:c>
      <x:c r="P89" s="56" t="str"/>
      <x:c r="Q89" s="59" t="str">
        <x:v>待确认</x:v>
      </x:c>
    </x:row>
    <x:row r="90">
      <x:c r="A90" s="56" t="str">
        <x:v>P003</x:v>
      </x:c>
      <x:c r="B90" s="56" t="str">
        <x:v>P003</x:v>
      </x:c>
      <x:c r="C90" s="56" t="str">
        <x:v>history</x:v>
      </x:c>
      <x:c r="D90" s="56" t="n">
        <x:v>50</x:v>
      </x:c>
      <x:c r="E90" s="56" t="str">
        <x:v>history.hematuria_phase</x:v>
      </x:c>
      <x:c r="F90" s="56" t="str">
        <x:v>hematuria_phase</x:v>
      </x:c>
      <x:c r="G90" s="56" t="n">
        <x:v>4</x:v>
      </x:c>
      <x:c r="H90" s="56" t="str">
        <x:v>普通得分项</x:v>
      </x:c>
      <x:c r="I90" s="56" t="str">
        <x:v>否</x:v>
      </x:c>
      <x:c r="J90" s="56" t="str">
        <x:v>否</x:v>
      </x:c>
      <x:c r="K90" s="56" t="str">
        <x:v>否</x:v>
      </x:c>
      <x:c r="L90" s="56" t="str">
        <x:v>按结构化事件证据给予0/部分/满分；不能由总结反推已完成</x:v>
      </x:c>
      <x:c r="M90" s="56" t="str"/>
      <x:c r="N90" s="56" t="n">
        <x:f>SUMIFS($G$4:$G$1673,$A$4:$A$1673,A90)</x:f>
        <x:v>360</x:v>
      </x:c>
      <x:c r="O90" s="56" t="str">
        <x:f>IF(N90=360,"通过","失败")</x:f>
        <x:v>通过</x:v>
      </x:c>
      <x:c r="P90" s="56" t="str"/>
      <x:c r="Q90" s="59" t="str">
        <x:v>待确认</x:v>
      </x:c>
    </x:row>
    <x:row r="91">
      <x:c r="A91" s="56" t="str">
        <x:v>P003</x:v>
      </x:c>
      <x:c r="B91" s="56" t="str">
        <x:v>P003</x:v>
      </x:c>
      <x:c r="C91" s="56" t="str">
        <x:v>history</x:v>
      </x:c>
      <x:c r="D91" s="56" t="n">
        <x:v>50</x:v>
      </x:c>
      <x:c r="E91" s="56" t="str">
        <x:v>history.urine_color</x:v>
      </x:c>
      <x:c r="F91" s="56" t="str">
        <x:v>urine_color</x:v>
      </x:c>
      <x:c r="G91" s="56" t="n">
        <x:v>4</x:v>
      </x:c>
      <x:c r="H91" s="56" t="str">
        <x:v>普通得分项</x:v>
      </x:c>
      <x:c r="I91" s="56" t="str">
        <x:v>否</x:v>
      </x:c>
      <x:c r="J91" s="56" t="str">
        <x:v>否</x:v>
      </x:c>
      <x:c r="K91" s="56" t="str">
        <x:v>否</x:v>
      </x:c>
      <x:c r="L91" s="56" t="str">
        <x:v>按结构化事件证据给予0/部分/满分；不能由总结反推已完成</x:v>
      </x:c>
      <x:c r="M91" s="56" t="str"/>
      <x:c r="N91" s="56" t="n">
        <x:f>SUMIFS($G$4:$G$1673,$A$4:$A$1673,A91)</x:f>
        <x:v>360</x:v>
      </x:c>
      <x:c r="O91" s="56" t="str">
        <x:f>IF(N91=360,"通过","失败")</x:f>
        <x:v>通过</x:v>
      </x:c>
      <x:c r="P91" s="56" t="str"/>
      <x:c r="Q91" s="59" t="str">
        <x:v>待确认</x:v>
      </x:c>
    </x:row>
    <x:row r="92">
      <x:c r="A92" s="56" t="str">
        <x:v>P003</x:v>
      </x:c>
      <x:c r="B92" s="56" t="str">
        <x:v>P003</x:v>
      </x:c>
      <x:c r="C92" s="56" t="str">
        <x:v>history</x:v>
      </x:c>
      <x:c r="D92" s="56" t="n">
        <x:v>50</x:v>
      </x:c>
      <x:c r="E92" s="56" t="str">
        <x:v>history.clots</x:v>
      </x:c>
      <x:c r="F92" s="56" t="str">
        <x:v>clots</x:v>
      </x:c>
      <x:c r="G92" s="56" t="n">
        <x:v>4</x:v>
      </x:c>
      <x:c r="H92" s="56" t="str">
        <x:v>普通得分项</x:v>
      </x:c>
      <x:c r="I92" s="56" t="str">
        <x:v>否</x:v>
      </x:c>
      <x:c r="J92" s="56" t="str">
        <x:v>否</x:v>
      </x:c>
      <x:c r="K92" s="56" t="str">
        <x:v>否</x:v>
      </x:c>
      <x:c r="L92" s="56" t="str">
        <x:v>按结构化事件证据给予0/部分/满分；不能由总结反推已完成</x:v>
      </x:c>
      <x:c r="M92" s="56" t="str"/>
      <x:c r="N92" s="56" t="n">
        <x:f>SUMIFS($G$4:$G$1673,$A$4:$A$1673,A92)</x:f>
        <x:v>360</x:v>
      </x:c>
      <x:c r="O92" s="56" t="str">
        <x:f>IF(N92=360,"通过","失败")</x:f>
        <x:v>通过</x:v>
      </x:c>
      <x:c r="P92" s="56" t="str"/>
      <x:c r="Q92" s="59" t="str">
        <x:v>待确认</x:v>
      </x:c>
    </x:row>
    <x:row r="93">
      <x:c r="A93" s="56" t="str">
        <x:v>P003</x:v>
      </x:c>
      <x:c r="B93" s="56" t="str">
        <x:v>P003</x:v>
      </x:c>
      <x:c r="C93" s="56" t="str">
        <x:v>history</x:v>
      </x:c>
      <x:c r="D93" s="56" t="n">
        <x:v>50</x:v>
      </x:c>
      <x:c r="E93" s="56" t="str">
        <x:v>history.pain</x:v>
      </x:c>
      <x:c r="F93" s="56" t="str">
        <x:v>pain</x:v>
      </x:c>
      <x:c r="G93" s="56" t="n">
        <x:v>4</x:v>
      </x:c>
      <x:c r="H93" s="56" t="str">
        <x:v>普通得分项</x:v>
      </x:c>
      <x:c r="I93" s="56" t="str">
        <x:v>否</x:v>
      </x:c>
      <x:c r="J93" s="56" t="str">
        <x:v>否</x:v>
      </x:c>
      <x:c r="K93" s="56" t="str">
        <x:v>否</x:v>
      </x:c>
      <x:c r="L93" s="56" t="str">
        <x:v>按结构化事件证据给予0/部分/满分；不能由总结反推已完成</x:v>
      </x:c>
      <x:c r="M93" s="56" t="str"/>
      <x:c r="N93" s="56" t="n">
        <x:f>SUMIFS($G$4:$G$1673,$A$4:$A$1673,A93)</x:f>
        <x:v>360</x:v>
      </x:c>
      <x:c r="O93" s="56" t="str">
        <x:f>IF(N93=360,"通过","失败")</x:f>
        <x:v>通过</x:v>
      </x:c>
      <x:c r="P93" s="56" t="str"/>
      <x:c r="Q93" s="59" t="str">
        <x:v>待确认</x:v>
      </x:c>
    </x:row>
    <x:row r="94">
      <x:c r="A94" s="56" t="str">
        <x:v>P003</x:v>
      </x:c>
      <x:c r="B94" s="56" t="str">
        <x:v>P003</x:v>
      </x:c>
      <x:c r="C94" s="56" t="str">
        <x:v>history</x:v>
      </x:c>
      <x:c r="D94" s="56" t="n">
        <x:v>50</x:v>
      </x:c>
      <x:c r="E94" s="56" t="str">
        <x:v>history.dysuria</x:v>
      </x:c>
      <x:c r="F94" s="56" t="str">
        <x:v>dysuria</x:v>
      </x:c>
      <x:c r="G94" s="56" t="n">
        <x:v>4</x:v>
      </x:c>
      <x:c r="H94" s="56" t="str">
        <x:v>普通得分项</x:v>
      </x:c>
      <x:c r="I94" s="56" t="str">
        <x:v>否</x:v>
      </x:c>
      <x:c r="J94" s="56" t="str">
        <x:v>否</x:v>
      </x:c>
      <x:c r="K94" s="56" t="str">
        <x:v>否</x:v>
      </x:c>
      <x:c r="L94" s="56" t="str">
        <x:v>按结构化事件证据给予0/部分/满分；不能由总结反推已完成</x:v>
      </x:c>
      <x:c r="M94" s="56" t="str"/>
      <x:c r="N94" s="56" t="n">
        <x:f>SUMIFS($G$4:$G$1673,$A$4:$A$1673,A94)</x:f>
        <x:v>360</x:v>
      </x:c>
      <x:c r="O94" s="56" t="str">
        <x:f>IF(N94=360,"通过","失败")</x:f>
        <x:v>通过</x:v>
      </x:c>
      <x:c r="P94" s="56" t="str"/>
      <x:c r="Q94" s="59" t="str">
        <x:v>待确认</x:v>
      </x:c>
    </x:row>
    <x:row r="95">
      <x:c r="A95" s="56" t="str">
        <x:v>P003</x:v>
      </x:c>
      <x:c r="B95" s="56" t="str">
        <x:v>P003</x:v>
      </x:c>
      <x:c r="C95" s="56" t="str">
        <x:v>history</x:v>
      </x:c>
      <x:c r="D95" s="56" t="n">
        <x:v>50</x:v>
      </x:c>
      <x:c r="E95" s="56" t="str">
        <x:v>history.urinary_frequency</x:v>
      </x:c>
      <x:c r="F95" s="56" t="str">
        <x:v>urinary_frequency</x:v>
      </x:c>
      <x:c r="G95" s="56" t="n">
        <x:v>4</x:v>
      </x:c>
      <x:c r="H95" s="56" t="str">
        <x:v>普通得分项</x:v>
      </x:c>
      <x:c r="I95" s="56" t="str">
        <x:v>否</x:v>
      </x:c>
      <x:c r="J95" s="56" t="str">
        <x:v>否</x:v>
      </x:c>
      <x:c r="K95" s="56" t="str">
        <x:v>否</x:v>
      </x:c>
      <x:c r="L95" s="56" t="str">
        <x:v>按结构化事件证据给予0/部分/满分；不能由总结反推已完成</x:v>
      </x:c>
      <x:c r="M95" s="56" t="str"/>
      <x:c r="N95" s="56" t="n">
        <x:f>SUMIFS($G$4:$G$1673,$A$4:$A$1673,A95)</x:f>
        <x:v>360</x:v>
      </x:c>
      <x:c r="O95" s="56" t="str">
        <x:f>IF(N95=360,"通过","失败")</x:f>
        <x:v>通过</x:v>
      </x:c>
      <x:c r="P95" s="56" t="str"/>
      <x:c r="Q95" s="59" t="str">
        <x:v>待确认</x:v>
      </x:c>
    </x:row>
    <x:row r="96">
      <x:c r="A96" s="56" t="str">
        <x:v>P003</x:v>
      </x:c>
      <x:c r="B96" s="56" t="str">
        <x:v>P003</x:v>
      </x:c>
      <x:c r="C96" s="56" t="str">
        <x:v>history</x:v>
      </x:c>
      <x:c r="D96" s="56" t="n">
        <x:v>50</x:v>
      </x:c>
      <x:c r="E96" s="56" t="str">
        <x:v>history.urinary_urgency</x:v>
      </x:c>
      <x:c r="F96" s="56" t="str">
        <x:v>urinary_urgency</x:v>
      </x:c>
      <x:c r="G96" s="56" t="n">
        <x:v>4</x:v>
      </x:c>
      <x:c r="H96" s="56" t="str">
        <x:v>普通得分项</x:v>
      </x:c>
      <x:c r="I96" s="56" t="str">
        <x:v>否</x:v>
      </x:c>
      <x:c r="J96" s="56" t="str">
        <x:v>否</x:v>
      </x:c>
      <x:c r="K96" s="56" t="str">
        <x:v>否</x:v>
      </x:c>
      <x:c r="L96" s="56" t="str">
        <x:v>按结构化事件证据给予0/部分/满分；不能由总结反推已完成</x:v>
      </x:c>
      <x:c r="M96" s="56" t="str"/>
      <x:c r="N96" s="56" t="n">
        <x:f>SUMIFS($G$4:$G$1673,$A$4:$A$1673,A96)</x:f>
        <x:v>360</x:v>
      </x:c>
      <x:c r="O96" s="56" t="str">
        <x:f>IF(N96=360,"通过","失败")</x:f>
        <x:v>通过</x:v>
      </x:c>
      <x:c r="P96" s="56" t="str"/>
      <x:c r="Q96" s="59" t="str">
        <x:v>待确认</x:v>
      </x:c>
    </x:row>
    <x:row r="97">
      <x:c r="A97" s="56" t="str">
        <x:v>P003</x:v>
      </x:c>
      <x:c r="B97" s="56" t="str">
        <x:v>P003</x:v>
      </x:c>
      <x:c r="C97" s="56" t="str">
        <x:v>history</x:v>
      </x:c>
      <x:c r="D97" s="56" t="n">
        <x:v>50</x:v>
      </x:c>
      <x:c r="E97" s="56" t="str">
        <x:v>history.flank_pain</x:v>
      </x:c>
      <x:c r="F97" s="56" t="str">
        <x:v>flank_pain</x:v>
      </x:c>
      <x:c r="G97" s="56" t="n">
        <x:v>4</x:v>
      </x:c>
      <x:c r="H97" s="56" t="str">
        <x:v>普通得分项</x:v>
      </x:c>
      <x:c r="I97" s="56" t="str">
        <x:v>否</x:v>
      </x:c>
      <x:c r="J97" s="56" t="str">
        <x:v>否</x:v>
      </x:c>
      <x:c r="K97" s="56" t="str">
        <x:v>否</x:v>
      </x:c>
      <x:c r="L97" s="56" t="str">
        <x:v>按结构化事件证据给予0/部分/满分；不能由总结反推已完成</x:v>
      </x:c>
      <x:c r="M97" s="56" t="str"/>
      <x:c r="N97" s="56" t="n">
        <x:f>SUMIFS($G$4:$G$1673,$A$4:$A$1673,A97)</x:f>
        <x:v>360</x:v>
      </x:c>
      <x:c r="O97" s="56" t="str">
        <x:f>IF(N97=360,"通过","失败")</x:f>
        <x:v>通过</x:v>
      </x:c>
      <x:c r="P97" s="56" t="str"/>
      <x:c r="Q97" s="59" t="str">
        <x:v>待确认</x:v>
      </x:c>
    </x:row>
    <x:row r="98">
      <x:c r="A98" s="56" t="str">
        <x:v>P003</x:v>
      </x:c>
      <x:c r="B98" s="56" t="str">
        <x:v>P003</x:v>
      </x:c>
      <x:c r="C98" s="56" t="str">
        <x:v>history</x:v>
      </x:c>
      <x:c r="D98" s="56" t="n">
        <x:v>50</x:v>
      </x:c>
      <x:c r="E98" s="56" t="str">
        <x:v>history.fever_chills</x:v>
      </x:c>
      <x:c r="F98" s="56" t="str">
        <x:v>fever_chills</x:v>
      </x:c>
      <x:c r="G98" s="56" t="n">
        <x:v>4</x:v>
      </x:c>
      <x:c r="H98" s="56" t="str">
        <x:v>普通得分项</x:v>
      </x:c>
      <x:c r="I98" s="56" t="str">
        <x:v>否</x:v>
      </x:c>
      <x:c r="J98" s="56" t="str">
        <x:v>否</x:v>
      </x:c>
      <x:c r="K98" s="56" t="str">
        <x:v>否</x:v>
      </x:c>
      <x:c r="L98" s="56" t="str">
        <x:v>按结构化事件证据给予0/部分/满分；不能由总结反推已完成</x:v>
      </x:c>
      <x:c r="M98" s="56" t="str"/>
      <x:c r="N98" s="56" t="n">
        <x:f>SUMIFS($G$4:$G$1673,$A$4:$A$1673,A98)</x:f>
        <x:v>360</x:v>
      </x:c>
      <x:c r="O98" s="56" t="str">
        <x:f>IF(N98=360,"通过","失败")</x:f>
        <x:v>通过</x:v>
      </x:c>
      <x:c r="P98" s="56" t="str"/>
      <x:c r="Q98" s="59" t="str">
        <x:v>待确认</x:v>
      </x:c>
    </x:row>
    <x:row r="99">
      <x:c r="A99" s="56" t="str">
        <x:v>P003</x:v>
      </x:c>
      <x:c r="B99" s="56" t="str">
        <x:v>P003</x:v>
      </x:c>
      <x:c r="C99" s="56" t="str">
        <x:v>risk</x:v>
      </x:c>
      <x:c r="D99" s="56" t="n">
        <x:v>40</x:v>
      </x:c>
      <x:c r="E99" s="56" t="str">
        <x:v>risk.smoking</x:v>
      </x:c>
      <x:c r="F99" s="56" t="str">
        <x:v>smoking</x:v>
      </x:c>
      <x:c r="G99" s="56" t="n">
        <x:v>8</x:v>
      </x:c>
      <x:c r="H99" s="56" t="str">
        <x:v>普通得分项</x:v>
      </x:c>
      <x:c r="I99" s="56" t="str">
        <x:v>否</x:v>
      </x:c>
      <x:c r="J99" s="56" t="str">
        <x:v>否</x:v>
      </x:c>
      <x:c r="K99" s="56" t="str">
        <x:v>否</x:v>
      </x:c>
      <x:c r="L99" s="56" t="str">
        <x:v>按结构化事件证据给予0/部分/满分；不能由总结反推已完成</x:v>
      </x:c>
      <x:c r="M99" s="56" t="str"/>
      <x:c r="N99" s="56" t="n">
        <x:f>SUMIFS($G$4:$G$1673,$A$4:$A$1673,A99)</x:f>
        <x:v>360</x:v>
      </x:c>
      <x:c r="O99" s="56" t="str">
        <x:f>IF(N99=360,"通过","失败")</x:f>
        <x:v>通过</x:v>
      </x:c>
      <x:c r="P99" s="56" t="str"/>
      <x:c r="Q99" s="59" t="str">
        <x:v>待确认</x:v>
      </x:c>
    </x:row>
    <x:row r="100">
      <x:c r="A100" s="56" t="str">
        <x:v>P003</x:v>
      </x:c>
      <x:c r="B100" s="56" t="str">
        <x:v>P003</x:v>
      </x:c>
      <x:c r="C100" s="56" t="str">
        <x:v>risk</x:v>
      </x:c>
      <x:c r="D100" s="56" t="n">
        <x:v>40</x:v>
      </x:c>
      <x:c r="E100" s="56" t="str">
        <x:v>risk.occupation_exposure</x:v>
      </x:c>
      <x:c r="F100" s="56" t="str">
        <x:v>occupation_exposure</x:v>
      </x:c>
      <x:c r="G100" s="56" t="n">
        <x:v>8</x:v>
      </x:c>
      <x:c r="H100" s="56" t="str">
        <x:v>普通得分项</x:v>
      </x:c>
      <x:c r="I100" s="56" t="str">
        <x:v>否</x:v>
      </x:c>
      <x:c r="J100" s="56" t="str">
        <x:v>否</x:v>
      </x:c>
      <x:c r="K100" s="56" t="str">
        <x:v>否</x:v>
      </x:c>
      <x:c r="L100" s="56" t="str">
        <x:v>按结构化事件证据给予0/部分/满分；不能由总结反推已完成</x:v>
      </x:c>
      <x:c r="M100" s="56" t="str"/>
      <x:c r="N100" s="56" t="n">
        <x:f>SUMIFS($G$4:$G$1673,$A$4:$A$1673,A100)</x:f>
        <x:v>360</x:v>
      </x:c>
      <x:c r="O100" s="56" t="str">
        <x:f>IF(N100=360,"通过","失败")</x:f>
        <x:v>通过</x:v>
      </x:c>
      <x:c r="P100" s="56" t="str"/>
      <x:c r="Q100" s="59" t="str">
        <x:v>待确认</x:v>
      </x:c>
    </x:row>
    <x:row r="101">
      <x:c r="A101" s="56" t="str">
        <x:v>P003</x:v>
      </x:c>
      <x:c r="B101" s="56" t="str">
        <x:v>P003</x:v>
      </x:c>
      <x:c r="C101" s="56" t="str">
        <x:v>risk</x:v>
      </x:c>
      <x:c r="D101" s="56" t="n">
        <x:v>40</x:v>
      </x:c>
      <x:c r="E101" s="56" t="str">
        <x:v>risk.tumor_history</x:v>
      </x:c>
      <x:c r="F101" s="56" t="str">
        <x:v>tumor_history</x:v>
      </x:c>
      <x:c r="G101" s="56" t="n">
        <x:v>8</x:v>
      </x:c>
      <x:c r="H101" s="56" t="str">
        <x:v>普通得分项</x:v>
      </x:c>
      <x:c r="I101" s="56" t="str">
        <x:v>否</x:v>
      </x:c>
      <x:c r="J101" s="56" t="str">
        <x:v>否</x:v>
      </x:c>
      <x:c r="K101" s="56" t="str">
        <x:v>否</x:v>
      </x:c>
      <x:c r="L101" s="56" t="str">
        <x:v>按结构化事件证据给予0/部分/满分；不能由总结反推已完成</x:v>
      </x:c>
      <x:c r="M101" s="56" t="str"/>
      <x:c r="N101" s="56" t="n">
        <x:f>SUMIFS($G$4:$G$1673,$A$4:$A$1673,A101)</x:f>
        <x:v>360</x:v>
      </x:c>
      <x:c r="O101" s="56" t="str">
        <x:f>IF(N101=360,"通过","失败")</x:f>
        <x:v>通过</x:v>
      </x:c>
      <x:c r="P101" s="56" t="str"/>
      <x:c r="Q101" s="59" t="str">
        <x:v>待确认</x:v>
      </x:c>
    </x:row>
    <x:row r="102">
      <x:c r="A102" s="56" t="str">
        <x:v>P003</x:v>
      </x:c>
      <x:c r="B102" s="56" t="str">
        <x:v>P003</x:v>
      </x:c>
      <x:c r="C102" s="56" t="str">
        <x:v>risk</x:v>
      </x:c>
      <x:c r="D102" s="56" t="n">
        <x:v>40</x:v>
      </x:c>
      <x:c r="E102" s="56" t="str">
        <x:v>risk.anticoagulant</x:v>
      </x:c>
      <x:c r="F102" s="56" t="str">
        <x:v>anticoagulant</x:v>
      </x:c>
      <x:c r="G102" s="56" t="n">
        <x:v>8</x:v>
      </x:c>
      <x:c r="H102" s="56" t="str">
        <x:v>普通得分项</x:v>
      </x:c>
      <x:c r="I102" s="56" t="str">
        <x:v>否</x:v>
      </x:c>
      <x:c r="J102" s="56" t="str">
        <x:v>否</x:v>
      </x:c>
      <x:c r="K102" s="56" t="str">
        <x:v>否</x:v>
      </x:c>
      <x:c r="L102" s="56" t="str">
        <x:v>按结构化事件证据给予0/部分/满分；不能由总结反推已完成</x:v>
      </x:c>
      <x:c r="M102" s="56" t="str"/>
      <x:c r="N102" s="56" t="n">
        <x:f>SUMIFS($G$4:$G$1673,$A$4:$A$1673,A102)</x:f>
        <x:v>360</x:v>
      </x:c>
      <x:c r="O102" s="56" t="str">
        <x:f>IF(N102=360,"通过","失败")</x:f>
        <x:v>通过</x:v>
      </x:c>
      <x:c r="P102" s="56" t="str"/>
      <x:c r="Q102" s="59" t="str">
        <x:v>待确认</x:v>
      </x:c>
    </x:row>
    <x:row r="103">
      <x:c r="A103" s="56" t="str">
        <x:v>P003</x:v>
      </x:c>
      <x:c r="B103" s="56" t="str">
        <x:v>P003</x:v>
      </x:c>
      <x:c r="C103" s="56" t="str">
        <x:v>risk</x:v>
      </x:c>
      <x:c r="D103" s="56" t="n">
        <x:v>40</x:v>
      </x:c>
      <x:c r="E103" s="56" t="str">
        <x:v>risk.antiplatelet</x:v>
      </x:c>
      <x:c r="F103" s="56" t="str">
        <x:v>antiplatelet</x:v>
      </x:c>
      <x:c r="G103" s="56" t="n">
        <x:v>8</x:v>
      </x:c>
      <x:c r="H103" s="56" t="str">
        <x:v>普通得分项</x:v>
      </x:c>
      <x:c r="I103" s="56" t="str">
        <x:v>否</x:v>
      </x:c>
      <x:c r="J103" s="56" t="str">
        <x:v>否</x:v>
      </x:c>
      <x:c r="K103" s="56" t="str">
        <x:v>否</x:v>
      </x:c>
      <x:c r="L103" s="56" t="str">
        <x:v>按结构化事件证据给予0/部分/满分；不能由总结反推已完成</x:v>
      </x:c>
      <x:c r="M103" s="56" t="str"/>
      <x:c r="N103" s="56" t="n">
        <x:f>SUMIFS($G$4:$G$1673,$A$4:$A$1673,A103)</x:f>
        <x:v>360</x:v>
      </x:c>
      <x:c r="O103" s="56" t="str">
        <x:f>IF(N103=360,"通过","失败")</x:f>
        <x:v>通过</x:v>
      </x:c>
      <x:c r="P103" s="56" t="str"/>
      <x:c r="Q103" s="59" t="str">
        <x:v>待确认</x:v>
      </x:c>
    </x:row>
    <x:row r="104">
      <x:c r="A104" s="56" t="str">
        <x:v>P003</x:v>
      </x:c>
      <x:c r="B104" s="56" t="str">
        <x:v>P003</x:v>
      </x:c>
      <x:c r="C104" s="56" t="str">
        <x:v>exam</x:v>
      </x:c>
      <x:c r="D104" s="56" t="n">
        <x:v>35</x:v>
      </x:c>
      <x:c r="E104" s="56" t="str">
        <x:v>exam.temperature</x:v>
      </x:c>
      <x:c r="F104" s="56" t="str">
        <x:v>体温</x:v>
      </x:c>
      <x:c r="G104" s="56" t="n">
        <x:v>12</x:v>
      </x:c>
      <x:c r="H104" s="56" t="str">
        <x:v>普通得分项</x:v>
      </x:c>
      <x:c r="I104" s="56" t="str">
        <x:v>否</x:v>
      </x:c>
      <x:c r="J104" s="56" t="str">
        <x:v>否</x:v>
      </x:c>
      <x:c r="K104" s="56" t="str">
        <x:v>否</x:v>
      </x:c>
      <x:c r="L104" s="56" t="str">
        <x:v>按结构化事件证据给予0/部分/满分；不能由总结反推已完成</x:v>
      </x:c>
      <x:c r="M104" s="56" t="str"/>
      <x:c r="N104" s="56" t="n">
        <x:f>SUMIFS($G$4:$G$1673,$A$4:$A$1673,A104)</x:f>
        <x:v>360</x:v>
      </x:c>
      <x:c r="O104" s="56" t="str">
        <x:f>IF(N104=360,"通过","失败")</x:f>
        <x:v>通过</x:v>
      </x:c>
      <x:c r="P104" s="56" t="str"/>
      <x:c r="Q104" s="59" t="str">
        <x:v>待确认</x:v>
      </x:c>
    </x:row>
    <x:row r="105">
      <x:c r="A105" s="56" t="str">
        <x:v>P003</x:v>
      </x:c>
      <x:c r="B105" s="56" t="str">
        <x:v>P003</x:v>
      </x:c>
      <x:c r="C105" s="56" t="str">
        <x:v>exam</x:v>
      </x:c>
      <x:c r="D105" s="56" t="n">
        <x:v>35</x:v>
      </x:c>
      <x:c r="E105" s="56" t="str">
        <x:v>exam.blood_pressure</x:v>
      </x:c>
      <x:c r="F105" s="56" t="str">
        <x:v>血压</x:v>
      </x:c>
      <x:c r="G105" s="56" t="n">
        <x:v>12</x:v>
      </x:c>
      <x:c r="H105" s="56" t="str">
        <x:v>普通得分项</x:v>
      </x:c>
      <x:c r="I105" s="56" t="str">
        <x:v>否</x:v>
      </x:c>
      <x:c r="J105" s="56" t="str">
        <x:v>否</x:v>
      </x:c>
      <x:c r="K105" s="56" t="str">
        <x:v>否</x:v>
      </x:c>
      <x:c r="L105" s="56" t="str">
        <x:v>按结构化事件证据给予0/部分/满分；不能由总结反推已完成</x:v>
      </x:c>
      <x:c r="M105" s="56" t="str"/>
      <x:c r="N105" s="56" t="n">
        <x:f>SUMIFS($G$4:$G$1673,$A$4:$A$1673,A105)</x:f>
        <x:v>360</x:v>
      </x:c>
      <x:c r="O105" s="56" t="str">
        <x:f>IF(N105=360,"通过","失败")</x:f>
        <x:v>通过</x:v>
      </x:c>
      <x:c r="P105" s="56" t="str"/>
      <x:c r="Q105" s="59" t="str">
        <x:v>待确认</x:v>
      </x:c>
    </x:row>
    <x:row r="106">
      <x:c r="A106" s="56" t="str">
        <x:v>P003</x:v>
      </x:c>
      <x:c r="B106" s="56" t="str">
        <x:v>P003</x:v>
      </x:c>
      <x:c r="C106" s="56" t="str">
        <x:v>exam</x:v>
      </x:c>
      <x:c r="D106" s="56" t="n">
        <x:v>35</x:v>
      </x:c>
      <x:c r="E106" s="56" t="str">
        <x:v>exam.targeted</x:v>
      </x:c>
      <x:c r="F106" s="56" t="str">
        <x:v>病例针对性查体</x:v>
      </x:c>
      <x:c r="G106" s="56" t="n">
        <x:v>11</x:v>
      </x:c>
      <x:c r="H106" s="56" t="str">
        <x:v>普通得分项</x:v>
      </x:c>
      <x:c r="I106" s="56" t="str">
        <x:v>否</x:v>
      </x:c>
      <x:c r="J106" s="56" t="str">
        <x:v>否</x:v>
      </x:c>
      <x:c r="K106" s="56" t="str">
        <x:v>否</x:v>
      </x:c>
      <x:c r="L106" s="56" t="str">
        <x:v>按结构化事件证据给予0/部分/满分；不能由总结反推已完成</x:v>
      </x:c>
      <x:c r="M106" s="56" t="str"/>
      <x:c r="N106" s="56" t="n">
        <x:f>SUMIFS($G$4:$G$1673,$A$4:$A$1673,A106)</x:f>
        <x:v>360</x:v>
      </x:c>
      <x:c r="O106" s="56" t="str">
        <x:f>IF(N106=360,"通过","失败")</x:f>
        <x:v>通过</x:v>
      </x:c>
      <x:c r="P106" s="56" t="str"/>
      <x:c r="Q106" s="59" t="str">
        <x:v>待确认</x:v>
      </x:c>
    </x:row>
    <x:row r="107">
      <x:c r="A107" s="56" t="str">
        <x:v>P003</x:v>
      </x:c>
      <x:c r="B107" s="56" t="str">
        <x:v>P003</x:v>
      </x:c>
      <x:c r="C107" s="56" t="str">
        <x:v>diagnosis</x:v>
      </x:c>
      <x:c r="D107" s="56" t="n">
        <x:v>45</x:v>
      </x:c>
      <x:c r="E107" s="56" t="str">
        <x:v>diagnosis.primary</x:v>
      </x:c>
      <x:c r="F107" s="56" t="str">
        <x:v>最可能诊断及依据</x:v>
      </x:c>
      <x:c r="G107" s="56" t="n">
        <x:v>15</x:v>
      </x:c>
      <x:c r="H107" s="56" t="str">
        <x:v>普通得分项</x:v>
      </x:c>
      <x:c r="I107" s="56" t="str">
        <x:v>否</x:v>
      </x:c>
      <x:c r="J107" s="56" t="str">
        <x:v>否</x:v>
      </x:c>
      <x:c r="K107" s="56" t="str">
        <x:v>否</x:v>
      </x:c>
      <x:c r="L107" s="56" t="str">
        <x:v>按结构化事件证据给予0/部分/满分；不能由总结反推已完成</x:v>
      </x:c>
      <x:c r="M107" s="56" t="str"/>
      <x:c r="N107" s="56" t="n">
        <x:f>SUMIFS($G$4:$G$1673,$A$4:$A$1673,A107)</x:f>
        <x:v>360</x:v>
      </x:c>
      <x:c r="O107" s="56" t="str">
        <x:f>IF(N107=360,"通过","失败")</x:f>
        <x:v>通过</x:v>
      </x:c>
      <x:c r="P107" s="56" t="str"/>
      <x:c r="Q107" s="59" t="str">
        <x:v>待确认</x:v>
      </x:c>
    </x:row>
    <x:row r="108">
      <x:c r="A108" s="56" t="str">
        <x:v>P003</x:v>
      </x:c>
      <x:c r="B108" s="56" t="str">
        <x:v>P003</x:v>
      </x:c>
      <x:c r="C108" s="56" t="str">
        <x:v>diagnosis</x:v>
      </x:c>
      <x:c r="D108" s="56" t="n">
        <x:v>45</x:v>
      </x:c>
      <x:c r="E108" s="56" t="str">
        <x:v>diagnosis.differentials</x:v>
      </x:c>
      <x:c r="F108" s="56" t="str">
        <x:v>至少3项鉴别及支持/反对点</x:v>
      </x:c>
      <x:c r="G108" s="56" t="n">
        <x:v>15</x:v>
      </x:c>
      <x:c r="H108" s="56" t="str">
        <x:v>普通得分项</x:v>
      </x:c>
      <x:c r="I108" s="56" t="str">
        <x:v>否</x:v>
      </x:c>
      <x:c r="J108" s="56" t="str">
        <x:v>否</x:v>
      </x:c>
      <x:c r="K108" s="56" t="str">
        <x:v>否</x:v>
      </x:c>
      <x:c r="L108" s="56" t="str">
        <x:v>按结构化事件证据给予0/部分/满分；不能由总结反推已完成</x:v>
      </x:c>
      <x:c r="M108" s="56" t="str"/>
      <x:c r="N108" s="56" t="n">
        <x:f>SUMIFS($G$4:$G$1673,$A$4:$A$1673,A108)</x:f>
        <x:v>360</x:v>
      </x:c>
      <x:c r="O108" s="56" t="str">
        <x:f>IF(N108=360,"通过","失败")</x:f>
        <x:v>通过</x:v>
      </x:c>
      <x:c r="P108" s="56" t="str"/>
      <x:c r="Q108" s="59" t="str">
        <x:v>待确认</x:v>
      </x:c>
    </x:row>
    <x:row r="109">
      <x:c r="A109" s="56" t="str">
        <x:v>P003</x:v>
      </x:c>
      <x:c r="B109" s="56" t="str">
        <x:v>P003</x:v>
      </x:c>
      <x:c r="C109" s="56" t="str">
        <x:v>diagnosis</x:v>
      </x:c>
      <x:c r="D109" s="56" t="n">
        <x:v>45</x:v>
      </x:c>
      <x:c r="E109" s="56" t="str">
        <x:v>diagnosis.confirmation</x:v>
      </x:c>
      <x:c r="F109" s="56" t="str">
        <x:v>确认计划</x:v>
      </x:c>
      <x:c r="G109" s="56" t="n">
        <x:v>15</x:v>
      </x:c>
      <x:c r="H109" s="56" t="str">
        <x:v>普通得分项</x:v>
      </x:c>
      <x:c r="I109" s="56" t="str">
        <x:v>否</x:v>
      </x:c>
      <x:c r="J109" s="56" t="str">
        <x:v>否</x:v>
      </x:c>
      <x:c r="K109" s="56" t="str">
        <x:v>否</x:v>
      </x:c>
      <x:c r="L109" s="56" t="str">
        <x:v>按结构化事件证据给予0/部分/满分；不能由总结反推已完成</x:v>
      </x:c>
      <x:c r="M109" s="56" t="str"/>
      <x:c r="N109" s="56" t="n">
        <x:f>SUMIFS($G$4:$G$1673,$A$4:$A$1673,A109)</x:f>
        <x:v>360</x:v>
      </x:c>
      <x:c r="O109" s="56" t="str">
        <x:f>IF(N109=360,"通过","失败")</x:f>
        <x:v>通过</x:v>
      </x:c>
      <x:c r="P109" s="56" t="str"/>
      <x:c r="Q109" s="59" t="str">
        <x:v>待确认</x:v>
      </x:c>
    </x:row>
    <x:row r="110">
      <x:c r="A110" s="56" t="str">
        <x:v>P003</x:v>
      </x:c>
      <x:c r="B110" s="56" t="str">
        <x:v>P003</x:v>
      </x:c>
      <x:c r="C110" s="56" t="str">
        <x:v>orders</x:v>
      </x:c>
      <x:c r="D110" s="56" t="n">
        <x:v>55</x:v>
      </x:c>
      <x:c r="E110" s="56" t="str">
        <x:v>orders.LAB-UR-001</x:v>
      </x:c>
      <x:c r="F110" s="56" t="str">
        <x:v>LAB-UR-001</x:v>
      </x:c>
      <x:c r="G110" s="56" t="n">
        <x:v>10</x:v>
      </x:c>
      <x:c r="H110" s="56" t="str">
        <x:v>病例特异得分项</x:v>
      </x:c>
      <x:c r="I110" s="56" t="str">
        <x:v>否</x:v>
      </x:c>
      <x:c r="J110" s="56" t="str">
        <x:v>否</x:v>
      </x:c>
      <x:c r="K110" s="56" t="str">
        <x:v>否</x:v>
      </x:c>
      <x:c r="L110" s="56" t="str">
        <x:v>按结构化事件证据给予0/部分/满分；不能由总结反推已完成</x:v>
      </x:c>
      <x:c r="M110" s="56" t="str"/>
      <x:c r="N110" s="56" t="n">
        <x:f>SUMIFS($G$4:$G$1673,$A$4:$A$1673,A110)</x:f>
        <x:v>360</x:v>
      </x:c>
      <x:c r="O110" s="56" t="str">
        <x:f>IF(N110=360,"通过","失败")</x:f>
        <x:v>通过</x:v>
      </x:c>
      <x:c r="P110" s="56" t="str"/>
      <x:c r="Q110" s="59" t="str">
        <x:v>待确认</x:v>
      </x:c>
    </x:row>
    <x:row r="111">
      <x:c r="A111" s="56" t="str">
        <x:v>P003</x:v>
      </x:c>
      <x:c r="B111" s="56" t="str">
        <x:v>P003</x:v>
      </x:c>
      <x:c r="C111" s="56" t="str">
        <x:v>orders</x:v>
      </x:c>
      <x:c r="D111" s="56" t="n">
        <x:v>55</x:v>
      </x:c>
      <x:c r="E111" s="56" t="str">
        <x:v>orders.LAB-UR-002</x:v>
      </x:c>
      <x:c r="F111" s="56" t="str">
        <x:v>LAB-UR-002</x:v>
      </x:c>
      <x:c r="G111" s="56" t="n">
        <x:v>9</x:v>
      </x:c>
      <x:c r="H111" s="56" t="str">
        <x:v>病例特异得分项</x:v>
      </x:c>
      <x:c r="I111" s="56" t="str">
        <x:v>否</x:v>
      </x:c>
      <x:c r="J111" s="56" t="str">
        <x:v>否</x:v>
      </x:c>
      <x:c r="K111" s="56" t="str">
        <x:v>否</x:v>
      </x:c>
      <x:c r="L111" s="56" t="str">
        <x:v>按结构化事件证据给予0/部分/满分；不能由总结反推已完成</x:v>
      </x:c>
      <x:c r="M111" s="56" t="str"/>
      <x:c r="N111" s="56" t="n">
        <x:f>SUMIFS($G$4:$G$1673,$A$4:$A$1673,A111)</x:f>
        <x:v>360</x:v>
      </x:c>
      <x:c r="O111" s="56" t="str">
        <x:f>IF(N111=360,"通过","失败")</x:f>
        <x:v>通过</x:v>
      </x:c>
      <x:c r="P111" s="56" t="str"/>
      <x:c r="Q111" s="59" t="str">
        <x:v>待确认</x:v>
      </x:c>
    </x:row>
    <x:row r="112">
      <x:c r="A112" s="56" t="str">
        <x:v>P003</x:v>
      </x:c>
      <x:c r="B112" s="56" t="str">
        <x:v>P003</x:v>
      </x:c>
      <x:c r="C112" s="56" t="str">
        <x:v>orders</x:v>
      </x:c>
      <x:c r="D112" s="56" t="n">
        <x:v>55</x:v>
      </x:c>
      <x:c r="E112" s="56" t="str">
        <x:v>orders.LAB-UR-006</x:v>
      </x:c>
      <x:c r="F112" s="56" t="str">
        <x:v>LAB-UR-006</x:v>
      </x:c>
      <x:c r="G112" s="56" t="n">
        <x:v>9</x:v>
      </x:c>
      <x:c r="H112" s="56" t="str">
        <x:v>病例特异得分项</x:v>
      </x:c>
      <x:c r="I112" s="56" t="str">
        <x:v>否</x:v>
      </x:c>
      <x:c r="J112" s="56" t="str">
        <x:v>否</x:v>
      </x:c>
      <x:c r="K112" s="56" t="str">
        <x:v>否</x:v>
      </x:c>
      <x:c r="L112" s="56" t="str">
        <x:v>按结构化事件证据给予0/部分/满分；不能由总结反推已完成</x:v>
      </x:c>
      <x:c r="M112" s="56" t="str"/>
      <x:c r="N112" s="56" t="n">
        <x:f>SUMIFS($G$4:$G$1673,$A$4:$A$1673,A112)</x:f>
        <x:v>360</x:v>
      </x:c>
      <x:c r="O112" s="56" t="str">
        <x:f>IF(N112=360,"通过","失败")</x:f>
        <x:v>通过</x:v>
      </x:c>
      <x:c r="P112" s="56" t="str"/>
      <x:c r="Q112" s="59" t="str">
        <x:v>待确认</x:v>
      </x:c>
    </x:row>
    <x:row r="113">
      <x:c r="A113" s="56" t="str">
        <x:v>P003</x:v>
      </x:c>
      <x:c r="B113" s="56" t="str">
        <x:v>P003</x:v>
      </x:c>
      <x:c r="C113" s="56" t="str">
        <x:v>orders</x:v>
      </x:c>
      <x:c r="D113" s="56" t="n">
        <x:v>55</x:v>
      </x:c>
      <x:c r="E113" s="56" t="str">
        <x:v>orders.LAB-BL-003</x:v>
      </x:c>
      <x:c r="F113" s="56" t="str">
        <x:v>LAB-BL-003</x:v>
      </x:c>
      <x:c r="G113" s="56" t="n">
        <x:v>9</x:v>
      </x:c>
      <x:c r="H113" s="56" t="str">
        <x:v>病例特异得分项</x:v>
      </x:c>
      <x:c r="I113" s="56" t="str">
        <x:v>否</x:v>
      </x:c>
      <x:c r="J113" s="56" t="str">
        <x:v>否</x:v>
      </x:c>
      <x:c r="K113" s="56" t="str">
        <x:v>否</x:v>
      </x:c>
      <x:c r="L113" s="56" t="str">
        <x:v>按结构化事件证据给予0/部分/满分；不能由总结反推已完成</x:v>
      </x:c>
      <x:c r="M113" s="56" t="str"/>
      <x:c r="N113" s="56" t="n">
        <x:f>SUMIFS($G$4:$G$1673,$A$4:$A$1673,A113)</x:f>
        <x:v>360</x:v>
      </x:c>
      <x:c r="O113" s="56" t="str">
        <x:f>IF(N113=360,"通过","失败")</x:f>
        <x:v>通过</x:v>
      </x:c>
      <x:c r="P113" s="56" t="str"/>
      <x:c r="Q113" s="59" t="str">
        <x:v>待确认</x:v>
      </x:c>
    </x:row>
    <x:row r="114">
      <x:c r="A114" s="56" t="str">
        <x:v>P003</x:v>
      </x:c>
      <x:c r="B114" s="56" t="str">
        <x:v>P003</x:v>
      </x:c>
      <x:c r="C114" s="56" t="str">
        <x:v>orders</x:v>
      </x:c>
      <x:c r="D114" s="56" t="n">
        <x:v>55</x:v>
      </x:c>
      <x:c r="E114" s="56" t="str">
        <x:v>orders.IMG-CT-002</x:v>
      </x:c>
      <x:c r="F114" s="56" t="str">
        <x:v>IMG-CT-002</x:v>
      </x:c>
      <x:c r="G114" s="56" t="n">
        <x:v>9</x:v>
      </x:c>
      <x:c r="H114" s="56" t="str">
        <x:v>病例特异得分项</x:v>
      </x:c>
      <x:c r="I114" s="56" t="str">
        <x:v>否</x:v>
      </x:c>
      <x:c r="J114" s="56" t="str">
        <x:v>否</x:v>
      </x:c>
      <x:c r="K114" s="56" t="str">
        <x:v>否</x:v>
      </x:c>
      <x:c r="L114" s="56" t="str">
        <x:v>按结构化事件证据给予0/部分/满分；不能由总结反推已完成</x:v>
      </x:c>
      <x:c r="M114" s="56" t="str"/>
      <x:c r="N114" s="56" t="n">
        <x:f>SUMIFS($G$4:$G$1673,$A$4:$A$1673,A114)</x:f>
        <x:v>360</x:v>
      </x:c>
      <x:c r="O114" s="56" t="str">
        <x:f>IF(N114=360,"通过","失败")</x:f>
        <x:v>通过</x:v>
      </x:c>
      <x:c r="P114" s="56" t="str"/>
      <x:c r="Q114" s="59" t="str">
        <x:v>待确认</x:v>
      </x:c>
    </x:row>
    <x:row r="115">
      <x:c r="A115" s="56" t="str">
        <x:v>P003</x:v>
      </x:c>
      <x:c r="B115" s="56" t="str">
        <x:v>P003</x:v>
      </x:c>
      <x:c r="C115" s="56" t="str">
        <x:v>orders</x:v>
      </x:c>
      <x:c r="D115" s="56" t="n">
        <x:v>55</x:v>
      </x:c>
      <x:c r="E115" s="56" t="str">
        <x:v>orders.END-001</x:v>
      </x:c>
      <x:c r="F115" s="56" t="str">
        <x:v>END-001</x:v>
      </x:c>
      <x:c r="G115" s="56" t="n">
        <x:v>9</x:v>
      </x:c>
      <x:c r="H115" s="56" t="str">
        <x:v>病例特异得分项</x:v>
      </x:c>
      <x:c r="I115" s="56" t="str">
        <x:v>否</x:v>
      </x:c>
      <x:c r="J115" s="56" t="str">
        <x:v>否</x:v>
      </x:c>
      <x:c r="K115" s="56" t="str">
        <x:v>否</x:v>
      </x:c>
      <x:c r="L115" s="56" t="str">
        <x:v>按结构化事件证据给予0/部分/满分；不能由总结反推已完成</x:v>
      </x:c>
      <x:c r="M115" s="56" t="str"/>
      <x:c r="N115" s="56" t="n">
        <x:f>SUMIFS($G$4:$G$1673,$A$4:$A$1673,A115)</x:f>
        <x:v>360</x:v>
      </x:c>
      <x:c r="O115" s="56" t="str">
        <x:f>IF(N115=360,"通过","失败")</x:f>
        <x:v>通过</x:v>
      </x:c>
      <x:c r="P115" s="56" t="str"/>
      <x:c r="Q115" s="59" t="str">
        <x:v>待确认</x:v>
      </x:c>
    </x:row>
    <x:row r="116">
      <x:c r="A116" s="56" t="str">
        <x:v>P003</x:v>
      </x:c>
      <x:c r="B116" s="56" t="str">
        <x:v>P003</x:v>
      </x:c>
      <x:c r="C116" s="56" t="str">
        <x:v>mdt</x:v>
      </x:c>
      <x:c r="D116" s="56" t="n">
        <x:v>45</x:v>
      </x:c>
      <x:c r="E116" s="56" t="str">
        <x:v>mdt.department</x:v>
      </x:c>
      <x:c r="F116" s="56" t="str">
        <x:v>department</x:v>
      </x:c>
      <x:c r="G116" s="56" t="n">
        <x:v>12</x:v>
      </x:c>
      <x:c r="H116" s="56" t="str">
        <x:v>病例特异得分项</x:v>
      </x:c>
      <x:c r="I116" s="56" t="str">
        <x:v>否</x:v>
      </x:c>
      <x:c r="J116" s="56" t="str">
        <x:v>否</x:v>
      </x:c>
      <x:c r="K116" s="56" t="str">
        <x:v>否</x:v>
      </x:c>
      <x:c r="L116" s="56" t="str">
        <x:v>按结构化事件证据给予0/部分/满分；不能由总结反推已完成</x:v>
      </x:c>
      <x:c r="M116" s="56" t="str"/>
      <x:c r="N116" s="56" t="n">
        <x:f>SUMIFS($G$4:$G$1673,$A$4:$A$1673,A116)</x:f>
        <x:v>360</x:v>
      </x:c>
      <x:c r="O116" s="56" t="str">
        <x:f>IF(N116=360,"通过","失败")</x:f>
        <x:v>通过</x:v>
      </x:c>
      <x:c r="P116" s="56" t="str"/>
      <x:c r="Q116" s="59" t="str">
        <x:v>待确认</x:v>
      </x:c>
    </x:row>
    <x:row r="117">
      <x:c r="A117" s="56" t="str">
        <x:v>P003</x:v>
      </x:c>
      <x:c r="B117" s="56" t="str">
        <x:v>P003</x:v>
      </x:c>
      <x:c r="C117" s="56" t="str">
        <x:v>mdt</x:v>
      </x:c>
      <x:c r="D117" s="56" t="n">
        <x:v>45</x:v>
      </x:c>
      <x:c r="E117" s="56" t="str">
        <x:v>mdt.trigger</x:v>
      </x:c>
      <x:c r="F117" s="56" t="str">
        <x:v>trigger</x:v>
      </x:c>
      <x:c r="G117" s="56" t="n">
        <x:v>11</x:v>
      </x:c>
      <x:c r="H117" s="56" t="str">
        <x:v>病例特异得分项</x:v>
      </x:c>
      <x:c r="I117" s="56" t="str">
        <x:v>否</x:v>
      </x:c>
      <x:c r="J117" s="56" t="str">
        <x:v>否</x:v>
      </x:c>
      <x:c r="K117" s="56" t="str">
        <x:v>否</x:v>
      </x:c>
      <x:c r="L117" s="56" t="str">
        <x:v>按结构化事件证据给予0/部分/满分；不能由总结反推已完成</x:v>
      </x:c>
      <x:c r="M117" s="56" t="str"/>
      <x:c r="N117" s="56" t="n">
        <x:f>SUMIFS($G$4:$G$1673,$A$4:$A$1673,A117)</x:f>
        <x:v>360</x:v>
      </x:c>
      <x:c r="O117" s="56" t="str">
        <x:f>IF(N117=360,"通过","失败")</x:f>
        <x:v>通过</x:v>
      </x:c>
      <x:c r="P117" s="56" t="str"/>
      <x:c r="Q117" s="59" t="str">
        <x:v>待确认</x:v>
      </x:c>
    </x:row>
    <x:row r="118">
      <x:c r="A118" s="56" t="str">
        <x:v>P003</x:v>
      </x:c>
      <x:c r="B118" s="56" t="str">
        <x:v>P003</x:v>
      </x:c>
      <x:c r="C118" s="56" t="str">
        <x:v>mdt</x:v>
      </x:c>
      <x:c r="D118" s="56" t="n">
        <x:v>45</x:v>
      </x:c>
      <x:c r="E118" s="56" t="str">
        <x:v>mdt.question</x:v>
      </x:c>
      <x:c r="F118" s="56" t="str">
        <x:v>question</x:v>
      </x:c>
      <x:c r="G118" s="56" t="n">
        <x:v>11</x:v>
      </x:c>
      <x:c r="H118" s="56" t="str">
        <x:v>病例特异得分项</x:v>
      </x:c>
      <x:c r="I118" s="56" t="str">
        <x:v>否</x:v>
      </x:c>
      <x:c r="J118" s="56" t="str">
        <x:v>否</x:v>
      </x:c>
      <x:c r="K118" s="56" t="str">
        <x:v>否</x:v>
      </x:c>
      <x:c r="L118" s="56" t="str">
        <x:v>按结构化事件证据给予0/部分/满分；不能由总结反推已完成</x:v>
      </x:c>
      <x:c r="M118" s="56" t="str"/>
      <x:c r="N118" s="56" t="n">
        <x:f>SUMIFS($G$4:$G$1673,$A$4:$A$1673,A118)</x:f>
        <x:v>360</x:v>
      </x:c>
      <x:c r="O118" s="56" t="str">
        <x:f>IF(N118=360,"通过","失败")</x:f>
        <x:v>通过</x:v>
      </x:c>
      <x:c r="P118" s="56" t="str"/>
      <x:c r="Q118" s="59" t="str">
        <x:v>待确认</x:v>
      </x:c>
    </x:row>
    <x:row r="119">
      <x:c r="A119" s="56" t="str">
        <x:v>P003</x:v>
      </x:c>
      <x:c r="B119" s="56" t="str">
        <x:v>P003</x:v>
      </x:c>
      <x:c r="C119" s="56" t="str">
        <x:v>mdt</x:v>
      </x:c>
      <x:c r="D119" s="56" t="n">
        <x:v>45</x:v>
      </x:c>
      <x:c r="E119" s="56" t="str">
        <x:v>mdt.evidence</x:v>
      </x:c>
      <x:c r="F119" s="56" t="str">
        <x:v>evidence</x:v>
      </x:c>
      <x:c r="G119" s="56" t="n">
        <x:v>11</x:v>
      </x:c>
      <x:c r="H119" s="56" t="str">
        <x:v>病例特异得分项</x:v>
      </x:c>
      <x:c r="I119" s="56" t="str">
        <x:v>否</x:v>
      </x:c>
      <x:c r="J119" s="56" t="str">
        <x:v>否</x:v>
      </x:c>
      <x:c r="K119" s="56" t="str">
        <x:v>否</x:v>
      </x:c>
      <x:c r="L119" s="56" t="str">
        <x:v>按结构化事件证据给予0/部分/满分；不能由总结反推已完成</x:v>
      </x:c>
      <x:c r="M119" s="56" t="str"/>
      <x:c r="N119" s="56" t="n">
        <x:f>SUMIFS($G$4:$G$1673,$A$4:$A$1673,A119)</x:f>
        <x:v>360</x:v>
      </x:c>
      <x:c r="O119" s="56" t="str">
        <x:f>IF(N119=360,"通过","失败")</x:f>
        <x:v>通过</x:v>
      </x:c>
      <x:c r="P119" s="56" t="str"/>
      <x:c r="Q119" s="59" t="str">
        <x:v>待确认</x:v>
      </x:c>
    </x:row>
    <x:row r="120">
      <x:c r="A120" s="56" t="str">
        <x:v>P003</x:v>
      </x:c>
      <x:c r="B120" s="56" t="str">
        <x:v>P003</x:v>
      </x:c>
      <x:c r="C120" s="56" t="str">
        <x:v>treatment</x:v>
      </x:c>
      <x:c r="D120" s="56" t="n">
        <x:v>50</x:v>
      </x:c>
      <x:c r="E120" s="56" t="str">
        <x:v>treatment.immediate</x:v>
      </x:c>
      <x:c r="F120" s="56" t="str">
        <x:v>immediate</x:v>
      </x:c>
      <x:c r="G120" s="56" t="n">
        <x:v>13</x:v>
      </x:c>
      <x:c r="H120" s="56" t="str">
        <x:v>病例特异得分项</x:v>
      </x:c>
      <x:c r="I120" s="56" t="str">
        <x:v>否</x:v>
      </x:c>
      <x:c r="J120" s="56" t="str">
        <x:v>否</x:v>
      </x:c>
      <x:c r="K120" s="56" t="str">
        <x:v>否</x:v>
      </x:c>
      <x:c r="L120" s="56" t="str">
        <x:v>按结构化事件证据给予0/部分/满分；不能由总结反推已完成</x:v>
      </x:c>
      <x:c r="M120" s="56" t="str"/>
      <x:c r="N120" s="56" t="n">
        <x:f>SUMIFS($G$4:$G$1673,$A$4:$A$1673,A120)</x:f>
        <x:v>360</x:v>
      </x:c>
      <x:c r="O120" s="56" t="str">
        <x:f>IF(N120=360,"通过","失败")</x:f>
        <x:v>通过</x:v>
      </x:c>
      <x:c r="P120" s="56" t="str"/>
      <x:c r="Q120" s="59" t="str">
        <x:v>待确认</x:v>
      </x:c>
    </x:row>
    <x:row r="121">
      <x:c r="A121" s="56" t="str">
        <x:v>P003</x:v>
      </x:c>
      <x:c r="B121" s="56" t="str">
        <x:v>P003</x:v>
      </x:c>
      <x:c r="C121" s="56" t="str">
        <x:v>treatment</x:v>
      </x:c>
      <x:c r="D121" s="56" t="n">
        <x:v>50</x:v>
      </x:c>
      <x:c r="E121" s="56" t="str">
        <x:v>treatment.etiologic</x:v>
      </x:c>
      <x:c r="F121" s="56" t="str">
        <x:v>etiologic</x:v>
      </x:c>
      <x:c r="G121" s="56" t="n">
        <x:v>13</x:v>
      </x:c>
      <x:c r="H121" s="56" t="str">
        <x:v>病例特异得分项</x:v>
      </x:c>
      <x:c r="I121" s="56" t="str">
        <x:v>否</x:v>
      </x:c>
      <x:c r="J121" s="56" t="str">
        <x:v>否</x:v>
      </x:c>
      <x:c r="K121" s="56" t="str">
        <x:v>否</x:v>
      </x:c>
      <x:c r="L121" s="56" t="str">
        <x:v>按结构化事件证据给予0/部分/满分；不能由总结反推已完成</x:v>
      </x:c>
      <x:c r="M121" s="56" t="str"/>
      <x:c r="N121" s="56" t="n">
        <x:f>SUMIFS($G$4:$G$1673,$A$4:$A$1673,A121)</x:f>
        <x:v>360</x:v>
      </x:c>
      <x:c r="O121" s="56" t="str">
        <x:f>IF(N121=360,"通过","失败")</x:f>
        <x:v>通过</x:v>
      </x:c>
      <x:c r="P121" s="56" t="str"/>
      <x:c r="Q121" s="59" t="str">
        <x:v>待确认</x:v>
      </x:c>
    </x:row>
    <x:row r="122">
      <x:c r="A122" s="56" t="str">
        <x:v>P003</x:v>
      </x:c>
      <x:c r="B122" s="56" t="str">
        <x:v>P003</x:v>
      </x:c>
      <x:c r="C122" s="56" t="str">
        <x:v>treatment</x:v>
      </x:c>
      <x:c r="D122" s="56" t="n">
        <x:v>50</x:v>
      </x:c>
      <x:c r="E122" s="56" t="str">
        <x:v>treatment.definitive</x:v>
      </x:c>
      <x:c r="F122" s="56" t="str">
        <x:v>definitive</x:v>
      </x:c>
      <x:c r="G122" s="56" t="n">
        <x:v>12</x:v>
      </x:c>
      <x:c r="H122" s="56" t="str">
        <x:v>病例特异得分项</x:v>
      </x:c>
      <x:c r="I122" s="56" t="str">
        <x:v>否</x:v>
      </x:c>
      <x:c r="J122" s="56" t="str">
        <x:v>否</x:v>
      </x:c>
      <x:c r="K122" s="56" t="str">
        <x:v>否</x:v>
      </x:c>
      <x:c r="L122" s="56" t="str">
        <x:v>按结构化事件证据给予0/部分/满分；不能由总结反推已完成</x:v>
      </x:c>
      <x:c r="M122" s="56" t="str"/>
      <x:c r="N122" s="56" t="n">
        <x:f>SUMIFS($G$4:$G$1673,$A$4:$A$1673,A122)</x:f>
        <x:v>360</x:v>
      </x:c>
      <x:c r="O122" s="56" t="str">
        <x:f>IF(N122=360,"通过","失败")</x:f>
        <x:v>通过</x:v>
      </x:c>
      <x:c r="P122" s="56" t="str"/>
      <x:c r="Q122" s="59" t="str">
        <x:v>待确认</x:v>
      </x:c>
    </x:row>
    <x:row r="123">
      <x:c r="A123" s="56" t="str">
        <x:v>P003</x:v>
      </x:c>
      <x:c r="B123" s="56" t="str">
        <x:v>P003</x:v>
      </x:c>
      <x:c r="C123" s="56" t="str">
        <x:v>treatment</x:v>
      </x:c>
      <x:c r="D123" s="56" t="n">
        <x:v>50</x:v>
      </x:c>
      <x:c r="E123" s="56" t="str">
        <x:v>treatment.perioperative</x:v>
      </x:c>
      <x:c r="F123" s="56" t="str">
        <x:v>perioperative</x:v>
      </x:c>
      <x:c r="G123" s="56" t="n">
        <x:v>12</x:v>
      </x:c>
      <x:c r="H123" s="56" t="str">
        <x:v>病例特异得分项</x:v>
      </x:c>
      <x:c r="I123" s="56" t="str">
        <x:v>否</x:v>
      </x:c>
      <x:c r="J123" s="56" t="str">
        <x:v>否</x:v>
      </x:c>
      <x:c r="K123" s="56" t="str">
        <x:v>否</x:v>
      </x:c>
      <x:c r="L123" s="56" t="str">
        <x:v>按结构化事件证据给予0/部分/满分；不能由总结反推已完成</x:v>
      </x:c>
      <x:c r="M123" s="56" t="str"/>
      <x:c r="N123" s="56" t="n">
        <x:f>SUMIFS($G$4:$G$1673,$A$4:$A$1673,A123)</x:f>
        <x:v>360</x:v>
      </x:c>
      <x:c r="O123" s="56" t="str">
        <x:f>IF(N123=360,"通过","失败")</x:f>
        <x:v>通过</x:v>
      </x:c>
      <x:c r="P123" s="56" t="str"/>
      <x:c r="Q123" s="59" t="str">
        <x:v>待确认</x:v>
      </x:c>
    </x:row>
    <x:row r="124">
      <x:c r="A124" s="56" t="str">
        <x:v>P003</x:v>
      </x:c>
      <x:c r="B124" s="56" t="str">
        <x:v>P003</x:v>
      </x:c>
      <x:c r="C124" s="56" t="str">
        <x:v>followup</x:v>
      </x:c>
      <x:c r="D124" s="56" t="n">
        <x:v>40</x:v>
      </x:c>
      <x:c r="E124" s="56" t="str">
        <x:v>followup.plan</x:v>
      </x:c>
      <x:c r="F124" s="56" t="str">
        <x:v>随访复查</x:v>
      </x:c>
      <x:c r="G124" s="56" t="n">
        <x:v>10</x:v>
      </x:c>
      <x:c r="H124" s="56" t="str">
        <x:v>普通得分项</x:v>
      </x:c>
      <x:c r="I124" s="56" t="str">
        <x:v>否</x:v>
      </x:c>
      <x:c r="J124" s="56" t="str">
        <x:v>否</x:v>
      </x:c>
      <x:c r="K124" s="56" t="str">
        <x:v>否</x:v>
      </x:c>
      <x:c r="L124" s="56" t="str">
        <x:v>按结构化事件证据给予0/部分/满分；不能由总结反推已完成</x:v>
      </x:c>
      <x:c r="M124" s="56" t="str"/>
      <x:c r="N124" s="56" t="n">
        <x:f>SUMIFS($G$4:$G$1673,$A$4:$A$1673,A124)</x:f>
        <x:v>360</x:v>
      </x:c>
      <x:c r="O124" s="56" t="str">
        <x:f>IF(N124=360,"通过","失败")</x:f>
        <x:v>通过</x:v>
      </x:c>
      <x:c r="P124" s="56" t="str"/>
      <x:c r="Q124" s="59" t="str">
        <x:v>待确认</x:v>
      </x:c>
    </x:row>
    <x:row r="125">
      <x:c r="A125" s="56" t="str">
        <x:v>P003</x:v>
      </x:c>
      <x:c r="B125" s="56" t="str">
        <x:v>P003</x:v>
      </x:c>
      <x:c r="C125" s="56" t="str">
        <x:v>followup</x:v>
      </x:c>
      <x:c r="D125" s="56" t="n">
        <x:v>40</x:v>
      </x:c>
      <x:c r="E125" s="56" t="str">
        <x:v>followup.education</x:v>
      </x:c>
      <x:c r="F125" s="56" t="str">
        <x:v>患者教育</x:v>
      </x:c>
      <x:c r="G125" s="56" t="n">
        <x:v>10</x:v>
      </x:c>
      <x:c r="H125" s="56" t="str">
        <x:v>普通得分项</x:v>
      </x:c>
      <x:c r="I125" s="56" t="str">
        <x:v>否</x:v>
      </x:c>
      <x:c r="J125" s="56" t="str">
        <x:v>否</x:v>
      </x:c>
      <x:c r="K125" s="56" t="str">
        <x:v>否</x:v>
      </x:c>
      <x:c r="L125" s="56" t="str">
        <x:v>按结构化事件证据给予0/部分/满分；不能由总结反推已完成</x:v>
      </x:c>
      <x:c r="M125" s="56" t="str"/>
      <x:c r="N125" s="56" t="n">
        <x:f>SUMIFS($G$4:$G$1673,$A$4:$A$1673,A125)</x:f>
        <x:v>360</x:v>
      </x:c>
      <x:c r="O125" s="56" t="str">
        <x:f>IF(N125=360,"通过","失败")</x:f>
        <x:v>通过</x:v>
      </x:c>
      <x:c r="P125" s="56" t="str"/>
      <x:c r="Q125" s="59" t="str">
        <x:v>待确认</x:v>
      </x:c>
    </x:row>
    <x:row r="126">
      <x:c r="A126" s="56" t="str">
        <x:v>P003</x:v>
      </x:c>
      <x:c r="B126" s="56" t="str">
        <x:v>P003</x:v>
      </x:c>
      <x:c r="C126" s="56" t="str">
        <x:v>followup</x:v>
      </x:c>
      <x:c r="D126" s="56" t="n">
        <x:v>40</x:v>
      </x:c>
      <x:c r="E126" s="56" t="str">
        <x:v>followup.reflection</x:v>
      </x:c>
      <x:c r="F126" s="56" t="str">
        <x:v>学习反思质量</x:v>
      </x:c>
      <x:c r="G126" s="56" t="n">
        <x:v>10</x:v>
      </x:c>
      <x:c r="H126" s="56" t="str">
        <x:v>普通得分项</x:v>
      </x:c>
      <x:c r="I126" s="56" t="str">
        <x:v>否</x:v>
      </x:c>
      <x:c r="J126" s="56" t="str">
        <x:v>否</x:v>
      </x:c>
      <x:c r="K126" s="56" t="str">
        <x:v>否</x:v>
      </x:c>
      <x:c r="L126" s="56" t="str">
        <x:v>按结构化事件证据给予0/部分/满分；不能由总结反推已完成</x:v>
      </x:c>
      <x:c r="M126" s="56" t="str"/>
      <x:c r="N126" s="56" t="n">
        <x:f>SUMIFS($G$4:$G$1673,$A$4:$A$1673,A126)</x:f>
        <x:v>360</x:v>
      </x:c>
      <x:c r="O126" s="56" t="str">
        <x:f>IF(N126=360,"通过","失败")</x:f>
        <x:v>通过</x:v>
      </x:c>
      <x:c r="P126" s="56" t="str"/>
      <x:c r="Q126" s="59" t="str">
        <x:v>待确认</x:v>
      </x:c>
    </x:row>
    <x:row r="127">
      <x:c r="A127" s="56" t="str">
        <x:v>P003</x:v>
      </x:c>
      <x:c r="B127" s="56" t="str">
        <x:v>P003</x:v>
      </x:c>
      <x:c r="C127" s="56" t="str">
        <x:v>followup</x:v>
      </x:c>
      <x:c r="D127" s="56" t="n">
        <x:v>40</x:v>
      </x:c>
      <x:c r="E127" s="56" t="str">
        <x:v>followup.efficiency</x:v>
      </x:c>
      <x:c r="F127" s="56" t="str">
        <x:v>操作效率</x:v>
      </x:c>
      <x:c r="G127" s="56" t="n">
        <x:v>10</x:v>
      </x:c>
      <x:c r="H127" s="56" t="str">
        <x:v>普通得分项</x:v>
      </x:c>
      <x:c r="I127" s="56" t="str">
        <x:v>否</x:v>
      </x:c>
      <x:c r="J127" s="56" t="str">
        <x:v>否</x:v>
      </x:c>
      <x:c r="K127" s="56" t="str">
        <x:v>否</x:v>
      </x:c>
      <x:c r="L127" s="56" t="str">
        <x:v>按结构化事件证据给予0/部分/满分；不能由总结反推已完成</x:v>
      </x:c>
      <x:c r="M127" s="56" t="str"/>
      <x:c r="N127" s="56" t="n">
        <x:f>SUMIFS($G$4:$G$1673,$A$4:$A$1673,A127)</x:f>
        <x:v>360</x:v>
      </x:c>
      <x:c r="O127" s="56" t="str">
        <x:f>IF(N127=360,"通过","失败")</x:f>
        <x:v>通过</x:v>
      </x:c>
      <x:c r="P127" s="56" t="str"/>
      <x:c r="Q127" s="59" t="str">
        <x:v>待确认</x:v>
      </x:c>
    </x:row>
    <x:row r="128">
      <x:c r="A128" s="56" t="str">
        <x:v>P004</x:v>
      </x:c>
      <x:c r="B128" s="56" t="str">
        <x:v>P004</x:v>
      </x:c>
      <x:c r="C128" s="56" t="str">
        <x:v>history</x:v>
      </x:c>
      <x:c r="D128" s="56" t="n">
        <x:v>50</x:v>
      </x:c>
      <x:c r="E128" s="56" t="str">
        <x:v>history.hematuria_visibility</x:v>
      </x:c>
      <x:c r="F128" s="56" t="str">
        <x:v>hematuria_visibility</x:v>
      </x:c>
      <x:c r="G128" s="56" t="n">
        <x:v>5</x:v>
      </x:c>
      <x:c r="H128" s="56" t="str">
        <x:v>普通得分项</x:v>
      </x:c>
      <x:c r="I128" s="56" t="str">
        <x:v>否</x:v>
      </x:c>
      <x:c r="J128" s="56" t="str">
        <x:v>否</x:v>
      </x:c>
      <x:c r="K128" s="56" t="str">
        <x:v>否</x:v>
      </x:c>
      <x:c r="L128" s="56" t="str">
        <x:v>按结构化事件证据给予0/部分/满分；不能由总结反推已完成</x:v>
      </x:c>
      <x:c r="M128" s="56" t="str"/>
      <x:c r="N128" s="56" t="n">
        <x:f>SUMIFS($G$4:$G$1673,$A$4:$A$1673,A128)</x:f>
        <x:v>360</x:v>
      </x:c>
      <x:c r="O128" s="56" t="str">
        <x:f>IF(N128=360,"通过","失败")</x:f>
        <x:v>通过</x:v>
      </x:c>
      <x:c r="P128" s="56" t="str"/>
      <x:c r="Q128" s="59" t="str">
        <x:v>待确认</x:v>
      </x:c>
    </x:row>
    <x:row r="129">
      <x:c r="A129" s="56" t="str">
        <x:v>P004</x:v>
      </x:c>
      <x:c r="B129" s="56" t="str">
        <x:v>P004</x:v>
      </x:c>
      <x:c r="C129" s="56" t="str">
        <x:v>history</x:v>
      </x:c>
      <x:c r="D129" s="56" t="n">
        <x:v>50</x:v>
      </x:c>
      <x:c r="E129" s="56" t="str">
        <x:v>history.hematuria_onset</x:v>
      </x:c>
      <x:c r="F129" s="56" t="str">
        <x:v>hematuria_onset</x:v>
      </x:c>
      <x:c r="G129" s="56" t="n">
        <x:v>5</x:v>
      </x:c>
      <x:c r="H129" s="56" t="str">
        <x:v>普通得分项</x:v>
      </x:c>
      <x:c r="I129" s="56" t="str">
        <x:v>否</x:v>
      </x:c>
      <x:c r="J129" s="56" t="str">
        <x:v>否</x:v>
      </x:c>
      <x:c r="K129" s="56" t="str">
        <x:v>否</x:v>
      </x:c>
      <x:c r="L129" s="56" t="str">
        <x:v>按结构化事件证据给予0/部分/满分；不能由总结反推已完成</x:v>
      </x:c>
      <x:c r="M129" s="56" t="str"/>
      <x:c r="N129" s="56" t="n">
        <x:f>SUMIFS($G$4:$G$1673,$A$4:$A$1673,A129)</x:f>
        <x:v>360</x:v>
      </x:c>
      <x:c r="O129" s="56" t="str">
        <x:f>IF(N129=360,"通过","失败")</x:f>
        <x:v>通过</x:v>
      </x:c>
      <x:c r="P129" s="56" t="str"/>
      <x:c r="Q129" s="59" t="str">
        <x:v>待确认</x:v>
      </x:c>
    </x:row>
    <x:row r="130">
      <x:c r="A130" s="56" t="str">
        <x:v>P004</x:v>
      </x:c>
      <x:c r="B130" s="56" t="str">
        <x:v>P004</x:v>
      </x:c>
      <x:c r="C130" s="56" t="str">
        <x:v>history</x:v>
      </x:c>
      <x:c r="D130" s="56" t="n">
        <x:v>50</x:v>
      </x:c>
      <x:c r="E130" s="56" t="str">
        <x:v>history.hematuria_frequency</x:v>
      </x:c>
      <x:c r="F130" s="56" t="str">
        <x:v>hematuria_frequency</x:v>
      </x:c>
      <x:c r="G130" s="56" t="n">
        <x:v>4</x:v>
      </x:c>
      <x:c r="H130" s="56" t="str">
        <x:v>普通得分项</x:v>
      </x:c>
      <x:c r="I130" s="56" t="str">
        <x:v>否</x:v>
      </x:c>
      <x:c r="J130" s="56" t="str">
        <x:v>否</x:v>
      </x:c>
      <x:c r="K130" s="56" t="str">
        <x:v>否</x:v>
      </x:c>
      <x:c r="L130" s="56" t="str">
        <x:v>按结构化事件证据给予0/部分/满分；不能由总结反推已完成</x:v>
      </x:c>
      <x:c r="M130" s="56" t="str"/>
      <x:c r="N130" s="56" t="n">
        <x:f>SUMIFS($G$4:$G$1673,$A$4:$A$1673,A130)</x:f>
        <x:v>360</x:v>
      </x:c>
      <x:c r="O130" s="56" t="str">
        <x:f>IF(N130=360,"通过","失败")</x:f>
        <x:v>通过</x:v>
      </x:c>
      <x:c r="P130" s="56" t="str"/>
      <x:c r="Q130" s="59" t="str">
        <x:v>待确认</x:v>
      </x:c>
    </x:row>
    <x:row r="131">
      <x:c r="A131" s="56" t="str">
        <x:v>P004</x:v>
      </x:c>
      <x:c r="B131" s="56" t="str">
        <x:v>P004</x:v>
      </x:c>
      <x:c r="C131" s="56" t="str">
        <x:v>history</x:v>
      </x:c>
      <x:c r="D131" s="56" t="n">
        <x:v>50</x:v>
      </x:c>
      <x:c r="E131" s="56" t="str">
        <x:v>history.hematuria_phase</x:v>
      </x:c>
      <x:c r="F131" s="56" t="str">
        <x:v>hematuria_phase</x:v>
      </x:c>
      <x:c r="G131" s="56" t="n">
        <x:v>4</x:v>
      </x:c>
      <x:c r="H131" s="56" t="str">
        <x:v>普通得分项</x:v>
      </x:c>
      <x:c r="I131" s="56" t="str">
        <x:v>否</x:v>
      </x:c>
      <x:c r="J131" s="56" t="str">
        <x:v>否</x:v>
      </x:c>
      <x:c r="K131" s="56" t="str">
        <x:v>否</x:v>
      </x:c>
      <x:c r="L131" s="56" t="str">
        <x:v>按结构化事件证据给予0/部分/满分；不能由总结反推已完成</x:v>
      </x:c>
      <x:c r="M131" s="56" t="str"/>
      <x:c r="N131" s="56" t="n">
        <x:f>SUMIFS($G$4:$G$1673,$A$4:$A$1673,A131)</x:f>
        <x:v>360</x:v>
      </x:c>
      <x:c r="O131" s="56" t="str">
        <x:f>IF(N131=360,"通过","失败")</x:f>
        <x:v>通过</x:v>
      </x:c>
      <x:c r="P131" s="56" t="str"/>
      <x:c r="Q131" s="59" t="str">
        <x:v>待确认</x:v>
      </x:c>
    </x:row>
    <x:row r="132">
      <x:c r="A132" s="56" t="str">
        <x:v>P004</x:v>
      </x:c>
      <x:c r="B132" s="56" t="str">
        <x:v>P004</x:v>
      </x:c>
      <x:c r="C132" s="56" t="str">
        <x:v>history</x:v>
      </x:c>
      <x:c r="D132" s="56" t="n">
        <x:v>50</x:v>
      </x:c>
      <x:c r="E132" s="56" t="str">
        <x:v>history.urine_color</x:v>
      </x:c>
      <x:c r="F132" s="56" t="str">
        <x:v>urine_color</x:v>
      </x:c>
      <x:c r="G132" s="56" t="n">
        <x:v>4</x:v>
      </x:c>
      <x:c r="H132" s="56" t="str">
        <x:v>普通得分项</x:v>
      </x:c>
      <x:c r="I132" s="56" t="str">
        <x:v>否</x:v>
      </x:c>
      <x:c r="J132" s="56" t="str">
        <x:v>否</x:v>
      </x:c>
      <x:c r="K132" s="56" t="str">
        <x:v>否</x:v>
      </x:c>
      <x:c r="L132" s="56" t="str">
        <x:v>按结构化事件证据给予0/部分/满分；不能由总结反推已完成</x:v>
      </x:c>
      <x:c r="M132" s="56" t="str"/>
      <x:c r="N132" s="56" t="n">
        <x:f>SUMIFS($G$4:$G$1673,$A$4:$A$1673,A132)</x:f>
        <x:v>360</x:v>
      </x:c>
      <x:c r="O132" s="56" t="str">
        <x:f>IF(N132=360,"通过","失败")</x:f>
        <x:v>通过</x:v>
      </x:c>
      <x:c r="P132" s="56" t="str"/>
      <x:c r="Q132" s="59" t="str">
        <x:v>待确认</x:v>
      </x:c>
    </x:row>
    <x:row r="133">
      <x:c r="A133" s="56" t="str">
        <x:v>P004</x:v>
      </x:c>
      <x:c r="B133" s="56" t="str">
        <x:v>P004</x:v>
      </x:c>
      <x:c r="C133" s="56" t="str">
        <x:v>history</x:v>
      </x:c>
      <x:c r="D133" s="56" t="n">
        <x:v>50</x:v>
      </x:c>
      <x:c r="E133" s="56" t="str">
        <x:v>history.clots</x:v>
      </x:c>
      <x:c r="F133" s="56" t="str">
        <x:v>clots</x:v>
      </x:c>
      <x:c r="G133" s="56" t="n">
        <x:v>4</x:v>
      </x:c>
      <x:c r="H133" s="56" t="str">
        <x:v>普通得分项</x:v>
      </x:c>
      <x:c r="I133" s="56" t="str">
        <x:v>否</x:v>
      </x:c>
      <x:c r="J133" s="56" t="str">
        <x:v>否</x:v>
      </x:c>
      <x:c r="K133" s="56" t="str">
        <x:v>否</x:v>
      </x:c>
      <x:c r="L133" s="56" t="str">
        <x:v>按结构化事件证据给予0/部分/满分；不能由总结反推已完成</x:v>
      </x:c>
      <x:c r="M133" s="56" t="str"/>
      <x:c r="N133" s="56" t="n">
        <x:f>SUMIFS($G$4:$G$1673,$A$4:$A$1673,A133)</x:f>
        <x:v>360</x:v>
      </x:c>
      <x:c r="O133" s="56" t="str">
        <x:f>IF(N133=360,"通过","失败")</x:f>
        <x:v>通过</x:v>
      </x:c>
      <x:c r="P133" s="56" t="str"/>
      <x:c r="Q133" s="59" t="str">
        <x:v>待确认</x:v>
      </x:c>
    </x:row>
    <x:row r="134">
      <x:c r="A134" s="56" t="str">
        <x:v>P004</x:v>
      </x:c>
      <x:c r="B134" s="56" t="str">
        <x:v>P004</x:v>
      </x:c>
      <x:c r="C134" s="56" t="str">
        <x:v>history</x:v>
      </x:c>
      <x:c r="D134" s="56" t="n">
        <x:v>50</x:v>
      </x:c>
      <x:c r="E134" s="56" t="str">
        <x:v>history.pain</x:v>
      </x:c>
      <x:c r="F134" s="56" t="str">
        <x:v>pain</x:v>
      </x:c>
      <x:c r="G134" s="56" t="n">
        <x:v>4</x:v>
      </x:c>
      <x:c r="H134" s="56" t="str">
        <x:v>普通得分项</x:v>
      </x:c>
      <x:c r="I134" s="56" t="str">
        <x:v>否</x:v>
      </x:c>
      <x:c r="J134" s="56" t="str">
        <x:v>否</x:v>
      </x:c>
      <x:c r="K134" s="56" t="str">
        <x:v>否</x:v>
      </x:c>
      <x:c r="L134" s="56" t="str">
        <x:v>按结构化事件证据给予0/部分/满分；不能由总结反推已完成</x:v>
      </x:c>
      <x:c r="M134" s="56" t="str"/>
      <x:c r="N134" s="56" t="n">
        <x:f>SUMIFS($G$4:$G$1673,$A$4:$A$1673,A134)</x:f>
        <x:v>360</x:v>
      </x:c>
      <x:c r="O134" s="56" t="str">
        <x:f>IF(N134=360,"通过","失败")</x:f>
        <x:v>通过</x:v>
      </x:c>
      <x:c r="P134" s="56" t="str"/>
      <x:c r="Q134" s="59" t="str">
        <x:v>待确认</x:v>
      </x:c>
    </x:row>
    <x:row r="135">
      <x:c r="A135" s="56" t="str">
        <x:v>P004</x:v>
      </x:c>
      <x:c r="B135" s="56" t="str">
        <x:v>P004</x:v>
      </x:c>
      <x:c r="C135" s="56" t="str">
        <x:v>history</x:v>
      </x:c>
      <x:c r="D135" s="56" t="n">
        <x:v>50</x:v>
      </x:c>
      <x:c r="E135" s="56" t="str">
        <x:v>history.dysuria</x:v>
      </x:c>
      <x:c r="F135" s="56" t="str">
        <x:v>dysuria</x:v>
      </x:c>
      <x:c r="G135" s="56" t="n">
        <x:v>4</x:v>
      </x:c>
      <x:c r="H135" s="56" t="str">
        <x:v>普通得分项</x:v>
      </x:c>
      <x:c r="I135" s="56" t="str">
        <x:v>否</x:v>
      </x:c>
      <x:c r="J135" s="56" t="str">
        <x:v>否</x:v>
      </x:c>
      <x:c r="K135" s="56" t="str">
        <x:v>否</x:v>
      </x:c>
      <x:c r="L135" s="56" t="str">
        <x:v>按结构化事件证据给予0/部分/满分；不能由总结反推已完成</x:v>
      </x:c>
      <x:c r="M135" s="56" t="str"/>
      <x:c r="N135" s="56" t="n">
        <x:f>SUMIFS($G$4:$G$1673,$A$4:$A$1673,A135)</x:f>
        <x:v>360</x:v>
      </x:c>
      <x:c r="O135" s="56" t="str">
        <x:f>IF(N135=360,"通过","失败")</x:f>
        <x:v>通过</x:v>
      </x:c>
      <x:c r="P135" s="56" t="str"/>
      <x:c r="Q135" s="59" t="str">
        <x:v>待确认</x:v>
      </x:c>
    </x:row>
    <x:row r="136">
      <x:c r="A136" s="56" t="str">
        <x:v>P004</x:v>
      </x:c>
      <x:c r="B136" s="56" t="str">
        <x:v>P004</x:v>
      </x:c>
      <x:c r="C136" s="56" t="str">
        <x:v>history</x:v>
      </x:c>
      <x:c r="D136" s="56" t="n">
        <x:v>50</x:v>
      </x:c>
      <x:c r="E136" s="56" t="str">
        <x:v>history.urinary_frequency</x:v>
      </x:c>
      <x:c r="F136" s="56" t="str">
        <x:v>urinary_frequency</x:v>
      </x:c>
      <x:c r="G136" s="56" t="n">
        <x:v>4</x:v>
      </x:c>
      <x:c r="H136" s="56" t="str">
        <x:v>普通得分项</x:v>
      </x:c>
      <x:c r="I136" s="56" t="str">
        <x:v>否</x:v>
      </x:c>
      <x:c r="J136" s="56" t="str">
        <x:v>否</x:v>
      </x:c>
      <x:c r="K136" s="56" t="str">
        <x:v>否</x:v>
      </x:c>
      <x:c r="L136" s="56" t="str">
        <x:v>按结构化事件证据给予0/部分/满分；不能由总结反推已完成</x:v>
      </x:c>
      <x:c r="M136" s="56" t="str"/>
      <x:c r="N136" s="56" t="n">
        <x:f>SUMIFS($G$4:$G$1673,$A$4:$A$1673,A136)</x:f>
        <x:v>360</x:v>
      </x:c>
      <x:c r="O136" s="56" t="str">
        <x:f>IF(N136=360,"通过","失败")</x:f>
        <x:v>通过</x:v>
      </x:c>
      <x:c r="P136" s="56" t="str"/>
      <x:c r="Q136" s="59" t="str">
        <x:v>待确认</x:v>
      </x:c>
    </x:row>
    <x:row r="137">
      <x:c r="A137" s="56" t="str">
        <x:v>P004</x:v>
      </x:c>
      <x:c r="B137" s="56" t="str">
        <x:v>P004</x:v>
      </x:c>
      <x:c r="C137" s="56" t="str">
        <x:v>history</x:v>
      </x:c>
      <x:c r="D137" s="56" t="n">
        <x:v>50</x:v>
      </x:c>
      <x:c r="E137" s="56" t="str">
        <x:v>history.urinary_urgency</x:v>
      </x:c>
      <x:c r="F137" s="56" t="str">
        <x:v>urinary_urgency</x:v>
      </x:c>
      <x:c r="G137" s="56" t="n">
        <x:v>4</x:v>
      </x:c>
      <x:c r="H137" s="56" t="str">
        <x:v>普通得分项</x:v>
      </x:c>
      <x:c r="I137" s="56" t="str">
        <x:v>否</x:v>
      </x:c>
      <x:c r="J137" s="56" t="str">
        <x:v>否</x:v>
      </x:c>
      <x:c r="K137" s="56" t="str">
        <x:v>否</x:v>
      </x:c>
      <x:c r="L137" s="56" t="str">
        <x:v>按结构化事件证据给予0/部分/满分；不能由总结反推已完成</x:v>
      </x:c>
      <x:c r="M137" s="56" t="str"/>
      <x:c r="N137" s="56" t="n">
        <x:f>SUMIFS($G$4:$G$1673,$A$4:$A$1673,A137)</x:f>
        <x:v>360</x:v>
      </x:c>
      <x:c r="O137" s="56" t="str">
        <x:f>IF(N137=360,"通过","失败")</x:f>
        <x:v>通过</x:v>
      </x:c>
      <x:c r="P137" s="56" t="str"/>
      <x:c r="Q137" s="59" t="str">
        <x:v>待确认</x:v>
      </x:c>
    </x:row>
    <x:row r="138">
      <x:c r="A138" s="56" t="str">
        <x:v>P004</x:v>
      </x:c>
      <x:c r="B138" s="56" t="str">
        <x:v>P004</x:v>
      </x:c>
      <x:c r="C138" s="56" t="str">
        <x:v>history</x:v>
      </x:c>
      <x:c r="D138" s="56" t="n">
        <x:v>50</x:v>
      </x:c>
      <x:c r="E138" s="56" t="str">
        <x:v>history.flank_pain</x:v>
      </x:c>
      <x:c r="F138" s="56" t="str">
        <x:v>flank_pain</x:v>
      </x:c>
      <x:c r="G138" s="56" t="n">
        <x:v>4</x:v>
      </x:c>
      <x:c r="H138" s="56" t="str">
        <x:v>普通得分项</x:v>
      </x:c>
      <x:c r="I138" s="56" t="str">
        <x:v>否</x:v>
      </x:c>
      <x:c r="J138" s="56" t="str">
        <x:v>否</x:v>
      </x:c>
      <x:c r="K138" s="56" t="str">
        <x:v>否</x:v>
      </x:c>
      <x:c r="L138" s="56" t="str">
        <x:v>按结构化事件证据给予0/部分/满分；不能由总结反推已完成</x:v>
      </x:c>
      <x:c r="M138" s="56" t="str"/>
      <x:c r="N138" s="56" t="n">
        <x:f>SUMIFS($G$4:$G$1673,$A$4:$A$1673,A138)</x:f>
        <x:v>360</x:v>
      </x:c>
      <x:c r="O138" s="56" t="str">
        <x:f>IF(N138=360,"通过","失败")</x:f>
        <x:v>通过</x:v>
      </x:c>
      <x:c r="P138" s="56" t="str"/>
      <x:c r="Q138" s="59" t="str">
        <x:v>待确认</x:v>
      </x:c>
    </x:row>
    <x:row r="139">
      <x:c r="A139" s="56" t="str">
        <x:v>P004</x:v>
      </x:c>
      <x:c r="B139" s="56" t="str">
        <x:v>P004</x:v>
      </x:c>
      <x:c r="C139" s="56" t="str">
        <x:v>history</x:v>
      </x:c>
      <x:c r="D139" s="56" t="n">
        <x:v>50</x:v>
      </x:c>
      <x:c r="E139" s="56" t="str">
        <x:v>history.fever_chills</x:v>
      </x:c>
      <x:c r="F139" s="56" t="str">
        <x:v>fever_chills</x:v>
      </x:c>
      <x:c r="G139" s="56" t="n">
        <x:v>4</x:v>
      </x:c>
      <x:c r="H139" s="56" t="str">
        <x:v>普通得分项</x:v>
      </x:c>
      <x:c r="I139" s="56" t="str">
        <x:v>否</x:v>
      </x:c>
      <x:c r="J139" s="56" t="str">
        <x:v>否</x:v>
      </x:c>
      <x:c r="K139" s="56" t="str">
        <x:v>否</x:v>
      </x:c>
      <x:c r="L139" s="56" t="str">
        <x:v>按结构化事件证据给予0/部分/满分；不能由总结反推已完成</x:v>
      </x:c>
      <x:c r="M139" s="56" t="str"/>
      <x:c r="N139" s="56" t="n">
        <x:f>SUMIFS($G$4:$G$1673,$A$4:$A$1673,A139)</x:f>
        <x:v>360</x:v>
      </x:c>
      <x:c r="O139" s="56" t="str">
        <x:f>IF(N139=360,"通过","失败")</x:f>
        <x:v>通过</x:v>
      </x:c>
      <x:c r="P139" s="56" t="str"/>
      <x:c r="Q139" s="59" t="str">
        <x:v>待确认</x:v>
      </x:c>
    </x:row>
    <x:row r="140">
      <x:c r="A140" s="56" t="str">
        <x:v>P004</x:v>
      </x:c>
      <x:c r="B140" s="56" t="str">
        <x:v>P004</x:v>
      </x:c>
      <x:c r="C140" s="56" t="str">
        <x:v>risk</x:v>
      </x:c>
      <x:c r="D140" s="56" t="n">
        <x:v>40</x:v>
      </x:c>
      <x:c r="E140" s="56" t="str">
        <x:v>risk.smoking</x:v>
      </x:c>
      <x:c r="F140" s="56" t="str">
        <x:v>smoking</x:v>
      </x:c>
      <x:c r="G140" s="56" t="n">
        <x:v>8</x:v>
      </x:c>
      <x:c r="H140" s="56" t="str">
        <x:v>普通得分项</x:v>
      </x:c>
      <x:c r="I140" s="56" t="str">
        <x:v>否</x:v>
      </x:c>
      <x:c r="J140" s="56" t="str">
        <x:v>否</x:v>
      </x:c>
      <x:c r="K140" s="56" t="str">
        <x:v>否</x:v>
      </x:c>
      <x:c r="L140" s="56" t="str">
        <x:v>按结构化事件证据给予0/部分/满分；不能由总结反推已完成</x:v>
      </x:c>
      <x:c r="M140" s="56" t="str"/>
      <x:c r="N140" s="56" t="n">
        <x:f>SUMIFS($G$4:$G$1673,$A$4:$A$1673,A140)</x:f>
        <x:v>360</x:v>
      </x:c>
      <x:c r="O140" s="56" t="str">
        <x:f>IF(N140=360,"通过","失败")</x:f>
        <x:v>通过</x:v>
      </x:c>
      <x:c r="P140" s="56" t="str"/>
      <x:c r="Q140" s="59" t="str">
        <x:v>待确认</x:v>
      </x:c>
    </x:row>
    <x:row r="141">
      <x:c r="A141" s="56" t="str">
        <x:v>P004</x:v>
      </x:c>
      <x:c r="B141" s="56" t="str">
        <x:v>P004</x:v>
      </x:c>
      <x:c r="C141" s="56" t="str">
        <x:v>risk</x:v>
      </x:c>
      <x:c r="D141" s="56" t="n">
        <x:v>40</x:v>
      </x:c>
      <x:c r="E141" s="56" t="str">
        <x:v>risk.occupation_exposure</x:v>
      </x:c>
      <x:c r="F141" s="56" t="str">
        <x:v>occupation_exposure</x:v>
      </x:c>
      <x:c r="G141" s="56" t="n">
        <x:v>8</x:v>
      </x:c>
      <x:c r="H141" s="56" t="str">
        <x:v>普通得分项</x:v>
      </x:c>
      <x:c r="I141" s="56" t="str">
        <x:v>否</x:v>
      </x:c>
      <x:c r="J141" s="56" t="str">
        <x:v>否</x:v>
      </x:c>
      <x:c r="K141" s="56" t="str">
        <x:v>否</x:v>
      </x:c>
      <x:c r="L141" s="56" t="str">
        <x:v>按结构化事件证据给予0/部分/满分；不能由总结反推已完成</x:v>
      </x:c>
      <x:c r="M141" s="56" t="str"/>
      <x:c r="N141" s="56" t="n">
        <x:f>SUMIFS($G$4:$G$1673,$A$4:$A$1673,A141)</x:f>
        <x:v>360</x:v>
      </x:c>
      <x:c r="O141" s="56" t="str">
        <x:f>IF(N141=360,"通过","失败")</x:f>
        <x:v>通过</x:v>
      </x:c>
      <x:c r="P141" s="56" t="str"/>
      <x:c r="Q141" s="59" t="str">
        <x:v>待确认</x:v>
      </x:c>
    </x:row>
    <x:row r="142">
      <x:c r="A142" s="56" t="str">
        <x:v>P004</x:v>
      </x:c>
      <x:c r="B142" s="56" t="str">
        <x:v>P004</x:v>
      </x:c>
      <x:c r="C142" s="56" t="str">
        <x:v>risk</x:v>
      </x:c>
      <x:c r="D142" s="56" t="n">
        <x:v>40</x:v>
      </x:c>
      <x:c r="E142" s="56" t="str">
        <x:v>risk.tumor_history</x:v>
      </x:c>
      <x:c r="F142" s="56" t="str">
        <x:v>tumor_history</x:v>
      </x:c>
      <x:c r="G142" s="56" t="n">
        <x:v>8</x:v>
      </x:c>
      <x:c r="H142" s="56" t="str">
        <x:v>普通得分项</x:v>
      </x:c>
      <x:c r="I142" s="56" t="str">
        <x:v>否</x:v>
      </x:c>
      <x:c r="J142" s="56" t="str">
        <x:v>否</x:v>
      </x:c>
      <x:c r="K142" s="56" t="str">
        <x:v>否</x:v>
      </x:c>
      <x:c r="L142" s="56" t="str">
        <x:v>按结构化事件证据给予0/部分/满分；不能由总结反推已完成</x:v>
      </x:c>
      <x:c r="M142" s="56" t="str"/>
      <x:c r="N142" s="56" t="n">
        <x:f>SUMIFS($G$4:$G$1673,$A$4:$A$1673,A142)</x:f>
        <x:v>360</x:v>
      </x:c>
      <x:c r="O142" s="56" t="str">
        <x:f>IF(N142=360,"通过","失败")</x:f>
        <x:v>通过</x:v>
      </x:c>
      <x:c r="P142" s="56" t="str"/>
      <x:c r="Q142" s="59" t="str">
        <x:v>待确认</x:v>
      </x:c>
    </x:row>
    <x:row r="143">
      <x:c r="A143" s="56" t="str">
        <x:v>P004</x:v>
      </x:c>
      <x:c r="B143" s="56" t="str">
        <x:v>P004</x:v>
      </x:c>
      <x:c r="C143" s="56" t="str">
        <x:v>risk</x:v>
      </x:c>
      <x:c r="D143" s="56" t="n">
        <x:v>40</x:v>
      </x:c>
      <x:c r="E143" s="56" t="str">
        <x:v>risk.anticoagulant</x:v>
      </x:c>
      <x:c r="F143" s="56" t="str">
        <x:v>anticoagulant</x:v>
      </x:c>
      <x:c r="G143" s="56" t="n">
        <x:v>8</x:v>
      </x:c>
      <x:c r="H143" s="56" t="str">
        <x:v>普通得分项</x:v>
      </x:c>
      <x:c r="I143" s="56" t="str">
        <x:v>否</x:v>
      </x:c>
      <x:c r="J143" s="56" t="str">
        <x:v>否</x:v>
      </x:c>
      <x:c r="K143" s="56" t="str">
        <x:v>否</x:v>
      </x:c>
      <x:c r="L143" s="56" t="str">
        <x:v>按结构化事件证据给予0/部分/满分；不能由总结反推已完成</x:v>
      </x:c>
      <x:c r="M143" s="56" t="str"/>
      <x:c r="N143" s="56" t="n">
        <x:f>SUMIFS($G$4:$G$1673,$A$4:$A$1673,A143)</x:f>
        <x:v>360</x:v>
      </x:c>
      <x:c r="O143" s="56" t="str">
        <x:f>IF(N143=360,"通过","失败")</x:f>
        <x:v>通过</x:v>
      </x:c>
      <x:c r="P143" s="56" t="str"/>
      <x:c r="Q143" s="59" t="str">
        <x:v>待确认</x:v>
      </x:c>
    </x:row>
    <x:row r="144">
      <x:c r="A144" s="56" t="str">
        <x:v>P004</x:v>
      </x:c>
      <x:c r="B144" s="56" t="str">
        <x:v>P004</x:v>
      </x:c>
      <x:c r="C144" s="56" t="str">
        <x:v>risk</x:v>
      </x:c>
      <x:c r="D144" s="56" t="n">
        <x:v>40</x:v>
      </x:c>
      <x:c r="E144" s="56" t="str">
        <x:v>risk.antiplatelet</x:v>
      </x:c>
      <x:c r="F144" s="56" t="str">
        <x:v>antiplatelet</x:v>
      </x:c>
      <x:c r="G144" s="56" t="n">
        <x:v>8</x:v>
      </x:c>
      <x:c r="H144" s="56" t="str">
        <x:v>普通得分项</x:v>
      </x:c>
      <x:c r="I144" s="56" t="str">
        <x:v>否</x:v>
      </x:c>
      <x:c r="J144" s="56" t="str">
        <x:v>否</x:v>
      </x:c>
      <x:c r="K144" s="56" t="str">
        <x:v>否</x:v>
      </x:c>
      <x:c r="L144" s="56" t="str">
        <x:v>按结构化事件证据给予0/部分/满分；不能由总结反推已完成</x:v>
      </x:c>
      <x:c r="M144" s="56" t="str"/>
      <x:c r="N144" s="56" t="n">
        <x:f>SUMIFS($G$4:$G$1673,$A$4:$A$1673,A144)</x:f>
        <x:v>360</x:v>
      </x:c>
      <x:c r="O144" s="56" t="str">
        <x:f>IF(N144=360,"通过","失败")</x:f>
        <x:v>通过</x:v>
      </x:c>
      <x:c r="P144" s="56" t="str"/>
      <x:c r="Q144" s="59" t="str">
        <x:v>待确认</x:v>
      </x:c>
    </x:row>
    <x:row r="145">
      <x:c r="A145" s="56" t="str">
        <x:v>P004</x:v>
      </x:c>
      <x:c r="B145" s="56" t="str">
        <x:v>P004</x:v>
      </x:c>
      <x:c r="C145" s="56" t="str">
        <x:v>exam</x:v>
      </x:c>
      <x:c r="D145" s="56" t="n">
        <x:v>35</x:v>
      </x:c>
      <x:c r="E145" s="56" t="str">
        <x:v>exam.temperature</x:v>
      </x:c>
      <x:c r="F145" s="56" t="str">
        <x:v>体温</x:v>
      </x:c>
      <x:c r="G145" s="56" t="n">
        <x:v>12</x:v>
      </x:c>
      <x:c r="H145" s="56" t="str">
        <x:v>普通得分项</x:v>
      </x:c>
      <x:c r="I145" s="56" t="str">
        <x:v>否</x:v>
      </x:c>
      <x:c r="J145" s="56" t="str">
        <x:v>否</x:v>
      </x:c>
      <x:c r="K145" s="56" t="str">
        <x:v>否</x:v>
      </x:c>
      <x:c r="L145" s="56" t="str">
        <x:v>按结构化事件证据给予0/部分/满分；不能由总结反推已完成</x:v>
      </x:c>
      <x:c r="M145" s="56" t="str"/>
      <x:c r="N145" s="56" t="n">
        <x:f>SUMIFS($G$4:$G$1673,$A$4:$A$1673,A145)</x:f>
        <x:v>360</x:v>
      </x:c>
      <x:c r="O145" s="56" t="str">
        <x:f>IF(N145=360,"通过","失败")</x:f>
        <x:v>通过</x:v>
      </x:c>
      <x:c r="P145" s="56" t="str"/>
      <x:c r="Q145" s="59" t="str">
        <x:v>待确认</x:v>
      </x:c>
    </x:row>
    <x:row r="146">
      <x:c r="A146" s="56" t="str">
        <x:v>P004</x:v>
      </x:c>
      <x:c r="B146" s="56" t="str">
        <x:v>P004</x:v>
      </x:c>
      <x:c r="C146" s="56" t="str">
        <x:v>exam</x:v>
      </x:c>
      <x:c r="D146" s="56" t="n">
        <x:v>35</x:v>
      </x:c>
      <x:c r="E146" s="56" t="str">
        <x:v>exam.blood_pressure</x:v>
      </x:c>
      <x:c r="F146" s="56" t="str">
        <x:v>血压</x:v>
      </x:c>
      <x:c r="G146" s="56" t="n">
        <x:v>12</x:v>
      </x:c>
      <x:c r="H146" s="56" t="str">
        <x:v>普通得分项</x:v>
      </x:c>
      <x:c r="I146" s="56" t="str">
        <x:v>否</x:v>
      </x:c>
      <x:c r="J146" s="56" t="str">
        <x:v>否</x:v>
      </x:c>
      <x:c r="K146" s="56" t="str">
        <x:v>否</x:v>
      </x:c>
      <x:c r="L146" s="56" t="str">
        <x:v>按结构化事件证据给予0/部分/满分；不能由总结反推已完成</x:v>
      </x:c>
      <x:c r="M146" s="56" t="str"/>
      <x:c r="N146" s="56" t="n">
        <x:f>SUMIFS($G$4:$G$1673,$A$4:$A$1673,A146)</x:f>
        <x:v>360</x:v>
      </x:c>
      <x:c r="O146" s="56" t="str">
        <x:f>IF(N146=360,"通过","失败")</x:f>
        <x:v>通过</x:v>
      </x:c>
      <x:c r="P146" s="56" t="str"/>
      <x:c r="Q146" s="59" t="str">
        <x:v>待确认</x:v>
      </x:c>
    </x:row>
    <x:row r="147">
      <x:c r="A147" s="56" t="str">
        <x:v>P004</x:v>
      </x:c>
      <x:c r="B147" s="56" t="str">
        <x:v>P004</x:v>
      </x:c>
      <x:c r="C147" s="56" t="str">
        <x:v>exam</x:v>
      </x:c>
      <x:c r="D147" s="56" t="n">
        <x:v>35</x:v>
      </x:c>
      <x:c r="E147" s="56" t="str">
        <x:v>exam.targeted</x:v>
      </x:c>
      <x:c r="F147" s="56" t="str">
        <x:v>病例针对性查体</x:v>
      </x:c>
      <x:c r="G147" s="56" t="n">
        <x:v>11</x:v>
      </x:c>
      <x:c r="H147" s="56" t="str">
        <x:v>普通得分项</x:v>
      </x:c>
      <x:c r="I147" s="56" t="str">
        <x:v>否</x:v>
      </x:c>
      <x:c r="J147" s="56" t="str">
        <x:v>否</x:v>
      </x:c>
      <x:c r="K147" s="56" t="str">
        <x:v>否</x:v>
      </x:c>
      <x:c r="L147" s="56" t="str">
        <x:v>按结构化事件证据给予0/部分/满分；不能由总结反推已完成</x:v>
      </x:c>
      <x:c r="M147" s="56" t="str"/>
      <x:c r="N147" s="56" t="n">
        <x:f>SUMIFS($G$4:$G$1673,$A$4:$A$1673,A147)</x:f>
        <x:v>360</x:v>
      </x:c>
      <x:c r="O147" s="56" t="str">
        <x:f>IF(N147=360,"通过","失败")</x:f>
        <x:v>通过</x:v>
      </x:c>
      <x:c r="P147" s="56" t="str"/>
      <x:c r="Q147" s="59" t="str">
        <x:v>待确认</x:v>
      </x:c>
    </x:row>
    <x:row r="148">
      <x:c r="A148" s="56" t="str">
        <x:v>P004</x:v>
      </x:c>
      <x:c r="B148" s="56" t="str">
        <x:v>P004</x:v>
      </x:c>
      <x:c r="C148" s="56" t="str">
        <x:v>diagnosis</x:v>
      </x:c>
      <x:c r="D148" s="56" t="n">
        <x:v>45</x:v>
      </x:c>
      <x:c r="E148" s="56" t="str">
        <x:v>diagnosis.primary</x:v>
      </x:c>
      <x:c r="F148" s="56" t="str">
        <x:v>最可能诊断及依据</x:v>
      </x:c>
      <x:c r="G148" s="56" t="n">
        <x:v>15</x:v>
      </x:c>
      <x:c r="H148" s="56" t="str">
        <x:v>普通得分项</x:v>
      </x:c>
      <x:c r="I148" s="56" t="str">
        <x:v>否</x:v>
      </x:c>
      <x:c r="J148" s="56" t="str">
        <x:v>否</x:v>
      </x:c>
      <x:c r="K148" s="56" t="str">
        <x:v>否</x:v>
      </x:c>
      <x:c r="L148" s="56" t="str">
        <x:v>按结构化事件证据给予0/部分/满分；不能由总结反推已完成</x:v>
      </x:c>
      <x:c r="M148" s="56" t="str"/>
      <x:c r="N148" s="56" t="n">
        <x:f>SUMIFS($G$4:$G$1673,$A$4:$A$1673,A148)</x:f>
        <x:v>360</x:v>
      </x:c>
      <x:c r="O148" s="56" t="str">
        <x:f>IF(N148=360,"通过","失败")</x:f>
        <x:v>通过</x:v>
      </x:c>
      <x:c r="P148" s="56" t="str"/>
      <x:c r="Q148" s="59" t="str">
        <x:v>待确认</x:v>
      </x:c>
    </x:row>
    <x:row r="149">
      <x:c r="A149" s="56" t="str">
        <x:v>P004</x:v>
      </x:c>
      <x:c r="B149" s="56" t="str">
        <x:v>P004</x:v>
      </x:c>
      <x:c r="C149" s="56" t="str">
        <x:v>diagnosis</x:v>
      </x:c>
      <x:c r="D149" s="56" t="n">
        <x:v>45</x:v>
      </x:c>
      <x:c r="E149" s="56" t="str">
        <x:v>diagnosis.differentials</x:v>
      </x:c>
      <x:c r="F149" s="56" t="str">
        <x:v>至少3项鉴别及支持/反对点</x:v>
      </x:c>
      <x:c r="G149" s="56" t="n">
        <x:v>15</x:v>
      </x:c>
      <x:c r="H149" s="56" t="str">
        <x:v>普通得分项</x:v>
      </x:c>
      <x:c r="I149" s="56" t="str">
        <x:v>否</x:v>
      </x:c>
      <x:c r="J149" s="56" t="str">
        <x:v>否</x:v>
      </x:c>
      <x:c r="K149" s="56" t="str">
        <x:v>否</x:v>
      </x:c>
      <x:c r="L149" s="56" t="str">
        <x:v>按结构化事件证据给予0/部分/满分；不能由总结反推已完成</x:v>
      </x:c>
      <x:c r="M149" s="56" t="str"/>
      <x:c r="N149" s="56" t="n">
        <x:f>SUMIFS($G$4:$G$1673,$A$4:$A$1673,A149)</x:f>
        <x:v>360</x:v>
      </x:c>
      <x:c r="O149" s="56" t="str">
        <x:f>IF(N149=360,"通过","失败")</x:f>
        <x:v>通过</x:v>
      </x:c>
      <x:c r="P149" s="56" t="str"/>
      <x:c r="Q149" s="59" t="str">
        <x:v>待确认</x:v>
      </x:c>
    </x:row>
    <x:row r="150">
      <x:c r="A150" s="56" t="str">
        <x:v>P004</x:v>
      </x:c>
      <x:c r="B150" s="56" t="str">
        <x:v>P004</x:v>
      </x:c>
      <x:c r="C150" s="56" t="str">
        <x:v>diagnosis</x:v>
      </x:c>
      <x:c r="D150" s="56" t="n">
        <x:v>45</x:v>
      </x:c>
      <x:c r="E150" s="56" t="str">
        <x:v>diagnosis.confirmation</x:v>
      </x:c>
      <x:c r="F150" s="56" t="str">
        <x:v>确认计划</x:v>
      </x:c>
      <x:c r="G150" s="56" t="n">
        <x:v>15</x:v>
      </x:c>
      <x:c r="H150" s="56" t="str">
        <x:v>普通得分项</x:v>
      </x:c>
      <x:c r="I150" s="56" t="str">
        <x:v>否</x:v>
      </x:c>
      <x:c r="J150" s="56" t="str">
        <x:v>否</x:v>
      </x:c>
      <x:c r="K150" s="56" t="str">
        <x:v>否</x:v>
      </x:c>
      <x:c r="L150" s="56" t="str">
        <x:v>按结构化事件证据给予0/部分/满分；不能由总结反推已完成</x:v>
      </x:c>
      <x:c r="M150" s="56" t="str"/>
      <x:c r="N150" s="56" t="n">
        <x:f>SUMIFS($G$4:$G$1673,$A$4:$A$1673,A150)</x:f>
        <x:v>360</x:v>
      </x:c>
      <x:c r="O150" s="56" t="str">
        <x:f>IF(N150=360,"通过","失败")</x:f>
        <x:v>通过</x:v>
      </x:c>
      <x:c r="P150" s="56" t="str"/>
      <x:c r="Q150" s="59" t="str">
        <x:v>待确认</x:v>
      </x:c>
    </x:row>
    <x:row r="151">
      <x:c r="A151" s="56" t="str">
        <x:v>P004</x:v>
      </x:c>
      <x:c r="B151" s="56" t="str">
        <x:v>P004</x:v>
      </x:c>
      <x:c r="C151" s="56" t="str">
        <x:v>orders</x:v>
      </x:c>
      <x:c r="D151" s="56" t="n">
        <x:v>55</x:v>
      </x:c>
      <x:c r="E151" s="56" t="str">
        <x:v>orders.LAB-UR-001</x:v>
      </x:c>
      <x:c r="F151" s="56" t="str">
        <x:v>LAB-UR-001</x:v>
      </x:c>
      <x:c r="G151" s="56" t="n">
        <x:v>10</x:v>
      </x:c>
      <x:c r="H151" s="56" t="str">
        <x:v>病例特异得分项</x:v>
      </x:c>
      <x:c r="I151" s="56" t="str">
        <x:v>否</x:v>
      </x:c>
      <x:c r="J151" s="56" t="str">
        <x:v>否</x:v>
      </x:c>
      <x:c r="K151" s="56" t="str">
        <x:v>否</x:v>
      </x:c>
      <x:c r="L151" s="56" t="str">
        <x:v>按结构化事件证据给予0/部分/满分；不能由总结反推已完成</x:v>
      </x:c>
      <x:c r="M151" s="56" t="str"/>
      <x:c r="N151" s="56" t="n">
        <x:f>SUMIFS($G$4:$G$1673,$A$4:$A$1673,A151)</x:f>
        <x:v>360</x:v>
      </x:c>
      <x:c r="O151" s="56" t="str">
        <x:f>IF(N151=360,"通过","失败")</x:f>
        <x:v>通过</x:v>
      </x:c>
      <x:c r="P151" s="56" t="str"/>
      <x:c r="Q151" s="59" t="str">
        <x:v>待确认</x:v>
      </x:c>
    </x:row>
    <x:row r="152">
      <x:c r="A152" s="56" t="str">
        <x:v>P004</x:v>
      </x:c>
      <x:c r="B152" s="56" t="str">
        <x:v>P004</x:v>
      </x:c>
      <x:c r="C152" s="56" t="str">
        <x:v>orders</x:v>
      </x:c>
      <x:c r="D152" s="56" t="n">
        <x:v>55</x:v>
      </x:c>
      <x:c r="E152" s="56" t="str">
        <x:v>orders.LAB-UR-002</x:v>
      </x:c>
      <x:c r="F152" s="56" t="str">
        <x:v>LAB-UR-002</x:v>
      </x:c>
      <x:c r="G152" s="56" t="n">
        <x:v>9</x:v>
      </x:c>
      <x:c r="H152" s="56" t="str">
        <x:v>病例特异得分项</x:v>
      </x:c>
      <x:c r="I152" s="56" t="str">
        <x:v>否</x:v>
      </x:c>
      <x:c r="J152" s="56" t="str">
        <x:v>否</x:v>
      </x:c>
      <x:c r="K152" s="56" t="str">
        <x:v>否</x:v>
      </x:c>
      <x:c r="L152" s="56" t="str">
        <x:v>按结构化事件证据给予0/部分/满分；不能由总结反推已完成</x:v>
      </x:c>
      <x:c r="M152" s="56" t="str"/>
      <x:c r="N152" s="56" t="n">
        <x:f>SUMIFS($G$4:$G$1673,$A$4:$A$1673,A152)</x:f>
        <x:v>360</x:v>
      </x:c>
      <x:c r="O152" s="56" t="str">
        <x:f>IF(N152=360,"通过","失败")</x:f>
        <x:v>通过</x:v>
      </x:c>
      <x:c r="P152" s="56" t="str"/>
      <x:c r="Q152" s="59" t="str">
        <x:v>待确认</x:v>
      </x:c>
    </x:row>
    <x:row r="153">
      <x:c r="A153" s="56" t="str">
        <x:v>P004</x:v>
      </x:c>
      <x:c r="B153" s="56" t="str">
        <x:v>P004</x:v>
      </x:c>
      <x:c r="C153" s="56" t="str">
        <x:v>orders</x:v>
      </x:c>
      <x:c r="D153" s="56" t="n">
        <x:v>55</x:v>
      </x:c>
      <x:c r="E153" s="56" t="str">
        <x:v>orders.LAB-UR-006</x:v>
      </x:c>
      <x:c r="F153" s="56" t="str">
        <x:v>LAB-UR-006</x:v>
      </x:c>
      <x:c r="G153" s="56" t="n">
        <x:v>9</x:v>
      </x:c>
      <x:c r="H153" s="56" t="str">
        <x:v>病例特异得分项</x:v>
      </x:c>
      <x:c r="I153" s="56" t="str">
        <x:v>否</x:v>
      </x:c>
      <x:c r="J153" s="56" t="str">
        <x:v>否</x:v>
      </x:c>
      <x:c r="K153" s="56" t="str">
        <x:v>否</x:v>
      </x:c>
      <x:c r="L153" s="56" t="str">
        <x:v>按结构化事件证据给予0/部分/满分；不能由总结反推已完成</x:v>
      </x:c>
      <x:c r="M153" s="56" t="str"/>
      <x:c r="N153" s="56" t="n">
        <x:f>SUMIFS($G$4:$G$1673,$A$4:$A$1673,A153)</x:f>
        <x:v>360</x:v>
      </x:c>
      <x:c r="O153" s="56" t="str">
        <x:f>IF(N153=360,"通过","失败")</x:f>
        <x:v>通过</x:v>
      </x:c>
      <x:c r="P153" s="56" t="str"/>
      <x:c r="Q153" s="59" t="str">
        <x:v>待确认</x:v>
      </x:c>
    </x:row>
    <x:row r="154">
      <x:c r="A154" s="56" t="str">
        <x:v>P004</x:v>
      </x:c>
      <x:c r="B154" s="56" t="str">
        <x:v>P004</x:v>
      </x:c>
      <x:c r="C154" s="56" t="str">
        <x:v>orders</x:v>
      </x:c>
      <x:c r="D154" s="56" t="n">
        <x:v>55</x:v>
      </x:c>
      <x:c r="E154" s="56" t="str">
        <x:v>orders.LAB-BL-003</x:v>
      </x:c>
      <x:c r="F154" s="56" t="str">
        <x:v>LAB-BL-003</x:v>
      </x:c>
      <x:c r="G154" s="56" t="n">
        <x:v>9</x:v>
      </x:c>
      <x:c r="H154" s="56" t="str">
        <x:v>病例特异得分项</x:v>
      </x:c>
      <x:c r="I154" s="56" t="str">
        <x:v>否</x:v>
      </x:c>
      <x:c r="J154" s="56" t="str">
        <x:v>否</x:v>
      </x:c>
      <x:c r="K154" s="56" t="str">
        <x:v>否</x:v>
      </x:c>
      <x:c r="L154" s="56" t="str">
        <x:v>按结构化事件证据给予0/部分/满分；不能由总结反推已完成</x:v>
      </x:c>
      <x:c r="M154" s="56" t="str"/>
      <x:c r="N154" s="56" t="n">
        <x:f>SUMIFS($G$4:$G$1673,$A$4:$A$1673,A154)</x:f>
        <x:v>360</x:v>
      </x:c>
      <x:c r="O154" s="56" t="str">
        <x:f>IF(N154=360,"通过","失败")</x:f>
        <x:v>通过</x:v>
      </x:c>
      <x:c r="P154" s="56" t="str"/>
      <x:c r="Q154" s="59" t="str">
        <x:v>待确认</x:v>
      </x:c>
    </x:row>
    <x:row r="155">
      <x:c r="A155" s="56" t="str">
        <x:v>P004</x:v>
      </x:c>
      <x:c r="B155" s="56" t="str">
        <x:v>P004</x:v>
      </x:c>
      <x:c r="C155" s="56" t="str">
        <x:v>orders</x:v>
      </x:c>
      <x:c r="D155" s="56" t="n">
        <x:v>55</x:v>
      </x:c>
      <x:c r="E155" s="56" t="str">
        <x:v>orders.IMG-CT-002</x:v>
      </x:c>
      <x:c r="F155" s="56" t="str">
        <x:v>IMG-CT-002</x:v>
      </x:c>
      <x:c r="G155" s="56" t="n">
        <x:v>9</x:v>
      </x:c>
      <x:c r="H155" s="56" t="str">
        <x:v>病例特异得分项</x:v>
      </x:c>
      <x:c r="I155" s="56" t="str">
        <x:v>否</x:v>
      </x:c>
      <x:c r="J155" s="56" t="str">
        <x:v>否</x:v>
      </x:c>
      <x:c r="K155" s="56" t="str">
        <x:v>否</x:v>
      </x:c>
      <x:c r="L155" s="56" t="str">
        <x:v>按结构化事件证据给予0/部分/满分；不能由总结反推已完成</x:v>
      </x:c>
      <x:c r="M155" s="56" t="str"/>
      <x:c r="N155" s="56" t="n">
        <x:f>SUMIFS($G$4:$G$1673,$A$4:$A$1673,A155)</x:f>
        <x:v>360</x:v>
      </x:c>
      <x:c r="O155" s="56" t="str">
        <x:f>IF(N155=360,"通过","失败")</x:f>
        <x:v>通过</x:v>
      </x:c>
      <x:c r="P155" s="56" t="str"/>
      <x:c r="Q155" s="59" t="str">
        <x:v>待确认</x:v>
      </x:c>
    </x:row>
    <x:row r="156">
      <x:c r="A156" s="56" t="str">
        <x:v>P004</x:v>
      </x:c>
      <x:c r="B156" s="56" t="str">
        <x:v>P004</x:v>
      </x:c>
      <x:c r="C156" s="56" t="str">
        <x:v>orders</x:v>
      </x:c>
      <x:c r="D156" s="56" t="n">
        <x:v>55</x:v>
      </x:c>
      <x:c r="E156" s="56" t="str">
        <x:v>orders.END-001</x:v>
      </x:c>
      <x:c r="F156" s="56" t="str">
        <x:v>END-001</x:v>
      </x:c>
      <x:c r="G156" s="56" t="n">
        <x:v>9</x:v>
      </x:c>
      <x:c r="H156" s="56" t="str">
        <x:v>病例特异得分项</x:v>
      </x:c>
      <x:c r="I156" s="56" t="str">
        <x:v>否</x:v>
      </x:c>
      <x:c r="J156" s="56" t="str">
        <x:v>否</x:v>
      </x:c>
      <x:c r="K156" s="56" t="str">
        <x:v>否</x:v>
      </x:c>
      <x:c r="L156" s="56" t="str">
        <x:v>按结构化事件证据给予0/部分/满分；不能由总结反推已完成</x:v>
      </x:c>
      <x:c r="M156" s="56" t="str"/>
      <x:c r="N156" s="56" t="n">
        <x:f>SUMIFS($G$4:$G$1673,$A$4:$A$1673,A156)</x:f>
        <x:v>360</x:v>
      </x:c>
      <x:c r="O156" s="56" t="str">
        <x:f>IF(N156=360,"通过","失败")</x:f>
        <x:v>通过</x:v>
      </x:c>
      <x:c r="P156" s="56" t="str"/>
      <x:c r="Q156" s="59" t="str">
        <x:v>待确认</x:v>
      </x:c>
    </x:row>
    <x:row r="157">
      <x:c r="A157" s="56" t="str">
        <x:v>P004</x:v>
      </x:c>
      <x:c r="B157" s="56" t="str">
        <x:v>P004</x:v>
      </x:c>
      <x:c r="C157" s="56" t="str">
        <x:v>mdt</x:v>
      </x:c>
      <x:c r="D157" s="56" t="n">
        <x:v>45</x:v>
      </x:c>
      <x:c r="E157" s="56" t="str">
        <x:v>mdt.department</x:v>
      </x:c>
      <x:c r="F157" s="56" t="str">
        <x:v>department</x:v>
      </x:c>
      <x:c r="G157" s="56" t="n">
        <x:v>12</x:v>
      </x:c>
      <x:c r="H157" s="56" t="str">
        <x:v>病例特异得分项</x:v>
      </x:c>
      <x:c r="I157" s="56" t="str">
        <x:v>否</x:v>
      </x:c>
      <x:c r="J157" s="56" t="str">
        <x:v>否</x:v>
      </x:c>
      <x:c r="K157" s="56" t="str">
        <x:v>否</x:v>
      </x:c>
      <x:c r="L157" s="56" t="str">
        <x:v>按结构化事件证据给予0/部分/满分；不能由总结反推已完成</x:v>
      </x:c>
      <x:c r="M157" s="56" t="str"/>
      <x:c r="N157" s="56" t="n">
        <x:f>SUMIFS($G$4:$G$1673,$A$4:$A$1673,A157)</x:f>
        <x:v>360</x:v>
      </x:c>
      <x:c r="O157" s="56" t="str">
        <x:f>IF(N157=360,"通过","失败")</x:f>
        <x:v>通过</x:v>
      </x:c>
      <x:c r="P157" s="56" t="str"/>
      <x:c r="Q157" s="59" t="str">
        <x:v>待确认</x:v>
      </x:c>
    </x:row>
    <x:row r="158">
      <x:c r="A158" s="56" t="str">
        <x:v>P004</x:v>
      </x:c>
      <x:c r="B158" s="56" t="str">
        <x:v>P004</x:v>
      </x:c>
      <x:c r="C158" s="56" t="str">
        <x:v>mdt</x:v>
      </x:c>
      <x:c r="D158" s="56" t="n">
        <x:v>45</x:v>
      </x:c>
      <x:c r="E158" s="56" t="str">
        <x:v>mdt.trigger</x:v>
      </x:c>
      <x:c r="F158" s="56" t="str">
        <x:v>trigger</x:v>
      </x:c>
      <x:c r="G158" s="56" t="n">
        <x:v>11</x:v>
      </x:c>
      <x:c r="H158" s="56" t="str">
        <x:v>病例特异得分项</x:v>
      </x:c>
      <x:c r="I158" s="56" t="str">
        <x:v>否</x:v>
      </x:c>
      <x:c r="J158" s="56" t="str">
        <x:v>否</x:v>
      </x:c>
      <x:c r="K158" s="56" t="str">
        <x:v>否</x:v>
      </x:c>
      <x:c r="L158" s="56" t="str">
        <x:v>按结构化事件证据给予0/部分/满分；不能由总结反推已完成</x:v>
      </x:c>
      <x:c r="M158" s="56" t="str"/>
      <x:c r="N158" s="56" t="n">
        <x:f>SUMIFS($G$4:$G$1673,$A$4:$A$1673,A158)</x:f>
        <x:v>360</x:v>
      </x:c>
      <x:c r="O158" s="56" t="str">
        <x:f>IF(N158=360,"通过","失败")</x:f>
        <x:v>通过</x:v>
      </x:c>
      <x:c r="P158" s="56" t="str"/>
      <x:c r="Q158" s="59" t="str">
        <x:v>待确认</x:v>
      </x:c>
    </x:row>
    <x:row r="159">
      <x:c r="A159" s="56" t="str">
        <x:v>P004</x:v>
      </x:c>
      <x:c r="B159" s="56" t="str">
        <x:v>P004</x:v>
      </x:c>
      <x:c r="C159" s="56" t="str">
        <x:v>mdt</x:v>
      </x:c>
      <x:c r="D159" s="56" t="n">
        <x:v>45</x:v>
      </x:c>
      <x:c r="E159" s="56" t="str">
        <x:v>mdt.question</x:v>
      </x:c>
      <x:c r="F159" s="56" t="str">
        <x:v>question</x:v>
      </x:c>
      <x:c r="G159" s="56" t="n">
        <x:v>11</x:v>
      </x:c>
      <x:c r="H159" s="56" t="str">
        <x:v>病例特异得分项</x:v>
      </x:c>
      <x:c r="I159" s="56" t="str">
        <x:v>否</x:v>
      </x:c>
      <x:c r="J159" s="56" t="str">
        <x:v>否</x:v>
      </x:c>
      <x:c r="K159" s="56" t="str">
        <x:v>否</x:v>
      </x:c>
      <x:c r="L159" s="56" t="str">
        <x:v>按结构化事件证据给予0/部分/满分；不能由总结反推已完成</x:v>
      </x:c>
      <x:c r="M159" s="56" t="str"/>
      <x:c r="N159" s="56" t="n">
        <x:f>SUMIFS($G$4:$G$1673,$A$4:$A$1673,A159)</x:f>
        <x:v>360</x:v>
      </x:c>
      <x:c r="O159" s="56" t="str">
        <x:f>IF(N159=360,"通过","失败")</x:f>
        <x:v>通过</x:v>
      </x:c>
      <x:c r="P159" s="56" t="str"/>
      <x:c r="Q159" s="59" t="str">
        <x:v>待确认</x:v>
      </x:c>
    </x:row>
    <x:row r="160">
      <x:c r="A160" s="56" t="str">
        <x:v>P004</x:v>
      </x:c>
      <x:c r="B160" s="56" t="str">
        <x:v>P004</x:v>
      </x:c>
      <x:c r="C160" s="56" t="str">
        <x:v>mdt</x:v>
      </x:c>
      <x:c r="D160" s="56" t="n">
        <x:v>45</x:v>
      </x:c>
      <x:c r="E160" s="56" t="str">
        <x:v>mdt.evidence</x:v>
      </x:c>
      <x:c r="F160" s="56" t="str">
        <x:v>evidence</x:v>
      </x:c>
      <x:c r="G160" s="56" t="n">
        <x:v>11</x:v>
      </x:c>
      <x:c r="H160" s="56" t="str">
        <x:v>病例特异得分项</x:v>
      </x:c>
      <x:c r="I160" s="56" t="str">
        <x:v>否</x:v>
      </x:c>
      <x:c r="J160" s="56" t="str">
        <x:v>否</x:v>
      </x:c>
      <x:c r="K160" s="56" t="str">
        <x:v>否</x:v>
      </x:c>
      <x:c r="L160" s="56" t="str">
        <x:v>按结构化事件证据给予0/部分/满分；不能由总结反推已完成</x:v>
      </x:c>
      <x:c r="M160" s="56" t="str"/>
      <x:c r="N160" s="56" t="n">
        <x:f>SUMIFS($G$4:$G$1673,$A$4:$A$1673,A160)</x:f>
        <x:v>360</x:v>
      </x:c>
      <x:c r="O160" s="56" t="str">
        <x:f>IF(N160=360,"通过","失败")</x:f>
        <x:v>通过</x:v>
      </x:c>
      <x:c r="P160" s="56" t="str"/>
      <x:c r="Q160" s="59" t="str">
        <x:v>待确认</x:v>
      </x:c>
    </x:row>
    <x:row r="161">
      <x:c r="A161" s="56" t="str">
        <x:v>P004</x:v>
      </x:c>
      <x:c r="B161" s="56" t="str">
        <x:v>P004</x:v>
      </x:c>
      <x:c r="C161" s="56" t="str">
        <x:v>treatment</x:v>
      </x:c>
      <x:c r="D161" s="56" t="n">
        <x:v>50</x:v>
      </x:c>
      <x:c r="E161" s="56" t="str">
        <x:v>treatment.immediate</x:v>
      </x:c>
      <x:c r="F161" s="56" t="str">
        <x:v>immediate</x:v>
      </x:c>
      <x:c r="G161" s="56" t="n">
        <x:v>13</x:v>
      </x:c>
      <x:c r="H161" s="56" t="str">
        <x:v>病例特异得分项</x:v>
      </x:c>
      <x:c r="I161" s="56" t="str">
        <x:v>否</x:v>
      </x:c>
      <x:c r="J161" s="56" t="str">
        <x:v>否</x:v>
      </x:c>
      <x:c r="K161" s="56" t="str">
        <x:v>否</x:v>
      </x:c>
      <x:c r="L161" s="56" t="str">
        <x:v>按结构化事件证据给予0/部分/满分；不能由总结反推已完成</x:v>
      </x:c>
      <x:c r="M161" s="56" t="str"/>
      <x:c r="N161" s="56" t="n">
        <x:f>SUMIFS($G$4:$G$1673,$A$4:$A$1673,A161)</x:f>
        <x:v>360</x:v>
      </x:c>
      <x:c r="O161" s="56" t="str">
        <x:f>IF(N161=360,"通过","失败")</x:f>
        <x:v>通过</x:v>
      </x:c>
      <x:c r="P161" s="56" t="str"/>
      <x:c r="Q161" s="59" t="str">
        <x:v>待确认</x:v>
      </x:c>
    </x:row>
    <x:row r="162">
      <x:c r="A162" s="56" t="str">
        <x:v>P004</x:v>
      </x:c>
      <x:c r="B162" s="56" t="str">
        <x:v>P004</x:v>
      </x:c>
      <x:c r="C162" s="56" t="str">
        <x:v>treatment</x:v>
      </x:c>
      <x:c r="D162" s="56" t="n">
        <x:v>50</x:v>
      </x:c>
      <x:c r="E162" s="56" t="str">
        <x:v>treatment.etiologic</x:v>
      </x:c>
      <x:c r="F162" s="56" t="str">
        <x:v>etiologic</x:v>
      </x:c>
      <x:c r="G162" s="56" t="n">
        <x:v>13</x:v>
      </x:c>
      <x:c r="H162" s="56" t="str">
        <x:v>病例特异得分项</x:v>
      </x:c>
      <x:c r="I162" s="56" t="str">
        <x:v>否</x:v>
      </x:c>
      <x:c r="J162" s="56" t="str">
        <x:v>否</x:v>
      </x:c>
      <x:c r="K162" s="56" t="str">
        <x:v>否</x:v>
      </x:c>
      <x:c r="L162" s="56" t="str">
        <x:v>按结构化事件证据给予0/部分/满分；不能由总结反推已完成</x:v>
      </x:c>
      <x:c r="M162" s="56" t="str"/>
      <x:c r="N162" s="56" t="n">
        <x:f>SUMIFS($G$4:$G$1673,$A$4:$A$1673,A162)</x:f>
        <x:v>360</x:v>
      </x:c>
      <x:c r="O162" s="56" t="str">
        <x:f>IF(N162=360,"通过","失败")</x:f>
        <x:v>通过</x:v>
      </x:c>
      <x:c r="P162" s="56" t="str"/>
      <x:c r="Q162" s="59" t="str">
        <x:v>待确认</x:v>
      </x:c>
    </x:row>
    <x:row r="163">
      <x:c r="A163" s="56" t="str">
        <x:v>P004</x:v>
      </x:c>
      <x:c r="B163" s="56" t="str">
        <x:v>P004</x:v>
      </x:c>
      <x:c r="C163" s="56" t="str">
        <x:v>treatment</x:v>
      </x:c>
      <x:c r="D163" s="56" t="n">
        <x:v>50</x:v>
      </x:c>
      <x:c r="E163" s="56" t="str">
        <x:v>treatment.definitive</x:v>
      </x:c>
      <x:c r="F163" s="56" t="str">
        <x:v>definitive</x:v>
      </x:c>
      <x:c r="G163" s="56" t="n">
        <x:v>12</x:v>
      </x:c>
      <x:c r="H163" s="56" t="str">
        <x:v>病例特异得分项</x:v>
      </x:c>
      <x:c r="I163" s="56" t="str">
        <x:v>否</x:v>
      </x:c>
      <x:c r="J163" s="56" t="str">
        <x:v>否</x:v>
      </x:c>
      <x:c r="K163" s="56" t="str">
        <x:v>否</x:v>
      </x:c>
      <x:c r="L163" s="56" t="str">
        <x:v>按结构化事件证据给予0/部分/满分；不能由总结反推已完成</x:v>
      </x:c>
      <x:c r="M163" s="56" t="str"/>
      <x:c r="N163" s="56" t="n">
        <x:f>SUMIFS($G$4:$G$1673,$A$4:$A$1673,A163)</x:f>
        <x:v>360</x:v>
      </x:c>
      <x:c r="O163" s="56" t="str">
        <x:f>IF(N163=360,"通过","失败")</x:f>
        <x:v>通过</x:v>
      </x:c>
      <x:c r="P163" s="56" t="str"/>
      <x:c r="Q163" s="59" t="str">
        <x:v>待确认</x:v>
      </x:c>
    </x:row>
    <x:row r="164">
      <x:c r="A164" s="56" t="str">
        <x:v>P004</x:v>
      </x:c>
      <x:c r="B164" s="56" t="str">
        <x:v>P004</x:v>
      </x:c>
      <x:c r="C164" s="56" t="str">
        <x:v>treatment</x:v>
      </x:c>
      <x:c r="D164" s="56" t="n">
        <x:v>50</x:v>
      </x:c>
      <x:c r="E164" s="56" t="str">
        <x:v>treatment.perioperative</x:v>
      </x:c>
      <x:c r="F164" s="56" t="str">
        <x:v>perioperative</x:v>
      </x:c>
      <x:c r="G164" s="56" t="n">
        <x:v>12</x:v>
      </x:c>
      <x:c r="H164" s="56" t="str">
        <x:v>病例特异得分项</x:v>
      </x:c>
      <x:c r="I164" s="56" t="str">
        <x:v>否</x:v>
      </x:c>
      <x:c r="J164" s="56" t="str">
        <x:v>否</x:v>
      </x:c>
      <x:c r="K164" s="56" t="str">
        <x:v>否</x:v>
      </x:c>
      <x:c r="L164" s="56" t="str">
        <x:v>按结构化事件证据给予0/部分/满分；不能由总结反推已完成</x:v>
      </x:c>
      <x:c r="M164" s="56" t="str"/>
      <x:c r="N164" s="56" t="n">
        <x:f>SUMIFS($G$4:$G$1673,$A$4:$A$1673,A164)</x:f>
        <x:v>360</x:v>
      </x:c>
      <x:c r="O164" s="56" t="str">
        <x:f>IF(N164=360,"通过","失败")</x:f>
        <x:v>通过</x:v>
      </x:c>
      <x:c r="P164" s="56" t="str"/>
      <x:c r="Q164" s="59" t="str">
        <x:v>待确认</x:v>
      </x:c>
    </x:row>
    <x:row r="165">
      <x:c r="A165" s="56" t="str">
        <x:v>P004</x:v>
      </x:c>
      <x:c r="B165" s="56" t="str">
        <x:v>P004</x:v>
      </x:c>
      <x:c r="C165" s="56" t="str">
        <x:v>followup</x:v>
      </x:c>
      <x:c r="D165" s="56" t="n">
        <x:v>40</x:v>
      </x:c>
      <x:c r="E165" s="56" t="str">
        <x:v>followup.plan</x:v>
      </x:c>
      <x:c r="F165" s="56" t="str">
        <x:v>随访复查</x:v>
      </x:c>
      <x:c r="G165" s="56" t="n">
        <x:v>10</x:v>
      </x:c>
      <x:c r="H165" s="56" t="str">
        <x:v>普通得分项</x:v>
      </x:c>
      <x:c r="I165" s="56" t="str">
        <x:v>否</x:v>
      </x:c>
      <x:c r="J165" s="56" t="str">
        <x:v>否</x:v>
      </x:c>
      <x:c r="K165" s="56" t="str">
        <x:v>否</x:v>
      </x:c>
      <x:c r="L165" s="56" t="str">
        <x:v>按结构化事件证据给予0/部分/满分；不能由总结反推已完成</x:v>
      </x:c>
      <x:c r="M165" s="56" t="str"/>
      <x:c r="N165" s="56" t="n">
        <x:f>SUMIFS($G$4:$G$1673,$A$4:$A$1673,A165)</x:f>
        <x:v>360</x:v>
      </x:c>
      <x:c r="O165" s="56" t="str">
        <x:f>IF(N165=360,"通过","失败")</x:f>
        <x:v>通过</x:v>
      </x:c>
      <x:c r="P165" s="56" t="str"/>
      <x:c r="Q165" s="59" t="str">
        <x:v>待确认</x:v>
      </x:c>
    </x:row>
    <x:row r="166">
      <x:c r="A166" s="56" t="str">
        <x:v>P004</x:v>
      </x:c>
      <x:c r="B166" s="56" t="str">
        <x:v>P004</x:v>
      </x:c>
      <x:c r="C166" s="56" t="str">
        <x:v>followup</x:v>
      </x:c>
      <x:c r="D166" s="56" t="n">
        <x:v>40</x:v>
      </x:c>
      <x:c r="E166" s="56" t="str">
        <x:v>followup.education</x:v>
      </x:c>
      <x:c r="F166" s="56" t="str">
        <x:v>患者教育</x:v>
      </x:c>
      <x:c r="G166" s="56" t="n">
        <x:v>10</x:v>
      </x:c>
      <x:c r="H166" s="56" t="str">
        <x:v>普通得分项</x:v>
      </x:c>
      <x:c r="I166" s="56" t="str">
        <x:v>否</x:v>
      </x:c>
      <x:c r="J166" s="56" t="str">
        <x:v>否</x:v>
      </x:c>
      <x:c r="K166" s="56" t="str">
        <x:v>否</x:v>
      </x:c>
      <x:c r="L166" s="56" t="str">
        <x:v>按结构化事件证据给予0/部分/满分；不能由总结反推已完成</x:v>
      </x:c>
      <x:c r="M166" s="56" t="str"/>
      <x:c r="N166" s="56" t="n">
        <x:f>SUMIFS($G$4:$G$1673,$A$4:$A$1673,A166)</x:f>
        <x:v>360</x:v>
      </x:c>
      <x:c r="O166" s="56" t="str">
        <x:f>IF(N166=360,"通过","失败")</x:f>
        <x:v>通过</x:v>
      </x:c>
      <x:c r="P166" s="56" t="str"/>
      <x:c r="Q166" s="59" t="str">
        <x:v>待确认</x:v>
      </x:c>
    </x:row>
    <x:row r="167">
      <x:c r="A167" s="56" t="str">
        <x:v>P004</x:v>
      </x:c>
      <x:c r="B167" s="56" t="str">
        <x:v>P004</x:v>
      </x:c>
      <x:c r="C167" s="56" t="str">
        <x:v>followup</x:v>
      </x:c>
      <x:c r="D167" s="56" t="n">
        <x:v>40</x:v>
      </x:c>
      <x:c r="E167" s="56" t="str">
        <x:v>followup.reflection</x:v>
      </x:c>
      <x:c r="F167" s="56" t="str">
        <x:v>学习反思质量</x:v>
      </x:c>
      <x:c r="G167" s="56" t="n">
        <x:v>10</x:v>
      </x:c>
      <x:c r="H167" s="56" t="str">
        <x:v>普通得分项</x:v>
      </x:c>
      <x:c r="I167" s="56" t="str">
        <x:v>否</x:v>
      </x:c>
      <x:c r="J167" s="56" t="str">
        <x:v>否</x:v>
      </x:c>
      <x:c r="K167" s="56" t="str">
        <x:v>否</x:v>
      </x:c>
      <x:c r="L167" s="56" t="str">
        <x:v>按结构化事件证据给予0/部分/满分；不能由总结反推已完成</x:v>
      </x:c>
      <x:c r="M167" s="56" t="str"/>
      <x:c r="N167" s="56" t="n">
        <x:f>SUMIFS($G$4:$G$1673,$A$4:$A$1673,A167)</x:f>
        <x:v>360</x:v>
      </x:c>
      <x:c r="O167" s="56" t="str">
        <x:f>IF(N167=360,"通过","失败")</x:f>
        <x:v>通过</x:v>
      </x:c>
      <x:c r="P167" s="56" t="str"/>
      <x:c r="Q167" s="59" t="str">
        <x:v>待确认</x:v>
      </x:c>
    </x:row>
    <x:row r="168">
      <x:c r="A168" s="56" t="str">
        <x:v>P004</x:v>
      </x:c>
      <x:c r="B168" s="56" t="str">
        <x:v>P004</x:v>
      </x:c>
      <x:c r="C168" s="56" t="str">
        <x:v>followup</x:v>
      </x:c>
      <x:c r="D168" s="56" t="n">
        <x:v>40</x:v>
      </x:c>
      <x:c r="E168" s="56" t="str">
        <x:v>followup.efficiency</x:v>
      </x:c>
      <x:c r="F168" s="56" t="str">
        <x:v>操作效率</x:v>
      </x:c>
      <x:c r="G168" s="56" t="n">
        <x:v>10</x:v>
      </x:c>
      <x:c r="H168" s="56" t="str">
        <x:v>普通得分项</x:v>
      </x:c>
      <x:c r="I168" s="56" t="str">
        <x:v>否</x:v>
      </x:c>
      <x:c r="J168" s="56" t="str">
        <x:v>否</x:v>
      </x:c>
      <x:c r="K168" s="56" t="str">
        <x:v>否</x:v>
      </x:c>
      <x:c r="L168" s="56" t="str">
        <x:v>按结构化事件证据给予0/部分/满分；不能由总结反推已完成</x:v>
      </x:c>
      <x:c r="M168" s="56" t="str"/>
      <x:c r="N168" s="56" t="n">
        <x:f>SUMIFS($G$4:$G$1673,$A$4:$A$1673,A168)</x:f>
        <x:v>360</x:v>
      </x:c>
      <x:c r="O168" s="56" t="str">
        <x:f>IF(N168=360,"通过","失败")</x:f>
        <x:v>通过</x:v>
      </x:c>
      <x:c r="P168" s="56" t="str"/>
      <x:c r="Q168" s="59" t="str">
        <x:v>待确认</x:v>
      </x:c>
    </x:row>
    <x:row r="169">
      <x:c r="A169" s="56" t="str">
        <x:v>P005</x:v>
      </x:c>
      <x:c r="B169" s="56" t="str">
        <x:v>P005</x:v>
      </x:c>
      <x:c r="C169" s="56" t="str">
        <x:v>history</x:v>
      </x:c>
      <x:c r="D169" s="56" t="n">
        <x:v>50</x:v>
      </x:c>
      <x:c r="E169" s="56" t="str">
        <x:v>history.hematuria_visibility</x:v>
      </x:c>
      <x:c r="F169" s="56" t="str">
        <x:v>hematuria_visibility</x:v>
      </x:c>
      <x:c r="G169" s="56" t="n">
        <x:v>5</x:v>
      </x:c>
      <x:c r="H169" s="56" t="str">
        <x:v>普通得分项</x:v>
      </x:c>
      <x:c r="I169" s="56" t="str">
        <x:v>否</x:v>
      </x:c>
      <x:c r="J169" s="56" t="str">
        <x:v>否</x:v>
      </x:c>
      <x:c r="K169" s="56" t="str">
        <x:v>否</x:v>
      </x:c>
      <x:c r="L169" s="56" t="str">
        <x:v>按结构化事件证据给予0/部分/满分；不能由总结反推已完成</x:v>
      </x:c>
      <x:c r="M169" s="56" t="str"/>
      <x:c r="N169" s="56" t="n">
        <x:f>SUMIFS($G$4:$G$1673,$A$4:$A$1673,A169)</x:f>
        <x:v>360</x:v>
      </x:c>
      <x:c r="O169" s="56" t="str">
        <x:f>IF(N169=360,"通过","失败")</x:f>
        <x:v>通过</x:v>
      </x:c>
      <x:c r="P169" s="56" t="str"/>
      <x:c r="Q169" s="59" t="str">
        <x:v>待确认</x:v>
      </x:c>
    </x:row>
    <x:row r="170">
      <x:c r="A170" s="56" t="str">
        <x:v>P005</x:v>
      </x:c>
      <x:c r="B170" s="56" t="str">
        <x:v>P005</x:v>
      </x:c>
      <x:c r="C170" s="56" t="str">
        <x:v>history</x:v>
      </x:c>
      <x:c r="D170" s="56" t="n">
        <x:v>50</x:v>
      </x:c>
      <x:c r="E170" s="56" t="str">
        <x:v>history.hematuria_onset</x:v>
      </x:c>
      <x:c r="F170" s="56" t="str">
        <x:v>hematuria_onset</x:v>
      </x:c>
      <x:c r="G170" s="56" t="n">
        <x:v>5</x:v>
      </x:c>
      <x:c r="H170" s="56" t="str">
        <x:v>普通得分项</x:v>
      </x:c>
      <x:c r="I170" s="56" t="str">
        <x:v>否</x:v>
      </x:c>
      <x:c r="J170" s="56" t="str">
        <x:v>否</x:v>
      </x:c>
      <x:c r="K170" s="56" t="str">
        <x:v>否</x:v>
      </x:c>
      <x:c r="L170" s="56" t="str">
        <x:v>按结构化事件证据给予0/部分/满分；不能由总结反推已完成</x:v>
      </x:c>
      <x:c r="M170" s="56" t="str"/>
      <x:c r="N170" s="56" t="n">
        <x:f>SUMIFS($G$4:$G$1673,$A$4:$A$1673,A170)</x:f>
        <x:v>360</x:v>
      </x:c>
      <x:c r="O170" s="56" t="str">
        <x:f>IF(N170=360,"通过","失败")</x:f>
        <x:v>通过</x:v>
      </x:c>
      <x:c r="P170" s="56" t="str"/>
      <x:c r="Q170" s="59" t="str">
        <x:v>待确认</x:v>
      </x:c>
    </x:row>
    <x:row r="171">
      <x:c r="A171" s="56" t="str">
        <x:v>P005</x:v>
      </x:c>
      <x:c r="B171" s="56" t="str">
        <x:v>P005</x:v>
      </x:c>
      <x:c r="C171" s="56" t="str">
        <x:v>history</x:v>
      </x:c>
      <x:c r="D171" s="56" t="n">
        <x:v>50</x:v>
      </x:c>
      <x:c r="E171" s="56" t="str">
        <x:v>history.hematuria_frequency</x:v>
      </x:c>
      <x:c r="F171" s="56" t="str">
        <x:v>hematuria_frequency</x:v>
      </x:c>
      <x:c r="G171" s="56" t="n">
        <x:v>4</x:v>
      </x:c>
      <x:c r="H171" s="56" t="str">
        <x:v>普通得分项</x:v>
      </x:c>
      <x:c r="I171" s="56" t="str">
        <x:v>否</x:v>
      </x:c>
      <x:c r="J171" s="56" t="str">
        <x:v>否</x:v>
      </x:c>
      <x:c r="K171" s="56" t="str">
        <x:v>否</x:v>
      </x:c>
      <x:c r="L171" s="56" t="str">
        <x:v>按结构化事件证据给予0/部分/满分；不能由总结反推已完成</x:v>
      </x:c>
      <x:c r="M171" s="56" t="str"/>
      <x:c r="N171" s="56" t="n">
        <x:f>SUMIFS($G$4:$G$1673,$A$4:$A$1673,A171)</x:f>
        <x:v>360</x:v>
      </x:c>
      <x:c r="O171" s="56" t="str">
        <x:f>IF(N171=360,"通过","失败")</x:f>
        <x:v>通过</x:v>
      </x:c>
      <x:c r="P171" s="56" t="str"/>
      <x:c r="Q171" s="59" t="str">
        <x:v>待确认</x:v>
      </x:c>
    </x:row>
    <x:row r="172">
      <x:c r="A172" s="56" t="str">
        <x:v>P005</x:v>
      </x:c>
      <x:c r="B172" s="56" t="str">
        <x:v>P005</x:v>
      </x:c>
      <x:c r="C172" s="56" t="str">
        <x:v>history</x:v>
      </x:c>
      <x:c r="D172" s="56" t="n">
        <x:v>50</x:v>
      </x:c>
      <x:c r="E172" s="56" t="str">
        <x:v>history.hematuria_phase</x:v>
      </x:c>
      <x:c r="F172" s="56" t="str">
        <x:v>hematuria_phase</x:v>
      </x:c>
      <x:c r="G172" s="56" t="n">
        <x:v>4</x:v>
      </x:c>
      <x:c r="H172" s="56" t="str">
        <x:v>普通得分项</x:v>
      </x:c>
      <x:c r="I172" s="56" t="str">
        <x:v>否</x:v>
      </x:c>
      <x:c r="J172" s="56" t="str">
        <x:v>否</x:v>
      </x:c>
      <x:c r="K172" s="56" t="str">
        <x:v>否</x:v>
      </x:c>
      <x:c r="L172" s="56" t="str">
        <x:v>按结构化事件证据给予0/部分/满分；不能由总结反推已完成</x:v>
      </x:c>
      <x:c r="M172" s="56" t="str"/>
      <x:c r="N172" s="56" t="n">
        <x:f>SUMIFS($G$4:$G$1673,$A$4:$A$1673,A172)</x:f>
        <x:v>360</x:v>
      </x:c>
      <x:c r="O172" s="56" t="str">
        <x:f>IF(N172=360,"通过","失败")</x:f>
        <x:v>通过</x:v>
      </x:c>
      <x:c r="P172" s="56" t="str"/>
      <x:c r="Q172" s="59" t="str">
        <x:v>待确认</x:v>
      </x:c>
    </x:row>
    <x:row r="173">
      <x:c r="A173" s="56" t="str">
        <x:v>P005</x:v>
      </x:c>
      <x:c r="B173" s="56" t="str">
        <x:v>P005</x:v>
      </x:c>
      <x:c r="C173" s="56" t="str">
        <x:v>history</x:v>
      </x:c>
      <x:c r="D173" s="56" t="n">
        <x:v>50</x:v>
      </x:c>
      <x:c r="E173" s="56" t="str">
        <x:v>history.urine_color</x:v>
      </x:c>
      <x:c r="F173" s="56" t="str">
        <x:v>urine_color</x:v>
      </x:c>
      <x:c r="G173" s="56" t="n">
        <x:v>4</x:v>
      </x:c>
      <x:c r="H173" s="56" t="str">
        <x:v>普通得分项</x:v>
      </x:c>
      <x:c r="I173" s="56" t="str">
        <x:v>否</x:v>
      </x:c>
      <x:c r="J173" s="56" t="str">
        <x:v>否</x:v>
      </x:c>
      <x:c r="K173" s="56" t="str">
        <x:v>否</x:v>
      </x:c>
      <x:c r="L173" s="56" t="str">
        <x:v>按结构化事件证据给予0/部分/满分；不能由总结反推已完成</x:v>
      </x:c>
      <x:c r="M173" s="56" t="str"/>
      <x:c r="N173" s="56" t="n">
        <x:f>SUMIFS($G$4:$G$1673,$A$4:$A$1673,A173)</x:f>
        <x:v>360</x:v>
      </x:c>
      <x:c r="O173" s="56" t="str">
        <x:f>IF(N173=360,"通过","失败")</x:f>
        <x:v>通过</x:v>
      </x:c>
      <x:c r="P173" s="56" t="str"/>
      <x:c r="Q173" s="59" t="str">
        <x:v>待确认</x:v>
      </x:c>
    </x:row>
    <x:row r="174">
      <x:c r="A174" s="56" t="str">
        <x:v>P005</x:v>
      </x:c>
      <x:c r="B174" s="56" t="str">
        <x:v>P005</x:v>
      </x:c>
      <x:c r="C174" s="56" t="str">
        <x:v>history</x:v>
      </x:c>
      <x:c r="D174" s="56" t="n">
        <x:v>50</x:v>
      </x:c>
      <x:c r="E174" s="56" t="str">
        <x:v>history.clots</x:v>
      </x:c>
      <x:c r="F174" s="56" t="str">
        <x:v>clots</x:v>
      </x:c>
      <x:c r="G174" s="56" t="n">
        <x:v>4</x:v>
      </x:c>
      <x:c r="H174" s="56" t="str">
        <x:v>普通得分项</x:v>
      </x:c>
      <x:c r="I174" s="56" t="str">
        <x:v>否</x:v>
      </x:c>
      <x:c r="J174" s="56" t="str">
        <x:v>否</x:v>
      </x:c>
      <x:c r="K174" s="56" t="str">
        <x:v>否</x:v>
      </x:c>
      <x:c r="L174" s="56" t="str">
        <x:v>按结构化事件证据给予0/部分/满分；不能由总结反推已完成</x:v>
      </x:c>
      <x:c r="M174" s="56" t="str"/>
      <x:c r="N174" s="56" t="n">
        <x:f>SUMIFS($G$4:$G$1673,$A$4:$A$1673,A174)</x:f>
        <x:v>360</x:v>
      </x:c>
      <x:c r="O174" s="56" t="str">
        <x:f>IF(N174=360,"通过","失败")</x:f>
        <x:v>通过</x:v>
      </x:c>
      <x:c r="P174" s="56" t="str"/>
      <x:c r="Q174" s="59" t="str">
        <x:v>待确认</x:v>
      </x:c>
    </x:row>
    <x:row r="175">
      <x:c r="A175" s="56" t="str">
        <x:v>P005</x:v>
      </x:c>
      <x:c r="B175" s="56" t="str">
        <x:v>P005</x:v>
      </x:c>
      <x:c r="C175" s="56" t="str">
        <x:v>history</x:v>
      </x:c>
      <x:c r="D175" s="56" t="n">
        <x:v>50</x:v>
      </x:c>
      <x:c r="E175" s="56" t="str">
        <x:v>history.pain</x:v>
      </x:c>
      <x:c r="F175" s="56" t="str">
        <x:v>pain</x:v>
      </x:c>
      <x:c r="G175" s="56" t="n">
        <x:v>4</x:v>
      </x:c>
      <x:c r="H175" s="56" t="str">
        <x:v>普通得分项</x:v>
      </x:c>
      <x:c r="I175" s="56" t="str">
        <x:v>否</x:v>
      </x:c>
      <x:c r="J175" s="56" t="str">
        <x:v>否</x:v>
      </x:c>
      <x:c r="K175" s="56" t="str">
        <x:v>否</x:v>
      </x:c>
      <x:c r="L175" s="56" t="str">
        <x:v>按结构化事件证据给予0/部分/满分；不能由总结反推已完成</x:v>
      </x:c>
      <x:c r="M175" s="56" t="str"/>
      <x:c r="N175" s="56" t="n">
        <x:f>SUMIFS($G$4:$G$1673,$A$4:$A$1673,A175)</x:f>
        <x:v>360</x:v>
      </x:c>
      <x:c r="O175" s="56" t="str">
        <x:f>IF(N175=360,"通过","失败")</x:f>
        <x:v>通过</x:v>
      </x:c>
      <x:c r="P175" s="56" t="str"/>
      <x:c r="Q175" s="59" t="str">
        <x:v>待确认</x:v>
      </x:c>
    </x:row>
    <x:row r="176">
      <x:c r="A176" s="56" t="str">
        <x:v>P005</x:v>
      </x:c>
      <x:c r="B176" s="56" t="str">
        <x:v>P005</x:v>
      </x:c>
      <x:c r="C176" s="56" t="str">
        <x:v>history</x:v>
      </x:c>
      <x:c r="D176" s="56" t="n">
        <x:v>50</x:v>
      </x:c>
      <x:c r="E176" s="56" t="str">
        <x:v>history.dysuria</x:v>
      </x:c>
      <x:c r="F176" s="56" t="str">
        <x:v>dysuria</x:v>
      </x:c>
      <x:c r="G176" s="56" t="n">
        <x:v>4</x:v>
      </x:c>
      <x:c r="H176" s="56" t="str">
        <x:v>普通得分项</x:v>
      </x:c>
      <x:c r="I176" s="56" t="str">
        <x:v>否</x:v>
      </x:c>
      <x:c r="J176" s="56" t="str">
        <x:v>否</x:v>
      </x:c>
      <x:c r="K176" s="56" t="str">
        <x:v>否</x:v>
      </x:c>
      <x:c r="L176" s="56" t="str">
        <x:v>按结构化事件证据给予0/部分/满分；不能由总结反推已完成</x:v>
      </x:c>
      <x:c r="M176" s="56" t="str"/>
      <x:c r="N176" s="56" t="n">
        <x:f>SUMIFS($G$4:$G$1673,$A$4:$A$1673,A176)</x:f>
        <x:v>360</x:v>
      </x:c>
      <x:c r="O176" s="56" t="str">
        <x:f>IF(N176=360,"通过","失败")</x:f>
        <x:v>通过</x:v>
      </x:c>
      <x:c r="P176" s="56" t="str"/>
      <x:c r="Q176" s="59" t="str">
        <x:v>待确认</x:v>
      </x:c>
    </x:row>
    <x:row r="177">
      <x:c r="A177" s="56" t="str">
        <x:v>P005</x:v>
      </x:c>
      <x:c r="B177" s="56" t="str">
        <x:v>P005</x:v>
      </x:c>
      <x:c r="C177" s="56" t="str">
        <x:v>history</x:v>
      </x:c>
      <x:c r="D177" s="56" t="n">
        <x:v>50</x:v>
      </x:c>
      <x:c r="E177" s="56" t="str">
        <x:v>history.urinary_frequency</x:v>
      </x:c>
      <x:c r="F177" s="56" t="str">
        <x:v>urinary_frequency</x:v>
      </x:c>
      <x:c r="G177" s="56" t="n">
        <x:v>4</x:v>
      </x:c>
      <x:c r="H177" s="56" t="str">
        <x:v>普通得分项</x:v>
      </x:c>
      <x:c r="I177" s="56" t="str">
        <x:v>否</x:v>
      </x:c>
      <x:c r="J177" s="56" t="str">
        <x:v>否</x:v>
      </x:c>
      <x:c r="K177" s="56" t="str">
        <x:v>否</x:v>
      </x:c>
      <x:c r="L177" s="56" t="str">
        <x:v>按结构化事件证据给予0/部分/满分；不能由总结反推已完成</x:v>
      </x:c>
      <x:c r="M177" s="56" t="str"/>
      <x:c r="N177" s="56" t="n">
        <x:f>SUMIFS($G$4:$G$1673,$A$4:$A$1673,A177)</x:f>
        <x:v>360</x:v>
      </x:c>
      <x:c r="O177" s="56" t="str">
        <x:f>IF(N177=360,"通过","失败")</x:f>
        <x:v>通过</x:v>
      </x:c>
      <x:c r="P177" s="56" t="str"/>
      <x:c r="Q177" s="59" t="str">
        <x:v>待确认</x:v>
      </x:c>
    </x:row>
    <x:row r="178">
      <x:c r="A178" s="56" t="str">
        <x:v>P005</x:v>
      </x:c>
      <x:c r="B178" s="56" t="str">
        <x:v>P005</x:v>
      </x:c>
      <x:c r="C178" s="56" t="str">
        <x:v>history</x:v>
      </x:c>
      <x:c r="D178" s="56" t="n">
        <x:v>50</x:v>
      </x:c>
      <x:c r="E178" s="56" t="str">
        <x:v>history.urinary_urgency</x:v>
      </x:c>
      <x:c r="F178" s="56" t="str">
        <x:v>urinary_urgency</x:v>
      </x:c>
      <x:c r="G178" s="56" t="n">
        <x:v>4</x:v>
      </x:c>
      <x:c r="H178" s="56" t="str">
        <x:v>普通得分项</x:v>
      </x:c>
      <x:c r="I178" s="56" t="str">
        <x:v>否</x:v>
      </x:c>
      <x:c r="J178" s="56" t="str">
        <x:v>否</x:v>
      </x:c>
      <x:c r="K178" s="56" t="str">
        <x:v>否</x:v>
      </x:c>
      <x:c r="L178" s="56" t="str">
        <x:v>按结构化事件证据给予0/部分/满分；不能由总结反推已完成</x:v>
      </x:c>
      <x:c r="M178" s="56" t="str"/>
      <x:c r="N178" s="56" t="n">
        <x:f>SUMIFS($G$4:$G$1673,$A$4:$A$1673,A178)</x:f>
        <x:v>360</x:v>
      </x:c>
      <x:c r="O178" s="56" t="str">
        <x:f>IF(N178=360,"通过","失败")</x:f>
        <x:v>通过</x:v>
      </x:c>
      <x:c r="P178" s="56" t="str"/>
      <x:c r="Q178" s="59" t="str">
        <x:v>待确认</x:v>
      </x:c>
    </x:row>
    <x:row r="179">
      <x:c r="A179" s="56" t="str">
        <x:v>P005</x:v>
      </x:c>
      <x:c r="B179" s="56" t="str">
        <x:v>P005</x:v>
      </x:c>
      <x:c r="C179" s="56" t="str">
        <x:v>history</x:v>
      </x:c>
      <x:c r="D179" s="56" t="n">
        <x:v>50</x:v>
      </x:c>
      <x:c r="E179" s="56" t="str">
        <x:v>history.flank_pain</x:v>
      </x:c>
      <x:c r="F179" s="56" t="str">
        <x:v>flank_pain</x:v>
      </x:c>
      <x:c r="G179" s="56" t="n">
        <x:v>4</x:v>
      </x:c>
      <x:c r="H179" s="56" t="str">
        <x:v>普通得分项</x:v>
      </x:c>
      <x:c r="I179" s="56" t="str">
        <x:v>否</x:v>
      </x:c>
      <x:c r="J179" s="56" t="str">
        <x:v>否</x:v>
      </x:c>
      <x:c r="K179" s="56" t="str">
        <x:v>否</x:v>
      </x:c>
      <x:c r="L179" s="56" t="str">
        <x:v>按结构化事件证据给予0/部分/满分；不能由总结反推已完成</x:v>
      </x:c>
      <x:c r="M179" s="56" t="str"/>
      <x:c r="N179" s="56" t="n">
        <x:f>SUMIFS($G$4:$G$1673,$A$4:$A$1673,A179)</x:f>
        <x:v>360</x:v>
      </x:c>
      <x:c r="O179" s="56" t="str">
        <x:f>IF(N179=360,"通过","失败")</x:f>
        <x:v>通过</x:v>
      </x:c>
      <x:c r="P179" s="56" t="str"/>
      <x:c r="Q179" s="59" t="str">
        <x:v>待确认</x:v>
      </x:c>
    </x:row>
    <x:row r="180">
      <x:c r="A180" s="56" t="str">
        <x:v>P005</x:v>
      </x:c>
      <x:c r="B180" s="56" t="str">
        <x:v>P005</x:v>
      </x:c>
      <x:c r="C180" s="56" t="str">
        <x:v>history</x:v>
      </x:c>
      <x:c r="D180" s="56" t="n">
        <x:v>50</x:v>
      </x:c>
      <x:c r="E180" s="56" t="str">
        <x:v>history.fever_chills</x:v>
      </x:c>
      <x:c r="F180" s="56" t="str">
        <x:v>fever_chills</x:v>
      </x:c>
      <x:c r="G180" s="56" t="n">
        <x:v>4</x:v>
      </x:c>
      <x:c r="H180" s="56" t="str">
        <x:v>普通得分项</x:v>
      </x:c>
      <x:c r="I180" s="56" t="str">
        <x:v>否</x:v>
      </x:c>
      <x:c r="J180" s="56" t="str">
        <x:v>否</x:v>
      </x:c>
      <x:c r="K180" s="56" t="str">
        <x:v>否</x:v>
      </x:c>
      <x:c r="L180" s="56" t="str">
        <x:v>按结构化事件证据给予0/部分/满分；不能由总结反推已完成</x:v>
      </x:c>
      <x:c r="M180" s="56" t="str"/>
      <x:c r="N180" s="56" t="n">
        <x:f>SUMIFS($G$4:$G$1673,$A$4:$A$1673,A180)</x:f>
        <x:v>360</x:v>
      </x:c>
      <x:c r="O180" s="56" t="str">
        <x:f>IF(N180=360,"通过","失败")</x:f>
        <x:v>通过</x:v>
      </x:c>
      <x:c r="P180" s="56" t="str"/>
      <x:c r="Q180" s="59" t="str">
        <x:v>待确认</x:v>
      </x:c>
    </x:row>
    <x:row r="181">
      <x:c r="A181" s="56" t="str">
        <x:v>P005</x:v>
      </x:c>
      <x:c r="B181" s="56" t="str">
        <x:v>P005</x:v>
      </x:c>
      <x:c r="C181" s="56" t="str">
        <x:v>risk</x:v>
      </x:c>
      <x:c r="D181" s="56" t="n">
        <x:v>40</x:v>
      </x:c>
      <x:c r="E181" s="56" t="str">
        <x:v>risk.voiding_difficulty</x:v>
      </x:c>
      <x:c r="F181" s="56" t="str">
        <x:v>voiding_difficulty</x:v>
      </x:c>
      <x:c r="G181" s="56" t="n">
        <x:v>10</x:v>
      </x:c>
      <x:c r="H181" s="56" t="str">
        <x:v>普通得分项</x:v>
      </x:c>
      <x:c r="I181" s="56" t="str">
        <x:v>否</x:v>
      </x:c>
      <x:c r="J181" s="56" t="str">
        <x:v>否</x:v>
      </x:c>
      <x:c r="K181" s="56" t="str">
        <x:v>否</x:v>
      </x:c>
      <x:c r="L181" s="56" t="str">
        <x:v>按结构化事件证据给予0/部分/满分；不能由总结反推已完成</x:v>
      </x:c>
      <x:c r="M181" s="56" t="str"/>
      <x:c r="N181" s="56" t="n">
        <x:f>SUMIFS($G$4:$G$1673,$A$4:$A$1673,A181)</x:f>
        <x:v>360</x:v>
      </x:c>
      <x:c r="O181" s="56" t="str">
        <x:f>IF(N181=360,"通过","失败")</x:f>
        <x:v>通过</x:v>
      </x:c>
      <x:c r="P181" s="56" t="str"/>
      <x:c r="Q181" s="59" t="str">
        <x:v>待确认</x:v>
      </x:c>
    </x:row>
    <x:row r="182">
      <x:c r="A182" s="56" t="str">
        <x:v>P005</x:v>
      </x:c>
      <x:c r="B182" s="56" t="str">
        <x:v>P005</x:v>
      </x:c>
      <x:c r="C182" s="56" t="str">
        <x:v>risk</x:v>
      </x:c>
      <x:c r="D182" s="56" t="n">
        <x:v>40</x:v>
      </x:c>
      <x:c r="E182" s="56" t="str">
        <x:v>risk.retention</x:v>
      </x:c>
      <x:c r="F182" s="56" t="str">
        <x:v>retention</x:v>
      </x:c>
      <x:c r="G182" s="56" t="n">
        <x:v>10</x:v>
      </x:c>
      <x:c r="H182" s="56" t="str">
        <x:v>普通得分项</x:v>
      </x:c>
      <x:c r="I182" s="56" t="str">
        <x:v>否</x:v>
      </x:c>
      <x:c r="J182" s="56" t="str">
        <x:v>否</x:v>
      </x:c>
      <x:c r="K182" s="56" t="str">
        <x:v>否</x:v>
      </x:c>
      <x:c r="L182" s="56" t="str">
        <x:v>按结构化事件证据给予0/部分/满分；不能由总结反推已完成</x:v>
      </x:c>
      <x:c r="M182" s="56" t="str"/>
      <x:c r="N182" s="56" t="n">
        <x:f>SUMIFS($G$4:$G$1673,$A$4:$A$1673,A182)</x:f>
        <x:v>360</x:v>
      </x:c>
      <x:c r="O182" s="56" t="str">
        <x:f>IF(N182=360,"通过","失败")</x:f>
        <x:v>通过</x:v>
      </x:c>
      <x:c r="P182" s="56" t="str"/>
      <x:c r="Q182" s="59" t="str">
        <x:v>待确认</x:v>
      </x:c>
    </x:row>
    <x:row r="183">
      <x:c r="A183" s="56" t="str">
        <x:v>P005</x:v>
      </x:c>
      <x:c r="B183" s="56" t="str">
        <x:v>P005</x:v>
      </x:c>
      <x:c r="C183" s="56" t="str">
        <x:v>risk</x:v>
      </x:c>
      <x:c r="D183" s="56" t="n">
        <x:v>40</x:v>
      </x:c>
      <x:c r="E183" s="56" t="str">
        <x:v>risk.medications</x:v>
      </x:c>
      <x:c r="F183" s="56" t="str">
        <x:v>medications</x:v>
      </x:c>
      <x:c r="G183" s="56" t="n">
        <x:v>10</x:v>
      </x:c>
      <x:c r="H183" s="56" t="str">
        <x:v>普通得分项</x:v>
      </x:c>
      <x:c r="I183" s="56" t="str">
        <x:v>否</x:v>
      </x:c>
      <x:c r="J183" s="56" t="str">
        <x:v>否</x:v>
      </x:c>
      <x:c r="K183" s="56" t="str">
        <x:v>否</x:v>
      </x:c>
      <x:c r="L183" s="56" t="str">
        <x:v>按结构化事件证据给予0/部分/满分；不能由总结反推已完成</x:v>
      </x:c>
      <x:c r="M183" s="56" t="str"/>
      <x:c r="N183" s="56" t="n">
        <x:f>SUMIFS($G$4:$G$1673,$A$4:$A$1673,A183)</x:f>
        <x:v>360</x:v>
      </x:c>
      <x:c r="O183" s="56" t="str">
        <x:f>IF(N183=360,"通过","失败")</x:f>
        <x:v>通过</x:v>
      </x:c>
      <x:c r="P183" s="56" t="str"/>
      <x:c r="Q183" s="59" t="str">
        <x:v>待确认</x:v>
      </x:c>
    </x:row>
    <x:row r="184">
      <x:c r="A184" s="56" t="str">
        <x:v>P005</x:v>
      </x:c>
      <x:c r="B184" s="56" t="str">
        <x:v>P005</x:v>
      </x:c>
      <x:c r="C184" s="56" t="str">
        <x:v>risk</x:v>
      </x:c>
      <x:c r="D184" s="56" t="n">
        <x:v>40</x:v>
      </x:c>
      <x:c r="E184" s="56" t="str">
        <x:v>risk.surgery_history</x:v>
      </x:c>
      <x:c r="F184" s="56" t="str">
        <x:v>surgery_history</x:v>
      </x:c>
      <x:c r="G184" s="56" t="n">
        <x:v>10</x:v>
      </x:c>
      <x:c r="H184" s="56" t="str">
        <x:v>普通得分项</x:v>
      </x:c>
      <x:c r="I184" s="56" t="str">
        <x:v>否</x:v>
      </x:c>
      <x:c r="J184" s="56" t="str">
        <x:v>否</x:v>
      </x:c>
      <x:c r="K184" s="56" t="str">
        <x:v>否</x:v>
      </x:c>
      <x:c r="L184" s="56" t="str">
        <x:v>按结构化事件证据给予0/部分/满分；不能由总结反推已完成</x:v>
      </x:c>
      <x:c r="M184" s="56" t="str"/>
      <x:c r="N184" s="56" t="n">
        <x:f>SUMIFS($G$4:$G$1673,$A$4:$A$1673,A184)</x:f>
        <x:v>360</x:v>
      </x:c>
      <x:c r="O184" s="56" t="str">
        <x:f>IF(N184=360,"通过","失败")</x:f>
        <x:v>通过</x:v>
      </x:c>
      <x:c r="P184" s="56" t="str"/>
      <x:c r="Q184" s="59" t="str">
        <x:v>待确认</x:v>
      </x:c>
    </x:row>
    <x:row r="185">
      <x:c r="A185" s="56" t="str">
        <x:v>P005</x:v>
      </x:c>
      <x:c r="B185" s="56" t="str">
        <x:v>P005</x:v>
      </x:c>
      <x:c r="C185" s="56" t="str">
        <x:v>exam</x:v>
      </x:c>
      <x:c r="D185" s="56" t="n">
        <x:v>35</x:v>
      </x:c>
      <x:c r="E185" s="56" t="str">
        <x:v>exam.temperature</x:v>
      </x:c>
      <x:c r="F185" s="56" t="str">
        <x:v>体温</x:v>
      </x:c>
      <x:c r="G185" s="56" t="n">
        <x:v>12</x:v>
      </x:c>
      <x:c r="H185" s="56" t="str">
        <x:v>普通得分项</x:v>
      </x:c>
      <x:c r="I185" s="56" t="str">
        <x:v>否</x:v>
      </x:c>
      <x:c r="J185" s="56" t="str">
        <x:v>否</x:v>
      </x:c>
      <x:c r="K185" s="56" t="str">
        <x:v>否</x:v>
      </x:c>
      <x:c r="L185" s="56" t="str">
        <x:v>按结构化事件证据给予0/部分/满分；不能由总结反推已完成</x:v>
      </x:c>
      <x:c r="M185" s="56" t="str"/>
      <x:c r="N185" s="56" t="n">
        <x:f>SUMIFS($G$4:$G$1673,$A$4:$A$1673,A185)</x:f>
        <x:v>360</x:v>
      </x:c>
      <x:c r="O185" s="56" t="str">
        <x:f>IF(N185=360,"通过","失败")</x:f>
        <x:v>通过</x:v>
      </x:c>
      <x:c r="P185" s="56" t="str"/>
      <x:c r="Q185" s="59" t="str">
        <x:v>待确认</x:v>
      </x:c>
    </x:row>
    <x:row r="186">
      <x:c r="A186" s="56" t="str">
        <x:v>P005</x:v>
      </x:c>
      <x:c r="B186" s="56" t="str">
        <x:v>P005</x:v>
      </x:c>
      <x:c r="C186" s="56" t="str">
        <x:v>exam</x:v>
      </x:c>
      <x:c r="D186" s="56" t="n">
        <x:v>35</x:v>
      </x:c>
      <x:c r="E186" s="56" t="str">
        <x:v>exam.blood_pressure</x:v>
      </x:c>
      <x:c r="F186" s="56" t="str">
        <x:v>血压</x:v>
      </x:c>
      <x:c r="G186" s="56" t="n">
        <x:v>12</x:v>
      </x:c>
      <x:c r="H186" s="56" t="str">
        <x:v>普通得分项</x:v>
      </x:c>
      <x:c r="I186" s="56" t="str">
        <x:v>否</x:v>
      </x:c>
      <x:c r="J186" s="56" t="str">
        <x:v>否</x:v>
      </x:c>
      <x:c r="K186" s="56" t="str">
        <x:v>否</x:v>
      </x:c>
      <x:c r="L186" s="56" t="str">
        <x:v>按结构化事件证据给予0/部分/满分；不能由总结反推已完成</x:v>
      </x:c>
      <x:c r="M186" s="56" t="str"/>
      <x:c r="N186" s="56" t="n">
        <x:f>SUMIFS($G$4:$G$1673,$A$4:$A$1673,A186)</x:f>
        <x:v>360</x:v>
      </x:c>
      <x:c r="O186" s="56" t="str">
        <x:f>IF(N186=360,"通过","失败")</x:f>
        <x:v>通过</x:v>
      </x:c>
      <x:c r="P186" s="56" t="str"/>
      <x:c r="Q186" s="59" t="str">
        <x:v>待确认</x:v>
      </x:c>
    </x:row>
    <x:row r="187">
      <x:c r="A187" s="56" t="str">
        <x:v>P005</x:v>
      </x:c>
      <x:c r="B187" s="56" t="str">
        <x:v>P005</x:v>
      </x:c>
      <x:c r="C187" s="56" t="str">
        <x:v>exam</x:v>
      </x:c>
      <x:c r="D187" s="56" t="n">
        <x:v>35</x:v>
      </x:c>
      <x:c r="E187" s="56" t="str">
        <x:v>exam.targeted</x:v>
      </x:c>
      <x:c r="F187" s="56" t="str">
        <x:v>病例针对性查体</x:v>
      </x:c>
      <x:c r="G187" s="56" t="n">
        <x:v>11</x:v>
      </x:c>
      <x:c r="H187" s="56" t="str">
        <x:v>普通得分项</x:v>
      </x:c>
      <x:c r="I187" s="56" t="str">
        <x:v>否</x:v>
      </x:c>
      <x:c r="J187" s="56" t="str">
        <x:v>否</x:v>
      </x:c>
      <x:c r="K187" s="56" t="str">
        <x:v>否</x:v>
      </x:c>
      <x:c r="L187" s="56" t="str">
        <x:v>按结构化事件证据给予0/部分/满分；不能由总结反推已完成</x:v>
      </x:c>
      <x:c r="M187" s="56" t="str"/>
      <x:c r="N187" s="56" t="n">
        <x:f>SUMIFS($G$4:$G$1673,$A$4:$A$1673,A187)</x:f>
        <x:v>360</x:v>
      </x:c>
      <x:c r="O187" s="56" t="str">
        <x:f>IF(N187=360,"通过","失败")</x:f>
        <x:v>通过</x:v>
      </x:c>
      <x:c r="P187" s="56" t="str"/>
      <x:c r="Q187" s="59" t="str">
        <x:v>待确认</x:v>
      </x:c>
    </x:row>
    <x:row r="188">
      <x:c r="A188" s="56" t="str">
        <x:v>P005</x:v>
      </x:c>
      <x:c r="B188" s="56" t="str">
        <x:v>P005</x:v>
      </x:c>
      <x:c r="C188" s="56" t="str">
        <x:v>diagnosis</x:v>
      </x:c>
      <x:c r="D188" s="56" t="n">
        <x:v>45</x:v>
      </x:c>
      <x:c r="E188" s="56" t="str">
        <x:v>diagnosis.primary</x:v>
      </x:c>
      <x:c r="F188" s="56" t="str">
        <x:v>最可能诊断及依据</x:v>
      </x:c>
      <x:c r="G188" s="56" t="n">
        <x:v>15</x:v>
      </x:c>
      <x:c r="H188" s="56" t="str">
        <x:v>普通得分项</x:v>
      </x:c>
      <x:c r="I188" s="56" t="str">
        <x:v>否</x:v>
      </x:c>
      <x:c r="J188" s="56" t="str">
        <x:v>否</x:v>
      </x:c>
      <x:c r="K188" s="56" t="str">
        <x:v>否</x:v>
      </x:c>
      <x:c r="L188" s="56" t="str">
        <x:v>按结构化事件证据给予0/部分/满分；不能由总结反推已完成</x:v>
      </x:c>
      <x:c r="M188" s="56" t="str"/>
      <x:c r="N188" s="56" t="n">
        <x:f>SUMIFS($G$4:$G$1673,$A$4:$A$1673,A188)</x:f>
        <x:v>360</x:v>
      </x:c>
      <x:c r="O188" s="56" t="str">
        <x:f>IF(N188=360,"通过","失败")</x:f>
        <x:v>通过</x:v>
      </x:c>
      <x:c r="P188" s="56" t="str"/>
      <x:c r="Q188" s="59" t="str">
        <x:v>待确认</x:v>
      </x:c>
    </x:row>
    <x:row r="189">
      <x:c r="A189" s="56" t="str">
        <x:v>P005</x:v>
      </x:c>
      <x:c r="B189" s="56" t="str">
        <x:v>P005</x:v>
      </x:c>
      <x:c r="C189" s="56" t="str">
        <x:v>diagnosis</x:v>
      </x:c>
      <x:c r="D189" s="56" t="n">
        <x:v>45</x:v>
      </x:c>
      <x:c r="E189" s="56" t="str">
        <x:v>diagnosis.differentials</x:v>
      </x:c>
      <x:c r="F189" s="56" t="str">
        <x:v>至少3项鉴别及支持/反对点</x:v>
      </x:c>
      <x:c r="G189" s="56" t="n">
        <x:v>15</x:v>
      </x:c>
      <x:c r="H189" s="56" t="str">
        <x:v>普通得分项</x:v>
      </x:c>
      <x:c r="I189" s="56" t="str">
        <x:v>否</x:v>
      </x:c>
      <x:c r="J189" s="56" t="str">
        <x:v>否</x:v>
      </x:c>
      <x:c r="K189" s="56" t="str">
        <x:v>否</x:v>
      </x:c>
      <x:c r="L189" s="56" t="str">
        <x:v>按结构化事件证据给予0/部分/满分；不能由总结反推已完成</x:v>
      </x:c>
      <x:c r="M189" s="56" t="str"/>
      <x:c r="N189" s="56" t="n">
        <x:f>SUMIFS($G$4:$G$1673,$A$4:$A$1673,A189)</x:f>
        <x:v>360</x:v>
      </x:c>
      <x:c r="O189" s="56" t="str">
        <x:f>IF(N189=360,"通过","失败")</x:f>
        <x:v>通过</x:v>
      </x:c>
      <x:c r="P189" s="56" t="str"/>
      <x:c r="Q189" s="59" t="str">
        <x:v>待确认</x:v>
      </x:c>
    </x:row>
    <x:row r="190">
      <x:c r="A190" s="56" t="str">
        <x:v>P005</x:v>
      </x:c>
      <x:c r="B190" s="56" t="str">
        <x:v>P005</x:v>
      </x:c>
      <x:c r="C190" s="56" t="str">
        <x:v>diagnosis</x:v>
      </x:c>
      <x:c r="D190" s="56" t="n">
        <x:v>45</x:v>
      </x:c>
      <x:c r="E190" s="56" t="str">
        <x:v>diagnosis.confirmation</x:v>
      </x:c>
      <x:c r="F190" s="56" t="str">
        <x:v>确认计划</x:v>
      </x:c>
      <x:c r="G190" s="56" t="n">
        <x:v>15</x:v>
      </x:c>
      <x:c r="H190" s="56" t="str">
        <x:v>普通得分项</x:v>
      </x:c>
      <x:c r="I190" s="56" t="str">
        <x:v>否</x:v>
      </x:c>
      <x:c r="J190" s="56" t="str">
        <x:v>否</x:v>
      </x:c>
      <x:c r="K190" s="56" t="str">
        <x:v>否</x:v>
      </x:c>
      <x:c r="L190" s="56" t="str">
        <x:v>按结构化事件证据给予0/部分/满分；不能由总结反推已完成</x:v>
      </x:c>
      <x:c r="M190" s="56" t="str"/>
      <x:c r="N190" s="56" t="n">
        <x:f>SUMIFS($G$4:$G$1673,$A$4:$A$1673,A190)</x:f>
        <x:v>360</x:v>
      </x:c>
      <x:c r="O190" s="56" t="str">
        <x:f>IF(N190=360,"通过","失败")</x:f>
        <x:v>通过</x:v>
      </x:c>
      <x:c r="P190" s="56" t="str"/>
      <x:c r="Q190" s="59" t="str">
        <x:v>待确认</x:v>
      </x:c>
    </x:row>
    <x:row r="191">
      <x:c r="A191" s="56" t="str">
        <x:v>P005</x:v>
      </x:c>
      <x:c r="B191" s="56" t="str">
        <x:v>P005</x:v>
      </x:c>
      <x:c r="C191" s="56" t="str">
        <x:v>orders</x:v>
      </x:c>
      <x:c r="D191" s="56" t="n">
        <x:v>55</x:v>
      </x:c>
      <x:c r="E191" s="56" t="str">
        <x:v>orders.LAB-UR-001</x:v>
      </x:c>
      <x:c r="F191" s="56" t="str">
        <x:v>LAB-UR-001</x:v>
      </x:c>
      <x:c r="G191" s="56" t="n">
        <x:v>11</x:v>
      </x:c>
      <x:c r="H191" s="56" t="str">
        <x:v>病例特异得分项</x:v>
      </x:c>
      <x:c r="I191" s="56" t="str">
        <x:v>否</x:v>
      </x:c>
      <x:c r="J191" s="56" t="str">
        <x:v>否</x:v>
      </x:c>
      <x:c r="K191" s="56" t="str">
        <x:v>否</x:v>
      </x:c>
      <x:c r="L191" s="56" t="str">
        <x:v>按结构化事件证据给予0/部分/满分；不能由总结反推已完成</x:v>
      </x:c>
      <x:c r="M191" s="56" t="str"/>
      <x:c r="N191" s="56" t="n">
        <x:f>SUMIFS($G$4:$G$1673,$A$4:$A$1673,A191)</x:f>
        <x:v>360</x:v>
      </x:c>
      <x:c r="O191" s="56" t="str">
        <x:f>IF(N191=360,"通过","失败")</x:f>
        <x:v>通过</x:v>
      </x:c>
      <x:c r="P191" s="56" t="str"/>
      <x:c r="Q191" s="59" t="str">
        <x:v>待确认</x:v>
      </x:c>
    </x:row>
    <x:row r="192">
      <x:c r="A192" s="56" t="str">
        <x:v>P005</x:v>
      </x:c>
      <x:c r="B192" s="56" t="str">
        <x:v>P005</x:v>
      </x:c>
      <x:c r="C192" s="56" t="str">
        <x:v>orders</x:v>
      </x:c>
      <x:c r="D192" s="56" t="n">
        <x:v>55</x:v>
      </x:c>
      <x:c r="E192" s="56" t="str">
        <x:v>orders.LAB-BL-003</x:v>
      </x:c>
      <x:c r="F192" s="56" t="str">
        <x:v>LAB-BL-003</x:v>
      </x:c>
      <x:c r="G192" s="56" t="n">
        <x:v>11</x:v>
      </x:c>
      <x:c r="H192" s="56" t="str">
        <x:v>病例特异得分项</x:v>
      </x:c>
      <x:c r="I192" s="56" t="str">
        <x:v>否</x:v>
      </x:c>
      <x:c r="J192" s="56" t="str">
        <x:v>否</x:v>
      </x:c>
      <x:c r="K192" s="56" t="str">
        <x:v>否</x:v>
      </x:c>
      <x:c r="L192" s="56" t="str">
        <x:v>按结构化事件证据给予0/部分/满分；不能由总结反推已完成</x:v>
      </x:c>
      <x:c r="M192" s="56" t="str"/>
      <x:c r="N192" s="56" t="n">
        <x:f>SUMIFS($G$4:$G$1673,$A$4:$A$1673,A192)</x:f>
        <x:v>360</x:v>
      </x:c>
      <x:c r="O192" s="56" t="str">
        <x:f>IF(N192=360,"通过","失败")</x:f>
        <x:v>通过</x:v>
      </x:c>
      <x:c r="P192" s="56" t="str"/>
      <x:c r="Q192" s="59" t="str">
        <x:v>待确认</x:v>
      </x:c>
    </x:row>
    <x:row r="193">
      <x:c r="A193" s="56" t="str">
        <x:v>P005</x:v>
      </x:c>
      <x:c r="B193" s="56" t="str">
        <x:v>P005</x:v>
      </x:c>
      <x:c r="C193" s="56" t="str">
        <x:v>orders</x:v>
      </x:c>
      <x:c r="D193" s="56" t="n">
        <x:v>55</x:v>
      </x:c>
      <x:c r="E193" s="56" t="str">
        <x:v>orders.IMG-US-001</x:v>
      </x:c>
      <x:c r="F193" s="56" t="str">
        <x:v>IMG-US-001</x:v>
      </x:c>
      <x:c r="G193" s="56" t="n">
        <x:v>11</x:v>
      </x:c>
      <x:c r="H193" s="56" t="str">
        <x:v>病例特异得分项</x:v>
      </x:c>
      <x:c r="I193" s="56" t="str">
        <x:v>否</x:v>
      </x:c>
      <x:c r="J193" s="56" t="str">
        <x:v>否</x:v>
      </x:c>
      <x:c r="K193" s="56" t="str">
        <x:v>否</x:v>
      </x:c>
      <x:c r="L193" s="56" t="str">
        <x:v>按结构化事件证据给予0/部分/满分；不能由总结反推已完成</x:v>
      </x:c>
      <x:c r="M193" s="56" t="str"/>
      <x:c r="N193" s="56" t="n">
        <x:f>SUMIFS($G$4:$G$1673,$A$4:$A$1673,A193)</x:f>
        <x:v>360</x:v>
      </x:c>
      <x:c r="O193" s="56" t="str">
        <x:f>IF(N193=360,"通过","失败")</x:f>
        <x:v>通过</x:v>
      </x:c>
      <x:c r="P193" s="56" t="str"/>
      <x:c r="Q193" s="59" t="str">
        <x:v>待确认</x:v>
      </x:c>
    </x:row>
    <x:row r="194">
      <x:c r="A194" s="56" t="str">
        <x:v>P005</x:v>
      </x:c>
      <x:c r="B194" s="56" t="str">
        <x:v>P005</x:v>
      </x:c>
      <x:c r="C194" s="56" t="str">
        <x:v>orders</x:v>
      </x:c>
      <x:c r="D194" s="56" t="n">
        <x:v>55</x:v>
      </x:c>
      <x:c r="E194" s="56" t="str">
        <x:v>orders.FUNC-001</x:v>
      </x:c>
      <x:c r="F194" s="56" t="str">
        <x:v>FUNC-001</x:v>
      </x:c>
      <x:c r="G194" s="56" t="n">
        <x:v>11</x:v>
      </x:c>
      <x:c r="H194" s="56" t="str">
        <x:v>病例特异得分项</x:v>
      </x:c>
      <x:c r="I194" s="56" t="str">
        <x:v>否</x:v>
      </x:c>
      <x:c r="J194" s="56" t="str">
        <x:v>否</x:v>
      </x:c>
      <x:c r="K194" s="56" t="str">
        <x:v>否</x:v>
      </x:c>
      <x:c r="L194" s="56" t="str">
        <x:v>按结构化事件证据给予0/部分/满分；不能由总结反推已完成</x:v>
      </x:c>
      <x:c r="M194" s="56" t="str"/>
      <x:c r="N194" s="56" t="n">
        <x:f>SUMIFS($G$4:$G$1673,$A$4:$A$1673,A194)</x:f>
        <x:v>360</x:v>
      </x:c>
      <x:c r="O194" s="56" t="str">
        <x:f>IF(N194=360,"通过","失败")</x:f>
        <x:v>通过</x:v>
      </x:c>
      <x:c r="P194" s="56" t="str"/>
      <x:c r="Q194" s="59" t="str">
        <x:v>待确认</x:v>
      </x:c>
    </x:row>
    <x:row r="195">
      <x:c r="A195" s="56" t="str">
        <x:v>P005</x:v>
      </x:c>
      <x:c r="B195" s="56" t="str">
        <x:v>P005</x:v>
      </x:c>
      <x:c r="C195" s="56" t="str">
        <x:v>orders</x:v>
      </x:c>
      <x:c r="D195" s="56" t="n">
        <x:v>55</x:v>
      </x:c>
      <x:c r="E195" s="56" t="str">
        <x:v>orders.LAB-BL-015</x:v>
      </x:c>
      <x:c r="F195" s="56" t="str">
        <x:v>LAB-BL-015</x:v>
      </x:c>
      <x:c r="G195" s="56" t="n">
        <x:v>11</x:v>
      </x:c>
      <x:c r="H195" s="56" t="str">
        <x:v>病例特异得分项</x:v>
      </x:c>
      <x:c r="I195" s="56" t="str">
        <x:v>否</x:v>
      </x:c>
      <x:c r="J195" s="56" t="str">
        <x:v>否</x:v>
      </x:c>
      <x:c r="K195" s="56" t="str">
        <x:v>否</x:v>
      </x:c>
      <x:c r="L195" s="56" t="str">
        <x:v>按结构化事件证据给予0/部分/满分；不能由总结反推已完成</x:v>
      </x:c>
      <x:c r="M195" s="56" t="str"/>
      <x:c r="N195" s="56" t="n">
        <x:f>SUMIFS($G$4:$G$1673,$A$4:$A$1673,A195)</x:f>
        <x:v>360</x:v>
      </x:c>
      <x:c r="O195" s="56" t="str">
        <x:f>IF(N195=360,"通过","失败")</x:f>
        <x:v>通过</x:v>
      </x:c>
      <x:c r="P195" s="56" t="str"/>
      <x:c r="Q195" s="59" t="str">
        <x:v>待确认</x:v>
      </x:c>
    </x:row>
    <x:row r="196">
      <x:c r="A196" s="56" t="str">
        <x:v>P005</x:v>
      </x:c>
      <x:c r="B196" s="56" t="str">
        <x:v>P005</x:v>
      </x:c>
      <x:c r="C196" s="56" t="str">
        <x:v>mdt</x:v>
      </x:c>
      <x:c r="D196" s="56" t="n">
        <x:v>45</x:v>
      </x:c>
      <x:c r="E196" s="56" t="str">
        <x:v>mdt.department</x:v>
      </x:c>
      <x:c r="F196" s="56" t="str">
        <x:v>department</x:v>
      </x:c>
      <x:c r="G196" s="56" t="n">
        <x:v>12</x:v>
      </x:c>
      <x:c r="H196" s="56" t="str">
        <x:v>病例特异得分项</x:v>
      </x:c>
      <x:c r="I196" s="56" t="str">
        <x:v>否</x:v>
      </x:c>
      <x:c r="J196" s="56" t="str">
        <x:v>否</x:v>
      </x:c>
      <x:c r="K196" s="56" t="str">
        <x:v>否</x:v>
      </x:c>
      <x:c r="L196" s="56" t="str">
        <x:v>按结构化事件证据给予0/部分/满分；不能由总结反推已完成</x:v>
      </x:c>
      <x:c r="M196" s="56" t="str"/>
      <x:c r="N196" s="56" t="n">
        <x:f>SUMIFS($G$4:$G$1673,$A$4:$A$1673,A196)</x:f>
        <x:v>360</x:v>
      </x:c>
      <x:c r="O196" s="56" t="str">
        <x:f>IF(N196=360,"通过","失败")</x:f>
        <x:v>通过</x:v>
      </x:c>
      <x:c r="P196" s="56" t="str"/>
      <x:c r="Q196" s="59" t="str">
        <x:v>待确认</x:v>
      </x:c>
    </x:row>
    <x:row r="197">
      <x:c r="A197" s="56" t="str">
        <x:v>P005</x:v>
      </x:c>
      <x:c r="B197" s="56" t="str">
        <x:v>P005</x:v>
      </x:c>
      <x:c r="C197" s="56" t="str">
        <x:v>mdt</x:v>
      </x:c>
      <x:c r="D197" s="56" t="n">
        <x:v>45</x:v>
      </x:c>
      <x:c r="E197" s="56" t="str">
        <x:v>mdt.trigger</x:v>
      </x:c>
      <x:c r="F197" s="56" t="str">
        <x:v>trigger</x:v>
      </x:c>
      <x:c r="G197" s="56" t="n">
        <x:v>11</x:v>
      </x:c>
      <x:c r="H197" s="56" t="str">
        <x:v>病例特异得分项</x:v>
      </x:c>
      <x:c r="I197" s="56" t="str">
        <x:v>否</x:v>
      </x:c>
      <x:c r="J197" s="56" t="str">
        <x:v>否</x:v>
      </x:c>
      <x:c r="K197" s="56" t="str">
        <x:v>否</x:v>
      </x:c>
      <x:c r="L197" s="56" t="str">
        <x:v>按结构化事件证据给予0/部分/满分；不能由总结反推已完成</x:v>
      </x:c>
      <x:c r="M197" s="56" t="str"/>
      <x:c r="N197" s="56" t="n">
        <x:f>SUMIFS($G$4:$G$1673,$A$4:$A$1673,A197)</x:f>
        <x:v>360</x:v>
      </x:c>
      <x:c r="O197" s="56" t="str">
        <x:f>IF(N197=360,"通过","失败")</x:f>
        <x:v>通过</x:v>
      </x:c>
      <x:c r="P197" s="56" t="str"/>
      <x:c r="Q197" s="59" t="str">
        <x:v>待确认</x:v>
      </x:c>
    </x:row>
    <x:row r="198">
      <x:c r="A198" s="56" t="str">
        <x:v>P005</x:v>
      </x:c>
      <x:c r="B198" s="56" t="str">
        <x:v>P005</x:v>
      </x:c>
      <x:c r="C198" s="56" t="str">
        <x:v>mdt</x:v>
      </x:c>
      <x:c r="D198" s="56" t="n">
        <x:v>45</x:v>
      </x:c>
      <x:c r="E198" s="56" t="str">
        <x:v>mdt.question</x:v>
      </x:c>
      <x:c r="F198" s="56" t="str">
        <x:v>question</x:v>
      </x:c>
      <x:c r="G198" s="56" t="n">
        <x:v>11</x:v>
      </x:c>
      <x:c r="H198" s="56" t="str">
        <x:v>病例特异得分项</x:v>
      </x:c>
      <x:c r="I198" s="56" t="str">
        <x:v>否</x:v>
      </x:c>
      <x:c r="J198" s="56" t="str">
        <x:v>否</x:v>
      </x:c>
      <x:c r="K198" s="56" t="str">
        <x:v>否</x:v>
      </x:c>
      <x:c r="L198" s="56" t="str">
        <x:v>按结构化事件证据给予0/部分/满分；不能由总结反推已完成</x:v>
      </x:c>
      <x:c r="M198" s="56" t="str"/>
      <x:c r="N198" s="56" t="n">
        <x:f>SUMIFS($G$4:$G$1673,$A$4:$A$1673,A198)</x:f>
        <x:v>360</x:v>
      </x:c>
      <x:c r="O198" s="56" t="str">
        <x:f>IF(N198=360,"通过","失败")</x:f>
        <x:v>通过</x:v>
      </x:c>
      <x:c r="P198" s="56" t="str"/>
      <x:c r="Q198" s="59" t="str">
        <x:v>待确认</x:v>
      </x:c>
    </x:row>
    <x:row r="199">
      <x:c r="A199" s="56" t="str">
        <x:v>P005</x:v>
      </x:c>
      <x:c r="B199" s="56" t="str">
        <x:v>P005</x:v>
      </x:c>
      <x:c r="C199" s="56" t="str">
        <x:v>mdt</x:v>
      </x:c>
      <x:c r="D199" s="56" t="n">
        <x:v>45</x:v>
      </x:c>
      <x:c r="E199" s="56" t="str">
        <x:v>mdt.evidence</x:v>
      </x:c>
      <x:c r="F199" s="56" t="str">
        <x:v>evidence</x:v>
      </x:c>
      <x:c r="G199" s="56" t="n">
        <x:v>11</x:v>
      </x:c>
      <x:c r="H199" s="56" t="str">
        <x:v>病例特异得分项</x:v>
      </x:c>
      <x:c r="I199" s="56" t="str">
        <x:v>否</x:v>
      </x:c>
      <x:c r="J199" s="56" t="str">
        <x:v>否</x:v>
      </x:c>
      <x:c r="K199" s="56" t="str">
        <x:v>否</x:v>
      </x:c>
      <x:c r="L199" s="56" t="str">
        <x:v>按结构化事件证据给予0/部分/满分；不能由总结反推已完成</x:v>
      </x:c>
      <x:c r="M199" s="56" t="str"/>
      <x:c r="N199" s="56" t="n">
        <x:f>SUMIFS($G$4:$G$1673,$A$4:$A$1673,A199)</x:f>
        <x:v>360</x:v>
      </x:c>
      <x:c r="O199" s="56" t="str">
        <x:f>IF(N199=360,"通过","失败")</x:f>
        <x:v>通过</x:v>
      </x:c>
      <x:c r="P199" s="56" t="str"/>
      <x:c r="Q199" s="59" t="str">
        <x:v>待确认</x:v>
      </x:c>
    </x:row>
    <x:row r="200">
      <x:c r="A200" s="56" t="str">
        <x:v>P005</x:v>
      </x:c>
      <x:c r="B200" s="56" t="str">
        <x:v>P005</x:v>
      </x:c>
      <x:c r="C200" s="56" t="str">
        <x:v>treatment</x:v>
      </x:c>
      <x:c r="D200" s="56" t="n">
        <x:v>50</x:v>
      </x:c>
      <x:c r="E200" s="56" t="str">
        <x:v>treatment.immediate</x:v>
      </x:c>
      <x:c r="F200" s="56" t="str">
        <x:v>immediate</x:v>
      </x:c>
      <x:c r="G200" s="56" t="n">
        <x:v>13</x:v>
      </x:c>
      <x:c r="H200" s="56" t="str">
        <x:v>病例特异得分项</x:v>
      </x:c>
      <x:c r="I200" s="56" t="str">
        <x:v>否</x:v>
      </x:c>
      <x:c r="J200" s="56" t="str">
        <x:v>否</x:v>
      </x:c>
      <x:c r="K200" s="56" t="str">
        <x:v>否</x:v>
      </x:c>
      <x:c r="L200" s="56" t="str">
        <x:v>按结构化事件证据给予0/部分/满分；不能由总结反推已完成</x:v>
      </x:c>
      <x:c r="M200" s="56" t="str"/>
      <x:c r="N200" s="56" t="n">
        <x:f>SUMIFS($G$4:$G$1673,$A$4:$A$1673,A200)</x:f>
        <x:v>360</x:v>
      </x:c>
      <x:c r="O200" s="56" t="str">
        <x:f>IF(N200=360,"通过","失败")</x:f>
        <x:v>通过</x:v>
      </x:c>
      <x:c r="P200" s="56" t="str"/>
      <x:c r="Q200" s="59" t="str">
        <x:v>待确认</x:v>
      </x:c>
    </x:row>
    <x:row r="201">
      <x:c r="A201" s="56" t="str">
        <x:v>P005</x:v>
      </x:c>
      <x:c r="B201" s="56" t="str">
        <x:v>P005</x:v>
      </x:c>
      <x:c r="C201" s="56" t="str">
        <x:v>treatment</x:v>
      </x:c>
      <x:c r="D201" s="56" t="n">
        <x:v>50</x:v>
      </x:c>
      <x:c r="E201" s="56" t="str">
        <x:v>treatment.etiologic</x:v>
      </x:c>
      <x:c r="F201" s="56" t="str">
        <x:v>etiologic</x:v>
      </x:c>
      <x:c r="G201" s="56" t="n">
        <x:v>13</x:v>
      </x:c>
      <x:c r="H201" s="56" t="str">
        <x:v>病例特异得分项</x:v>
      </x:c>
      <x:c r="I201" s="56" t="str">
        <x:v>否</x:v>
      </x:c>
      <x:c r="J201" s="56" t="str">
        <x:v>否</x:v>
      </x:c>
      <x:c r="K201" s="56" t="str">
        <x:v>否</x:v>
      </x:c>
      <x:c r="L201" s="56" t="str">
        <x:v>按结构化事件证据给予0/部分/满分；不能由总结反推已完成</x:v>
      </x:c>
      <x:c r="M201" s="56" t="str"/>
      <x:c r="N201" s="56" t="n">
        <x:f>SUMIFS($G$4:$G$1673,$A$4:$A$1673,A201)</x:f>
        <x:v>360</x:v>
      </x:c>
      <x:c r="O201" s="56" t="str">
        <x:f>IF(N201=360,"通过","失败")</x:f>
        <x:v>通过</x:v>
      </x:c>
      <x:c r="P201" s="56" t="str"/>
      <x:c r="Q201" s="59" t="str">
        <x:v>待确认</x:v>
      </x:c>
    </x:row>
    <x:row r="202">
      <x:c r="A202" s="56" t="str">
        <x:v>P005</x:v>
      </x:c>
      <x:c r="B202" s="56" t="str">
        <x:v>P005</x:v>
      </x:c>
      <x:c r="C202" s="56" t="str">
        <x:v>treatment</x:v>
      </x:c>
      <x:c r="D202" s="56" t="n">
        <x:v>50</x:v>
      </x:c>
      <x:c r="E202" s="56" t="str">
        <x:v>treatment.definitive</x:v>
      </x:c>
      <x:c r="F202" s="56" t="str">
        <x:v>definitive</x:v>
      </x:c>
      <x:c r="G202" s="56" t="n">
        <x:v>12</x:v>
      </x:c>
      <x:c r="H202" s="56" t="str">
        <x:v>病例特异得分项</x:v>
      </x:c>
      <x:c r="I202" s="56" t="str">
        <x:v>否</x:v>
      </x:c>
      <x:c r="J202" s="56" t="str">
        <x:v>否</x:v>
      </x:c>
      <x:c r="K202" s="56" t="str">
        <x:v>否</x:v>
      </x:c>
      <x:c r="L202" s="56" t="str">
        <x:v>按结构化事件证据给予0/部分/满分；不能由总结反推已完成</x:v>
      </x:c>
      <x:c r="M202" s="56" t="str"/>
      <x:c r="N202" s="56" t="n">
        <x:f>SUMIFS($G$4:$G$1673,$A$4:$A$1673,A202)</x:f>
        <x:v>360</x:v>
      </x:c>
      <x:c r="O202" s="56" t="str">
        <x:f>IF(N202=360,"通过","失败")</x:f>
        <x:v>通过</x:v>
      </x:c>
      <x:c r="P202" s="56" t="str"/>
      <x:c r="Q202" s="59" t="str">
        <x:v>待确认</x:v>
      </x:c>
    </x:row>
    <x:row r="203">
      <x:c r="A203" s="56" t="str">
        <x:v>P005</x:v>
      </x:c>
      <x:c r="B203" s="56" t="str">
        <x:v>P005</x:v>
      </x:c>
      <x:c r="C203" s="56" t="str">
        <x:v>treatment</x:v>
      </x:c>
      <x:c r="D203" s="56" t="n">
        <x:v>50</x:v>
      </x:c>
      <x:c r="E203" s="56" t="str">
        <x:v>treatment.perioperative</x:v>
      </x:c>
      <x:c r="F203" s="56" t="str">
        <x:v>perioperative</x:v>
      </x:c>
      <x:c r="G203" s="56" t="n">
        <x:v>12</x:v>
      </x:c>
      <x:c r="H203" s="56" t="str">
        <x:v>病例特异得分项</x:v>
      </x:c>
      <x:c r="I203" s="56" t="str">
        <x:v>否</x:v>
      </x:c>
      <x:c r="J203" s="56" t="str">
        <x:v>否</x:v>
      </x:c>
      <x:c r="K203" s="56" t="str">
        <x:v>否</x:v>
      </x:c>
      <x:c r="L203" s="56" t="str">
        <x:v>按结构化事件证据给予0/部分/满分；不能由总结反推已完成</x:v>
      </x:c>
      <x:c r="M203" s="56" t="str"/>
      <x:c r="N203" s="56" t="n">
        <x:f>SUMIFS($G$4:$G$1673,$A$4:$A$1673,A203)</x:f>
        <x:v>360</x:v>
      </x:c>
      <x:c r="O203" s="56" t="str">
        <x:f>IF(N203=360,"通过","失败")</x:f>
        <x:v>通过</x:v>
      </x:c>
      <x:c r="P203" s="56" t="str"/>
      <x:c r="Q203" s="59" t="str">
        <x:v>待确认</x:v>
      </x:c>
    </x:row>
    <x:row r="204">
      <x:c r="A204" s="56" t="str">
        <x:v>P005</x:v>
      </x:c>
      <x:c r="B204" s="56" t="str">
        <x:v>P005</x:v>
      </x:c>
      <x:c r="C204" s="56" t="str">
        <x:v>followup</x:v>
      </x:c>
      <x:c r="D204" s="56" t="n">
        <x:v>40</x:v>
      </x:c>
      <x:c r="E204" s="56" t="str">
        <x:v>followup.plan</x:v>
      </x:c>
      <x:c r="F204" s="56" t="str">
        <x:v>随访复查</x:v>
      </x:c>
      <x:c r="G204" s="56" t="n">
        <x:v>10</x:v>
      </x:c>
      <x:c r="H204" s="56" t="str">
        <x:v>普通得分项</x:v>
      </x:c>
      <x:c r="I204" s="56" t="str">
        <x:v>否</x:v>
      </x:c>
      <x:c r="J204" s="56" t="str">
        <x:v>否</x:v>
      </x:c>
      <x:c r="K204" s="56" t="str">
        <x:v>否</x:v>
      </x:c>
      <x:c r="L204" s="56" t="str">
        <x:v>按结构化事件证据给予0/部分/满分；不能由总结反推已完成</x:v>
      </x:c>
      <x:c r="M204" s="56" t="str"/>
      <x:c r="N204" s="56" t="n">
        <x:f>SUMIFS($G$4:$G$1673,$A$4:$A$1673,A204)</x:f>
        <x:v>360</x:v>
      </x:c>
      <x:c r="O204" s="56" t="str">
        <x:f>IF(N204=360,"通过","失败")</x:f>
        <x:v>通过</x:v>
      </x:c>
      <x:c r="P204" s="56" t="str"/>
      <x:c r="Q204" s="59" t="str">
        <x:v>待确认</x:v>
      </x:c>
    </x:row>
    <x:row r="205">
      <x:c r="A205" s="56" t="str">
        <x:v>P005</x:v>
      </x:c>
      <x:c r="B205" s="56" t="str">
        <x:v>P005</x:v>
      </x:c>
      <x:c r="C205" s="56" t="str">
        <x:v>followup</x:v>
      </x:c>
      <x:c r="D205" s="56" t="n">
        <x:v>40</x:v>
      </x:c>
      <x:c r="E205" s="56" t="str">
        <x:v>followup.education</x:v>
      </x:c>
      <x:c r="F205" s="56" t="str">
        <x:v>患者教育</x:v>
      </x:c>
      <x:c r="G205" s="56" t="n">
        <x:v>10</x:v>
      </x:c>
      <x:c r="H205" s="56" t="str">
        <x:v>普通得分项</x:v>
      </x:c>
      <x:c r="I205" s="56" t="str">
        <x:v>否</x:v>
      </x:c>
      <x:c r="J205" s="56" t="str">
        <x:v>否</x:v>
      </x:c>
      <x:c r="K205" s="56" t="str">
        <x:v>否</x:v>
      </x:c>
      <x:c r="L205" s="56" t="str">
        <x:v>按结构化事件证据给予0/部分/满分；不能由总结反推已完成</x:v>
      </x:c>
      <x:c r="M205" s="56" t="str"/>
      <x:c r="N205" s="56" t="n">
        <x:f>SUMIFS($G$4:$G$1673,$A$4:$A$1673,A205)</x:f>
        <x:v>360</x:v>
      </x:c>
      <x:c r="O205" s="56" t="str">
        <x:f>IF(N205=360,"通过","失败")</x:f>
        <x:v>通过</x:v>
      </x:c>
      <x:c r="P205" s="56" t="str"/>
      <x:c r="Q205" s="59" t="str">
        <x:v>待确认</x:v>
      </x:c>
    </x:row>
    <x:row r="206">
      <x:c r="A206" s="56" t="str">
        <x:v>P005</x:v>
      </x:c>
      <x:c r="B206" s="56" t="str">
        <x:v>P005</x:v>
      </x:c>
      <x:c r="C206" s="56" t="str">
        <x:v>followup</x:v>
      </x:c>
      <x:c r="D206" s="56" t="n">
        <x:v>40</x:v>
      </x:c>
      <x:c r="E206" s="56" t="str">
        <x:v>followup.reflection</x:v>
      </x:c>
      <x:c r="F206" s="56" t="str">
        <x:v>学习反思质量</x:v>
      </x:c>
      <x:c r="G206" s="56" t="n">
        <x:v>10</x:v>
      </x:c>
      <x:c r="H206" s="56" t="str">
        <x:v>普通得分项</x:v>
      </x:c>
      <x:c r="I206" s="56" t="str">
        <x:v>否</x:v>
      </x:c>
      <x:c r="J206" s="56" t="str">
        <x:v>否</x:v>
      </x:c>
      <x:c r="K206" s="56" t="str">
        <x:v>否</x:v>
      </x:c>
      <x:c r="L206" s="56" t="str">
        <x:v>按结构化事件证据给予0/部分/满分；不能由总结反推已完成</x:v>
      </x:c>
      <x:c r="M206" s="56" t="str"/>
      <x:c r="N206" s="56" t="n">
        <x:f>SUMIFS($G$4:$G$1673,$A$4:$A$1673,A206)</x:f>
        <x:v>360</x:v>
      </x:c>
      <x:c r="O206" s="56" t="str">
        <x:f>IF(N206=360,"通过","失败")</x:f>
        <x:v>通过</x:v>
      </x:c>
      <x:c r="P206" s="56" t="str"/>
      <x:c r="Q206" s="59" t="str">
        <x:v>待确认</x:v>
      </x:c>
    </x:row>
    <x:row r="207">
      <x:c r="A207" s="56" t="str">
        <x:v>P005</x:v>
      </x:c>
      <x:c r="B207" s="56" t="str">
        <x:v>P005</x:v>
      </x:c>
      <x:c r="C207" s="56" t="str">
        <x:v>followup</x:v>
      </x:c>
      <x:c r="D207" s="56" t="n">
        <x:v>40</x:v>
      </x:c>
      <x:c r="E207" s="56" t="str">
        <x:v>followup.efficiency</x:v>
      </x:c>
      <x:c r="F207" s="56" t="str">
        <x:v>操作效率</x:v>
      </x:c>
      <x:c r="G207" s="56" t="n">
        <x:v>10</x:v>
      </x:c>
      <x:c r="H207" s="56" t="str">
        <x:v>普通得分项</x:v>
      </x:c>
      <x:c r="I207" s="56" t="str">
        <x:v>否</x:v>
      </x:c>
      <x:c r="J207" s="56" t="str">
        <x:v>否</x:v>
      </x:c>
      <x:c r="K207" s="56" t="str">
        <x:v>否</x:v>
      </x:c>
      <x:c r="L207" s="56" t="str">
        <x:v>按结构化事件证据给予0/部分/满分；不能由总结反推已完成</x:v>
      </x:c>
      <x:c r="M207" s="56" t="str"/>
      <x:c r="N207" s="56" t="n">
        <x:f>SUMIFS($G$4:$G$1673,$A$4:$A$1673,A207)</x:f>
        <x:v>360</x:v>
      </x:c>
      <x:c r="O207" s="56" t="str">
        <x:f>IF(N207=360,"通过","失败")</x:f>
        <x:v>通过</x:v>
      </x:c>
      <x:c r="P207" s="56" t="str"/>
      <x:c r="Q207" s="59" t="str">
        <x:v>待确认</x:v>
      </x:c>
    </x:row>
    <x:row r="208">
      <x:c r="A208" s="56" t="str">
        <x:v>P006</x:v>
      </x:c>
      <x:c r="B208" s="56" t="str">
        <x:v>P006</x:v>
      </x:c>
      <x:c r="C208" s="56" t="str">
        <x:v>history</x:v>
      </x:c>
      <x:c r="D208" s="56" t="n">
        <x:v>50</x:v>
      </x:c>
      <x:c r="E208" s="56" t="str">
        <x:v>history.hematuria_visibility</x:v>
      </x:c>
      <x:c r="F208" s="56" t="str">
        <x:v>hematuria_visibility</x:v>
      </x:c>
      <x:c r="G208" s="56" t="n">
        <x:v>5</x:v>
      </x:c>
      <x:c r="H208" s="56" t="str">
        <x:v>普通得分项</x:v>
      </x:c>
      <x:c r="I208" s="56" t="str">
        <x:v>否</x:v>
      </x:c>
      <x:c r="J208" s="56" t="str">
        <x:v>否</x:v>
      </x:c>
      <x:c r="K208" s="56" t="str">
        <x:v>否</x:v>
      </x:c>
      <x:c r="L208" s="56" t="str">
        <x:v>按结构化事件证据给予0/部分/满分；不能由总结反推已完成</x:v>
      </x:c>
      <x:c r="M208" s="56" t="str"/>
      <x:c r="N208" s="56" t="n">
        <x:f>SUMIFS($G$4:$G$1673,$A$4:$A$1673,A208)</x:f>
        <x:v>360</x:v>
      </x:c>
      <x:c r="O208" s="56" t="str">
        <x:f>IF(N208=360,"通过","失败")</x:f>
        <x:v>通过</x:v>
      </x:c>
      <x:c r="P208" s="56" t="str"/>
      <x:c r="Q208" s="59" t="str">
        <x:v>待确认</x:v>
      </x:c>
    </x:row>
    <x:row r="209">
      <x:c r="A209" s="56" t="str">
        <x:v>P006</x:v>
      </x:c>
      <x:c r="B209" s="56" t="str">
        <x:v>P006</x:v>
      </x:c>
      <x:c r="C209" s="56" t="str">
        <x:v>history</x:v>
      </x:c>
      <x:c r="D209" s="56" t="n">
        <x:v>50</x:v>
      </x:c>
      <x:c r="E209" s="56" t="str">
        <x:v>history.hematuria_onset</x:v>
      </x:c>
      <x:c r="F209" s="56" t="str">
        <x:v>hematuria_onset</x:v>
      </x:c>
      <x:c r="G209" s="56" t="n">
        <x:v>5</x:v>
      </x:c>
      <x:c r="H209" s="56" t="str">
        <x:v>普通得分项</x:v>
      </x:c>
      <x:c r="I209" s="56" t="str">
        <x:v>否</x:v>
      </x:c>
      <x:c r="J209" s="56" t="str">
        <x:v>否</x:v>
      </x:c>
      <x:c r="K209" s="56" t="str">
        <x:v>否</x:v>
      </x:c>
      <x:c r="L209" s="56" t="str">
        <x:v>按结构化事件证据给予0/部分/满分；不能由总结反推已完成</x:v>
      </x:c>
      <x:c r="M209" s="56" t="str"/>
      <x:c r="N209" s="56" t="n">
        <x:f>SUMIFS($G$4:$G$1673,$A$4:$A$1673,A209)</x:f>
        <x:v>360</x:v>
      </x:c>
      <x:c r="O209" s="56" t="str">
        <x:f>IF(N209=360,"通过","失败")</x:f>
        <x:v>通过</x:v>
      </x:c>
      <x:c r="P209" s="56" t="str"/>
      <x:c r="Q209" s="59" t="str">
        <x:v>待确认</x:v>
      </x:c>
    </x:row>
    <x:row r="210">
      <x:c r="A210" s="56" t="str">
        <x:v>P006</x:v>
      </x:c>
      <x:c r="B210" s="56" t="str">
        <x:v>P006</x:v>
      </x:c>
      <x:c r="C210" s="56" t="str">
        <x:v>history</x:v>
      </x:c>
      <x:c r="D210" s="56" t="n">
        <x:v>50</x:v>
      </x:c>
      <x:c r="E210" s="56" t="str">
        <x:v>history.hematuria_frequency</x:v>
      </x:c>
      <x:c r="F210" s="56" t="str">
        <x:v>hematuria_frequency</x:v>
      </x:c>
      <x:c r="G210" s="56" t="n">
        <x:v>4</x:v>
      </x:c>
      <x:c r="H210" s="56" t="str">
        <x:v>普通得分项</x:v>
      </x:c>
      <x:c r="I210" s="56" t="str">
        <x:v>否</x:v>
      </x:c>
      <x:c r="J210" s="56" t="str">
        <x:v>否</x:v>
      </x:c>
      <x:c r="K210" s="56" t="str">
        <x:v>否</x:v>
      </x:c>
      <x:c r="L210" s="56" t="str">
        <x:v>按结构化事件证据给予0/部分/满分；不能由总结反推已完成</x:v>
      </x:c>
      <x:c r="M210" s="56" t="str"/>
      <x:c r="N210" s="56" t="n">
        <x:f>SUMIFS($G$4:$G$1673,$A$4:$A$1673,A210)</x:f>
        <x:v>360</x:v>
      </x:c>
      <x:c r="O210" s="56" t="str">
        <x:f>IF(N210=360,"通过","失败")</x:f>
        <x:v>通过</x:v>
      </x:c>
      <x:c r="P210" s="56" t="str"/>
      <x:c r="Q210" s="59" t="str">
        <x:v>待确认</x:v>
      </x:c>
    </x:row>
    <x:row r="211">
      <x:c r="A211" s="56" t="str">
        <x:v>P006</x:v>
      </x:c>
      <x:c r="B211" s="56" t="str">
        <x:v>P006</x:v>
      </x:c>
      <x:c r="C211" s="56" t="str">
        <x:v>history</x:v>
      </x:c>
      <x:c r="D211" s="56" t="n">
        <x:v>50</x:v>
      </x:c>
      <x:c r="E211" s="56" t="str">
        <x:v>history.hematuria_phase</x:v>
      </x:c>
      <x:c r="F211" s="56" t="str">
        <x:v>hematuria_phase</x:v>
      </x:c>
      <x:c r="G211" s="56" t="n">
        <x:v>4</x:v>
      </x:c>
      <x:c r="H211" s="56" t="str">
        <x:v>普通得分项</x:v>
      </x:c>
      <x:c r="I211" s="56" t="str">
        <x:v>否</x:v>
      </x:c>
      <x:c r="J211" s="56" t="str">
        <x:v>否</x:v>
      </x:c>
      <x:c r="K211" s="56" t="str">
        <x:v>否</x:v>
      </x:c>
      <x:c r="L211" s="56" t="str">
        <x:v>按结构化事件证据给予0/部分/满分；不能由总结反推已完成</x:v>
      </x:c>
      <x:c r="M211" s="56" t="str"/>
      <x:c r="N211" s="56" t="n">
        <x:f>SUMIFS($G$4:$G$1673,$A$4:$A$1673,A211)</x:f>
        <x:v>360</x:v>
      </x:c>
      <x:c r="O211" s="56" t="str">
        <x:f>IF(N211=360,"通过","失败")</x:f>
        <x:v>通过</x:v>
      </x:c>
      <x:c r="P211" s="56" t="str"/>
      <x:c r="Q211" s="59" t="str">
        <x:v>待确认</x:v>
      </x:c>
    </x:row>
    <x:row r="212">
      <x:c r="A212" s="56" t="str">
        <x:v>P006</x:v>
      </x:c>
      <x:c r="B212" s="56" t="str">
        <x:v>P006</x:v>
      </x:c>
      <x:c r="C212" s="56" t="str">
        <x:v>history</x:v>
      </x:c>
      <x:c r="D212" s="56" t="n">
        <x:v>50</x:v>
      </x:c>
      <x:c r="E212" s="56" t="str">
        <x:v>history.urine_color</x:v>
      </x:c>
      <x:c r="F212" s="56" t="str">
        <x:v>urine_color</x:v>
      </x:c>
      <x:c r="G212" s="56" t="n">
        <x:v>4</x:v>
      </x:c>
      <x:c r="H212" s="56" t="str">
        <x:v>普通得分项</x:v>
      </x:c>
      <x:c r="I212" s="56" t="str">
        <x:v>否</x:v>
      </x:c>
      <x:c r="J212" s="56" t="str">
        <x:v>否</x:v>
      </x:c>
      <x:c r="K212" s="56" t="str">
        <x:v>否</x:v>
      </x:c>
      <x:c r="L212" s="56" t="str">
        <x:v>按结构化事件证据给予0/部分/满分；不能由总结反推已完成</x:v>
      </x:c>
      <x:c r="M212" s="56" t="str"/>
      <x:c r="N212" s="56" t="n">
        <x:f>SUMIFS($G$4:$G$1673,$A$4:$A$1673,A212)</x:f>
        <x:v>360</x:v>
      </x:c>
      <x:c r="O212" s="56" t="str">
        <x:f>IF(N212=360,"通过","失败")</x:f>
        <x:v>通过</x:v>
      </x:c>
      <x:c r="P212" s="56" t="str"/>
      <x:c r="Q212" s="59" t="str">
        <x:v>待确认</x:v>
      </x:c>
    </x:row>
    <x:row r="213">
      <x:c r="A213" s="56" t="str">
        <x:v>P006</x:v>
      </x:c>
      <x:c r="B213" s="56" t="str">
        <x:v>P006</x:v>
      </x:c>
      <x:c r="C213" s="56" t="str">
        <x:v>history</x:v>
      </x:c>
      <x:c r="D213" s="56" t="n">
        <x:v>50</x:v>
      </x:c>
      <x:c r="E213" s="56" t="str">
        <x:v>history.clots</x:v>
      </x:c>
      <x:c r="F213" s="56" t="str">
        <x:v>clots</x:v>
      </x:c>
      <x:c r="G213" s="56" t="n">
        <x:v>4</x:v>
      </x:c>
      <x:c r="H213" s="56" t="str">
        <x:v>普通得分项</x:v>
      </x:c>
      <x:c r="I213" s="56" t="str">
        <x:v>否</x:v>
      </x:c>
      <x:c r="J213" s="56" t="str">
        <x:v>否</x:v>
      </x:c>
      <x:c r="K213" s="56" t="str">
        <x:v>否</x:v>
      </x:c>
      <x:c r="L213" s="56" t="str">
        <x:v>按结构化事件证据给予0/部分/满分；不能由总结反推已完成</x:v>
      </x:c>
      <x:c r="M213" s="56" t="str"/>
      <x:c r="N213" s="56" t="n">
        <x:f>SUMIFS($G$4:$G$1673,$A$4:$A$1673,A213)</x:f>
        <x:v>360</x:v>
      </x:c>
      <x:c r="O213" s="56" t="str">
        <x:f>IF(N213=360,"通过","失败")</x:f>
        <x:v>通过</x:v>
      </x:c>
      <x:c r="P213" s="56" t="str"/>
      <x:c r="Q213" s="59" t="str">
        <x:v>待确认</x:v>
      </x:c>
    </x:row>
    <x:row r="214">
      <x:c r="A214" s="56" t="str">
        <x:v>P006</x:v>
      </x:c>
      <x:c r="B214" s="56" t="str">
        <x:v>P006</x:v>
      </x:c>
      <x:c r="C214" s="56" t="str">
        <x:v>history</x:v>
      </x:c>
      <x:c r="D214" s="56" t="n">
        <x:v>50</x:v>
      </x:c>
      <x:c r="E214" s="56" t="str">
        <x:v>history.pain</x:v>
      </x:c>
      <x:c r="F214" s="56" t="str">
        <x:v>pain</x:v>
      </x:c>
      <x:c r="G214" s="56" t="n">
        <x:v>4</x:v>
      </x:c>
      <x:c r="H214" s="56" t="str">
        <x:v>普通得分项</x:v>
      </x:c>
      <x:c r="I214" s="56" t="str">
        <x:v>否</x:v>
      </x:c>
      <x:c r="J214" s="56" t="str">
        <x:v>否</x:v>
      </x:c>
      <x:c r="K214" s="56" t="str">
        <x:v>否</x:v>
      </x:c>
      <x:c r="L214" s="56" t="str">
        <x:v>按结构化事件证据给予0/部分/满分；不能由总结反推已完成</x:v>
      </x:c>
      <x:c r="M214" s="56" t="str"/>
      <x:c r="N214" s="56" t="n">
        <x:f>SUMIFS($G$4:$G$1673,$A$4:$A$1673,A214)</x:f>
        <x:v>360</x:v>
      </x:c>
      <x:c r="O214" s="56" t="str">
        <x:f>IF(N214=360,"通过","失败")</x:f>
        <x:v>通过</x:v>
      </x:c>
      <x:c r="P214" s="56" t="str"/>
      <x:c r="Q214" s="59" t="str">
        <x:v>待确认</x:v>
      </x:c>
    </x:row>
    <x:row r="215">
      <x:c r="A215" s="56" t="str">
        <x:v>P006</x:v>
      </x:c>
      <x:c r="B215" s="56" t="str">
        <x:v>P006</x:v>
      </x:c>
      <x:c r="C215" s="56" t="str">
        <x:v>history</x:v>
      </x:c>
      <x:c r="D215" s="56" t="n">
        <x:v>50</x:v>
      </x:c>
      <x:c r="E215" s="56" t="str">
        <x:v>history.dysuria</x:v>
      </x:c>
      <x:c r="F215" s="56" t="str">
        <x:v>dysuria</x:v>
      </x:c>
      <x:c r="G215" s="56" t="n">
        <x:v>4</x:v>
      </x:c>
      <x:c r="H215" s="56" t="str">
        <x:v>普通得分项</x:v>
      </x:c>
      <x:c r="I215" s="56" t="str">
        <x:v>否</x:v>
      </x:c>
      <x:c r="J215" s="56" t="str">
        <x:v>否</x:v>
      </x:c>
      <x:c r="K215" s="56" t="str">
        <x:v>否</x:v>
      </x:c>
      <x:c r="L215" s="56" t="str">
        <x:v>按结构化事件证据给予0/部分/满分；不能由总结反推已完成</x:v>
      </x:c>
      <x:c r="M215" s="56" t="str"/>
      <x:c r="N215" s="56" t="n">
        <x:f>SUMIFS($G$4:$G$1673,$A$4:$A$1673,A215)</x:f>
        <x:v>360</x:v>
      </x:c>
      <x:c r="O215" s="56" t="str">
        <x:f>IF(N215=360,"通过","失败")</x:f>
        <x:v>通过</x:v>
      </x:c>
      <x:c r="P215" s="56" t="str"/>
      <x:c r="Q215" s="59" t="str">
        <x:v>待确认</x:v>
      </x:c>
    </x:row>
    <x:row r="216">
      <x:c r="A216" s="56" t="str">
        <x:v>P006</x:v>
      </x:c>
      <x:c r="B216" s="56" t="str">
        <x:v>P006</x:v>
      </x:c>
      <x:c r="C216" s="56" t="str">
        <x:v>history</x:v>
      </x:c>
      <x:c r="D216" s="56" t="n">
        <x:v>50</x:v>
      </x:c>
      <x:c r="E216" s="56" t="str">
        <x:v>history.urinary_frequency</x:v>
      </x:c>
      <x:c r="F216" s="56" t="str">
        <x:v>urinary_frequency</x:v>
      </x:c>
      <x:c r="G216" s="56" t="n">
        <x:v>4</x:v>
      </x:c>
      <x:c r="H216" s="56" t="str">
        <x:v>普通得分项</x:v>
      </x:c>
      <x:c r="I216" s="56" t="str">
        <x:v>否</x:v>
      </x:c>
      <x:c r="J216" s="56" t="str">
        <x:v>否</x:v>
      </x:c>
      <x:c r="K216" s="56" t="str">
        <x:v>否</x:v>
      </x:c>
      <x:c r="L216" s="56" t="str">
        <x:v>按结构化事件证据给予0/部分/满分；不能由总结反推已完成</x:v>
      </x:c>
      <x:c r="M216" s="56" t="str"/>
      <x:c r="N216" s="56" t="n">
        <x:f>SUMIFS($G$4:$G$1673,$A$4:$A$1673,A216)</x:f>
        <x:v>360</x:v>
      </x:c>
      <x:c r="O216" s="56" t="str">
        <x:f>IF(N216=360,"通过","失败")</x:f>
        <x:v>通过</x:v>
      </x:c>
      <x:c r="P216" s="56" t="str"/>
      <x:c r="Q216" s="59" t="str">
        <x:v>待确认</x:v>
      </x:c>
    </x:row>
    <x:row r="217">
      <x:c r="A217" s="56" t="str">
        <x:v>P006</x:v>
      </x:c>
      <x:c r="B217" s="56" t="str">
        <x:v>P006</x:v>
      </x:c>
      <x:c r="C217" s="56" t="str">
        <x:v>history</x:v>
      </x:c>
      <x:c r="D217" s="56" t="n">
        <x:v>50</x:v>
      </x:c>
      <x:c r="E217" s="56" t="str">
        <x:v>history.urinary_urgency</x:v>
      </x:c>
      <x:c r="F217" s="56" t="str">
        <x:v>urinary_urgency</x:v>
      </x:c>
      <x:c r="G217" s="56" t="n">
        <x:v>4</x:v>
      </x:c>
      <x:c r="H217" s="56" t="str">
        <x:v>普通得分项</x:v>
      </x:c>
      <x:c r="I217" s="56" t="str">
        <x:v>否</x:v>
      </x:c>
      <x:c r="J217" s="56" t="str">
        <x:v>否</x:v>
      </x:c>
      <x:c r="K217" s="56" t="str">
        <x:v>否</x:v>
      </x:c>
      <x:c r="L217" s="56" t="str">
        <x:v>按结构化事件证据给予0/部分/满分；不能由总结反推已完成</x:v>
      </x:c>
      <x:c r="M217" s="56" t="str"/>
      <x:c r="N217" s="56" t="n">
        <x:f>SUMIFS($G$4:$G$1673,$A$4:$A$1673,A217)</x:f>
        <x:v>360</x:v>
      </x:c>
      <x:c r="O217" s="56" t="str">
        <x:f>IF(N217=360,"通过","失败")</x:f>
        <x:v>通过</x:v>
      </x:c>
      <x:c r="P217" s="56" t="str"/>
      <x:c r="Q217" s="59" t="str">
        <x:v>待确认</x:v>
      </x:c>
    </x:row>
    <x:row r="218">
      <x:c r="A218" s="56" t="str">
        <x:v>P006</x:v>
      </x:c>
      <x:c r="B218" s="56" t="str">
        <x:v>P006</x:v>
      </x:c>
      <x:c r="C218" s="56" t="str">
        <x:v>history</x:v>
      </x:c>
      <x:c r="D218" s="56" t="n">
        <x:v>50</x:v>
      </x:c>
      <x:c r="E218" s="56" t="str">
        <x:v>history.flank_pain</x:v>
      </x:c>
      <x:c r="F218" s="56" t="str">
        <x:v>flank_pain</x:v>
      </x:c>
      <x:c r="G218" s="56" t="n">
        <x:v>4</x:v>
      </x:c>
      <x:c r="H218" s="56" t="str">
        <x:v>普通得分项</x:v>
      </x:c>
      <x:c r="I218" s="56" t="str">
        <x:v>否</x:v>
      </x:c>
      <x:c r="J218" s="56" t="str">
        <x:v>否</x:v>
      </x:c>
      <x:c r="K218" s="56" t="str">
        <x:v>否</x:v>
      </x:c>
      <x:c r="L218" s="56" t="str">
        <x:v>按结构化事件证据给予0/部分/满分；不能由总结反推已完成</x:v>
      </x:c>
      <x:c r="M218" s="56" t="str"/>
      <x:c r="N218" s="56" t="n">
        <x:f>SUMIFS($G$4:$G$1673,$A$4:$A$1673,A218)</x:f>
        <x:v>360</x:v>
      </x:c>
      <x:c r="O218" s="56" t="str">
        <x:f>IF(N218=360,"通过","失败")</x:f>
        <x:v>通过</x:v>
      </x:c>
      <x:c r="P218" s="56" t="str"/>
      <x:c r="Q218" s="59" t="str">
        <x:v>待确认</x:v>
      </x:c>
    </x:row>
    <x:row r="219">
      <x:c r="A219" s="56" t="str">
        <x:v>P006</x:v>
      </x:c>
      <x:c r="B219" s="56" t="str">
        <x:v>P006</x:v>
      </x:c>
      <x:c r="C219" s="56" t="str">
        <x:v>history</x:v>
      </x:c>
      <x:c r="D219" s="56" t="n">
        <x:v>50</x:v>
      </x:c>
      <x:c r="E219" s="56" t="str">
        <x:v>history.fever_chills</x:v>
      </x:c>
      <x:c r="F219" s="56" t="str">
        <x:v>fever_chills</x:v>
      </x:c>
      <x:c r="G219" s="56" t="n">
        <x:v>4</x:v>
      </x:c>
      <x:c r="H219" s="56" t="str">
        <x:v>普通得分项</x:v>
      </x:c>
      <x:c r="I219" s="56" t="str">
        <x:v>否</x:v>
      </x:c>
      <x:c r="J219" s="56" t="str">
        <x:v>否</x:v>
      </x:c>
      <x:c r="K219" s="56" t="str">
        <x:v>否</x:v>
      </x:c>
      <x:c r="L219" s="56" t="str">
        <x:v>按结构化事件证据给予0/部分/满分；不能由总结反推已完成</x:v>
      </x:c>
      <x:c r="M219" s="56" t="str"/>
      <x:c r="N219" s="56" t="n">
        <x:f>SUMIFS($G$4:$G$1673,$A$4:$A$1673,A219)</x:f>
        <x:v>360</x:v>
      </x:c>
      <x:c r="O219" s="56" t="str">
        <x:f>IF(N219=360,"通过","失败")</x:f>
        <x:v>通过</x:v>
      </x:c>
      <x:c r="P219" s="56" t="str"/>
      <x:c r="Q219" s="59" t="str">
        <x:v>待确认</x:v>
      </x:c>
    </x:row>
    <x:row r="220">
      <x:c r="A220" s="56" t="str">
        <x:v>P006</x:v>
      </x:c>
      <x:c r="B220" s="56" t="str">
        <x:v>P006</x:v>
      </x:c>
      <x:c r="C220" s="56" t="str">
        <x:v>risk</x:v>
      </x:c>
      <x:c r="D220" s="56" t="n">
        <x:v>40</x:v>
      </x:c>
      <x:c r="E220" s="56" t="str">
        <x:v>risk.uti_history</x:v>
      </x:c>
      <x:c r="F220" s="56" t="str">
        <x:v>uti_history</x:v>
      </x:c>
      <x:c r="G220" s="56" t="n">
        <x:v>10</x:v>
      </x:c>
      <x:c r="H220" s="56" t="str">
        <x:v>普通得分项</x:v>
      </x:c>
      <x:c r="I220" s="56" t="str">
        <x:v>否</x:v>
      </x:c>
      <x:c r="J220" s="56" t="str">
        <x:v>否</x:v>
      </x:c>
      <x:c r="K220" s="56" t="str">
        <x:v>否</x:v>
      </x:c>
      <x:c r="L220" s="56" t="str">
        <x:v>按结构化事件证据给予0/部分/满分；不能由总结反推已完成</x:v>
      </x:c>
      <x:c r="M220" s="56" t="str"/>
      <x:c r="N220" s="56" t="n">
        <x:f>SUMIFS($G$4:$G$1673,$A$4:$A$1673,A220)</x:f>
        <x:v>360</x:v>
      </x:c>
      <x:c r="O220" s="56" t="str">
        <x:f>IF(N220=360,"通过","失败")</x:f>
        <x:v>通过</x:v>
      </x:c>
      <x:c r="P220" s="56" t="str"/>
      <x:c r="Q220" s="59" t="str">
        <x:v>待确认</x:v>
      </x:c>
    </x:row>
    <x:row r="221">
      <x:c r="A221" s="56" t="str">
        <x:v>P006</x:v>
      </x:c>
      <x:c r="B221" s="56" t="str">
        <x:v>P006</x:v>
      </x:c>
      <x:c r="C221" s="56" t="str">
        <x:v>risk</x:v>
      </x:c>
      <x:c r="D221" s="56" t="n">
        <x:v>40</x:v>
      </x:c>
      <x:c r="E221" s="56" t="str">
        <x:v>risk.stone_history</x:v>
      </x:c>
      <x:c r="F221" s="56" t="str">
        <x:v>stone_history</x:v>
      </x:c>
      <x:c r="G221" s="56" t="n">
        <x:v>10</x:v>
      </x:c>
      <x:c r="H221" s="56" t="str">
        <x:v>普通得分项</x:v>
      </x:c>
      <x:c r="I221" s="56" t="str">
        <x:v>否</x:v>
      </x:c>
      <x:c r="J221" s="56" t="str">
        <x:v>否</x:v>
      </x:c>
      <x:c r="K221" s="56" t="str">
        <x:v>否</x:v>
      </x:c>
      <x:c r="L221" s="56" t="str">
        <x:v>按结构化事件证据给予0/部分/满分；不能由总结反推已完成</x:v>
      </x:c>
      <x:c r="M221" s="56" t="str"/>
      <x:c r="N221" s="56" t="n">
        <x:f>SUMIFS($G$4:$G$1673,$A$4:$A$1673,A221)</x:f>
        <x:v>360</x:v>
      </x:c>
      <x:c r="O221" s="56" t="str">
        <x:f>IF(N221=360,"通过","失败")</x:f>
        <x:v>通过</x:v>
      </x:c>
      <x:c r="P221" s="56" t="str"/>
      <x:c r="Q221" s="59" t="str">
        <x:v>待确认</x:v>
      </x:c>
    </x:row>
    <x:row r="222">
      <x:c r="A222" s="56" t="str">
        <x:v>P006</x:v>
      </x:c>
      <x:c r="B222" s="56" t="str">
        <x:v>P006</x:v>
      </x:c>
      <x:c r="C222" s="56" t="str">
        <x:v>risk</x:v>
      </x:c>
      <x:c r="D222" s="56" t="n">
        <x:v>40</x:v>
      </x:c>
      <x:c r="E222" s="56" t="str">
        <x:v>risk.urinary_procedure_history</x:v>
      </x:c>
      <x:c r="F222" s="56" t="str">
        <x:v>urinary_procedure_history</x:v>
      </x:c>
      <x:c r="G222" s="56" t="n">
        <x:v>10</x:v>
      </x:c>
      <x:c r="H222" s="56" t="str">
        <x:v>普通得分项</x:v>
      </x:c>
      <x:c r="I222" s="56" t="str">
        <x:v>否</x:v>
      </x:c>
      <x:c r="J222" s="56" t="str">
        <x:v>否</x:v>
      </x:c>
      <x:c r="K222" s="56" t="str">
        <x:v>否</x:v>
      </x:c>
      <x:c r="L222" s="56" t="str">
        <x:v>按结构化事件证据给予0/部分/满分；不能由总结反推已完成</x:v>
      </x:c>
      <x:c r="M222" s="56" t="str"/>
      <x:c r="N222" s="56" t="n">
        <x:f>SUMIFS($G$4:$G$1673,$A$4:$A$1673,A222)</x:f>
        <x:v>360</x:v>
      </x:c>
      <x:c r="O222" s="56" t="str">
        <x:f>IF(N222=360,"通过","失败")</x:f>
        <x:v>通过</x:v>
      </x:c>
      <x:c r="P222" s="56" t="str"/>
      <x:c r="Q222" s="59" t="str">
        <x:v>待确认</x:v>
      </x:c>
    </x:row>
    <x:row r="223">
      <x:c r="A223" s="56" t="str">
        <x:v>P006</x:v>
      </x:c>
      <x:c r="B223" s="56" t="str">
        <x:v>P006</x:v>
      </x:c>
      <x:c r="C223" s="56" t="str">
        <x:v>risk</x:v>
      </x:c>
      <x:c r="D223" s="56" t="n">
        <x:v>40</x:v>
      </x:c>
      <x:c r="E223" s="56" t="str">
        <x:v>risk.gynecologic_contamination</x:v>
      </x:c>
      <x:c r="F223" s="56" t="str">
        <x:v>gynecologic_contamination</x:v>
      </x:c>
      <x:c r="G223" s="56" t="n">
        <x:v>10</x:v>
      </x:c>
      <x:c r="H223" s="56" t="str">
        <x:v>普通得分项</x:v>
      </x:c>
      <x:c r="I223" s="56" t="str">
        <x:v>否</x:v>
      </x:c>
      <x:c r="J223" s="56" t="str">
        <x:v>否</x:v>
      </x:c>
      <x:c r="K223" s="56" t="str">
        <x:v>否</x:v>
      </x:c>
      <x:c r="L223" s="56" t="str">
        <x:v>按结构化事件证据给予0/部分/满分；不能由总结反推已完成</x:v>
      </x:c>
      <x:c r="M223" s="56" t="str"/>
      <x:c r="N223" s="56" t="n">
        <x:f>SUMIFS($G$4:$G$1673,$A$4:$A$1673,A223)</x:f>
        <x:v>360</x:v>
      </x:c>
      <x:c r="O223" s="56" t="str">
        <x:f>IF(N223=360,"通过","失败")</x:f>
        <x:v>通过</x:v>
      </x:c>
      <x:c r="P223" s="56" t="str"/>
      <x:c r="Q223" s="59" t="str">
        <x:v>待确认</x:v>
      </x:c>
    </x:row>
    <x:row r="224">
      <x:c r="A224" s="56" t="str">
        <x:v>P006</x:v>
      </x:c>
      <x:c r="B224" s="56" t="str">
        <x:v>P006</x:v>
      </x:c>
      <x:c r="C224" s="56" t="str">
        <x:v>exam</x:v>
      </x:c>
      <x:c r="D224" s="56" t="n">
        <x:v>35</x:v>
      </x:c>
      <x:c r="E224" s="56" t="str">
        <x:v>exam.temperature</x:v>
      </x:c>
      <x:c r="F224" s="56" t="str">
        <x:v>体温</x:v>
      </x:c>
      <x:c r="G224" s="56" t="n">
        <x:v>12</x:v>
      </x:c>
      <x:c r="H224" s="56" t="str">
        <x:v>普通得分项</x:v>
      </x:c>
      <x:c r="I224" s="56" t="str">
        <x:v>否</x:v>
      </x:c>
      <x:c r="J224" s="56" t="str">
        <x:v>否</x:v>
      </x:c>
      <x:c r="K224" s="56" t="str">
        <x:v>否</x:v>
      </x:c>
      <x:c r="L224" s="56" t="str">
        <x:v>按结构化事件证据给予0/部分/满分；不能由总结反推已完成</x:v>
      </x:c>
      <x:c r="M224" s="56" t="str"/>
      <x:c r="N224" s="56" t="n">
        <x:f>SUMIFS($G$4:$G$1673,$A$4:$A$1673,A224)</x:f>
        <x:v>360</x:v>
      </x:c>
      <x:c r="O224" s="56" t="str">
        <x:f>IF(N224=360,"通过","失败")</x:f>
        <x:v>通过</x:v>
      </x:c>
      <x:c r="P224" s="56" t="str"/>
      <x:c r="Q224" s="59" t="str">
        <x:v>待确认</x:v>
      </x:c>
    </x:row>
    <x:row r="225">
      <x:c r="A225" s="56" t="str">
        <x:v>P006</x:v>
      </x:c>
      <x:c r="B225" s="56" t="str">
        <x:v>P006</x:v>
      </x:c>
      <x:c r="C225" s="56" t="str">
        <x:v>exam</x:v>
      </x:c>
      <x:c r="D225" s="56" t="n">
        <x:v>35</x:v>
      </x:c>
      <x:c r="E225" s="56" t="str">
        <x:v>exam.blood_pressure</x:v>
      </x:c>
      <x:c r="F225" s="56" t="str">
        <x:v>血压</x:v>
      </x:c>
      <x:c r="G225" s="56" t="n">
        <x:v>12</x:v>
      </x:c>
      <x:c r="H225" s="56" t="str">
        <x:v>普通得分项</x:v>
      </x:c>
      <x:c r="I225" s="56" t="str">
        <x:v>否</x:v>
      </x:c>
      <x:c r="J225" s="56" t="str">
        <x:v>否</x:v>
      </x:c>
      <x:c r="K225" s="56" t="str">
        <x:v>否</x:v>
      </x:c>
      <x:c r="L225" s="56" t="str">
        <x:v>按结构化事件证据给予0/部分/满分；不能由总结反推已完成</x:v>
      </x:c>
      <x:c r="M225" s="56" t="str"/>
      <x:c r="N225" s="56" t="n">
        <x:f>SUMIFS($G$4:$G$1673,$A$4:$A$1673,A225)</x:f>
        <x:v>360</x:v>
      </x:c>
      <x:c r="O225" s="56" t="str">
        <x:f>IF(N225=360,"通过","失败")</x:f>
        <x:v>通过</x:v>
      </x:c>
      <x:c r="P225" s="56" t="str"/>
      <x:c r="Q225" s="59" t="str">
        <x:v>待确认</x:v>
      </x:c>
    </x:row>
    <x:row r="226">
      <x:c r="A226" s="56" t="str">
        <x:v>P006</x:v>
      </x:c>
      <x:c r="B226" s="56" t="str">
        <x:v>P006</x:v>
      </x:c>
      <x:c r="C226" s="56" t="str">
        <x:v>exam</x:v>
      </x:c>
      <x:c r="D226" s="56" t="n">
        <x:v>35</x:v>
      </x:c>
      <x:c r="E226" s="56" t="str">
        <x:v>exam.targeted</x:v>
      </x:c>
      <x:c r="F226" s="56" t="str">
        <x:v>病例针对性查体</x:v>
      </x:c>
      <x:c r="G226" s="56" t="n">
        <x:v>11</x:v>
      </x:c>
      <x:c r="H226" s="56" t="str">
        <x:v>普通得分项</x:v>
      </x:c>
      <x:c r="I226" s="56" t="str">
        <x:v>否</x:v>
      </x:c>
      <x:c r="J226" s="56" t="str">
        <x:v>否</x:v>
      </x:c>
      <x:c r="K226" s="56" t="str">
        <x:v>否</x:v>
      </x:c>
      <x:c r="L226" s="56" t="str">
        <x:v>按结构化事件证据给予0/部分/满分；不能由总结反推已完成</x:v>
      </x:c>
      <x:c r="M226" s="56" t="str"/>
      <x:c r="N226" s="56" t="n">
        <x:f>SUMIFS($G$4:$G$1673,$A$4:$A$1673,A226)</x:f>
        <x:v>360</x:v>
      </x:c>
      <x:c r="O226" s="56" t="str">
        <x:f>IF(N226=360,"通过","失败")</x:f>
        <x:v>通过</x:v>
      </x:c>
      <x:c r="P226" s="56" t="str"/>
      <x:c r="Q226" s="59" t="str">
        <x:v>待确认</x:v>
      </x:c>
    </x:row>
    <x:row r="227">
      <x:c r="A227" s="56" t="str">
        <x:v>P006</x:v>
      </x:c>
      <x:c r="B227" s="56" t="str">
        <x:v>P006</x:v>
      </x:c>
      <x:c r="C227" s="56" t="str">
        <x:v>diagnosis</x:v>
      </x:c>
      <x:c r="D227" s="56" t="n">
        <x:v>45</x:v>
      </x:c>
      <x:c r="E227" s="56" t="str">
        <x:v>diagnosis.primary</x:v>
      </x:c>
      <x:c r="F227" s="56" t="str">
        <x:v>最可能诊断及依据</x:v>
      </x:c>
      <x:c r="G227" s="56" t="n">
        <x:v>15</x:v>
      </x:c>
      <x:c r="H227" s="56" t="str">
        <x:v>普通得分项</x:v>
      </x:c>
      <x:c r="I227" s="56" t="str">
        <x:v>否</x:v>
      </x:c>
      <x:c r="J227" s="56" t="str">
        <x:v>否</x:v>
      </x:c>
      <x:c r="K227" s="56" t="str">
        <x:v>否</x:v>
      </x:c>
      <x:c r="L227" s="56" t="str">
        <x:v>按结构化事件证据给予0/部分/满分；不能由总结反推已完成</x:v>
      </x:c>
      <x:c r="M227" s="56" t="str"/>
      <x:c r="N227" s="56" t="n">
        <x:f>SUMIFS($G$4:$G$1673,$A$4:$A$1673,A227)</x:f>
        <x:v>360</x:v>
      </x:c>
      <x:c r="O227" s="56" t="str">
        <x:f>IF(N227=360,"通过","失败")</x:f>
        <x:v>通过</x:v>
      </x:c>
      <x:c r="P227" s="56" t="str"/>
      <x:c r="Q227" s="59" t="str">
        <x:v>待确认</x:v>
      </x:c>
    </x:row>
    <x:row r="228">
      <x:c r="A228" s="56" t="str">
        <x:v>P006</x:v>
      </x:c>
      <x:c r="B228" s="56" t="str">
        <x:v>P006</x:v>
      </x:c>
      <x:c r="C228" s="56" t="str">
        <x:v>diagnosis</x:v>
      </x:c>
      <x:c r="D228" s="56" t="n">
        <x:v>45</x:v>
      </x:c>
      <x:c r="E228" s="56" t="str">
        <x:v>diagnosis.differentials</x:v>
      </x:c>
      <x:c r="F228" s="56" t="str">
        <x:v>至少3项鉴别及支持/反对点</x:v>
      </x:c>
      <x:c r="G228" s="56" t="n">
        <x:v>15</x:v>
      </x:c>
      <x:c r="H228" s="56" t="str">
        <x:v>普通得分项</x:v>
      </x:c>
      <x:c r="I228" s="56" t="str">
        <x:v>否</x:v>
      </x:c>
      <x:c r="J228" s="56" t="str">
        <x:v>否</x:v>
      </x:c>
      <x:c r="K228" s="56" t="str">
        <x:v>否</x:v>
      </x:c>
      <x:c r="L228" s="56" t="str">
        <x:v>按结构化事件证据给予0/部分/满分；不能由总结反推已完成</x:v>
      </x:c>
      <x:c r="M228" s="56" t="str"/>
      <x:c r="N228" s="56" t="n">
        <x:f>SUMIFS($G$4:$G$1673,$A$4:$A$1673,A228)</x:f>
        <x:v>360</x:v>
      </x:c>
      <x:c r="O228" s="56" t="str">
        <x:f>IF(N228=360,"通过","失败")</x:f>
        <x:v>通过</x:v>
      </x:c>
      <x:c r="P228" s="56" t="str"/>
      <x:c r="Q228" s="59" t="str">
        <x:v>待确认</x:v>
      </x:c>
    </x:row>
    <x:row r="229">
      <x:c r="A229" s="56" t="str">
        <x:v>P006</x:v>
      </x:c>
      <x:c r="B229" s="56" t="str">
        <x:v>P006</x:v>
      </x:c>
      <x:c r="C229" s="56" t="str">
        <x:v>diagnosis</x:v>
      </x:c>
      <x:c r="D229" s="56" t="n">
        <x:v>45</x:v>
      </x:c>
      <x:c r="E229" s="56" t="str">
        <x:v>diagnosis.confirmation</x:v>
      </x:c>
      <x:c r="F229" s="56" t="str">
        <x:v>确认计划</x:v>
      </x:c>
      <x:c r="G229" s="56" t="n">
        <x:v>15</x:v>
      </x:c>
      <x:c r="H229" s="56" t="str">
        <x:v>普通得分项</x:v>
      </x:c>
      <x:c r="I229" s="56" t="str">
        <x:v>否</x:v>
      </x:c>
      <x:c r="J229" s="56" t="str">
        <x:v>否</x:v>
      </x:c>
      <x:c r="K229" s="56" t="str">
        <x:v>否</x:v>
      </x:c>
      <x:c r="L229" s="56" t="str">
        <x:v>按结构化事件证据给予0/部分/满分；不能由总结反推已完成</x:v>
      </x:c>
      <x:c r="M229" s="56" t="str"/>
      <x:c r="N229" s="56" t="n">
        <x:f>SUMIFS($G$4:$G$1673,$A$4:$A$1673,A229)</x:f>
        <x:v>360</x:v>
      </x:c>
      <x:c r="O229" s="56" t="str">
        <x:f>IF(N229=360,"通过","失败")</x:f>
        <x:v>通过</x:v>
      </x:c>
      <x:c r="P229" s="56" t="str"/>
      <x:c r="Q229" s="59" t="str">
        <x:v>待确认</x:v>
      </x:c>
    </x:row>
    <x:row r="230">
      <x:c r="A230" s="56" t="str">
        <x:v>P006</x:v>
      </x:c>
      <x:c r="B230" s="56" t="str">
        <x:v>P006</x:v>
      </x:c>
      <x:c r="C230" s="56" t="str">
        <x:v>orders</x:v>
      </x:c>
      <x:c r="D230" s="56" t="n">
        <x:v>55</x:v>
      </x:c>
      <x:c r="E230" s="56" t="str">
        <x:v>orders.LAB-UR-001</x:v>
      </x:c>
      <x:c r="F230" s="56" t="str">
        <x:v>LAB-UR-001</x:v>
      </x:c>
      <x:c r="G230" s="56" t="n">
        <x:v>10</x:v>
      </x:c>
      <x:c r="H230" s="56" t="str">
        <x:v>病例特异得分项</x:v>
      </x:c>
      <x:c r="I230" s="56" t="str">
        <x:v>否</x:v>
      </x:c>
      <x:c r="J230" s="56" t="str">
        <x:v>否</x:v>
      </x:c>
      <x:c r="K230" s="56" t="str">
        <x:v>否</x:v>
      </x:c>
      <x:c r="L230" s="56" t="str">
        <x:v>按结构化事件证据给予0/部分/满分；不能由总结反推已完成</x:v>
      </x:c>
      <x:c r="M230" s="56" t="str"/>
      <x:c r="N230" s="56" t="n">
        <x:f>SUMIFS($G$4:$G$1673,$A$4:$A$1673,A230)</x:f>
        <x:v>360</x:v>
      </x:c>
      <x:c r="O230" s="56" t="str">
        <x:f>IF(N230=360,"通过","失败")</x:f>
        <x:v>通过</x:v>
      </x:c>
      <x:c r="P230" s="56" t="str"/>
      <x:c r="Q230" s="59" t="str">
        <x:v>待确认</x:v>
      </x:c>
    </x:row>
    <x:row r="231">
      <x:c r="A231" s="56" t="str">
        <x:v>P006</x:v>
      </x:c>
      <x:c r="B231" s="56" t="str">
        <x:v>P006</x:v>
      </x:c>
      <x:c r="C231" s="56" t="str">
        <x:v>orders</x:v>
      </x:c>
      <x:c r="D231" s="56" t="n">
        <x:v>55</x:v>
      </x:c>
      <x:c r="E231" s="56" t="str">
        <x:v>orders.LAB-UR-002</x:v>
      </x:c>
      <x:c r="F231" s="56" t="str">
        <x:v>LAB-UR-002</x:v>
      </x:c>
      <x:c r="G231" s="56" t="n">
        <x:v>9</x:v>
      </x:c>
      <x:c r="H231" s="56" t="str">
        <x:v>病例特异得分项</x:v>
      </x:c>
      <x:c r="I231" s="56" t="str">
        <x:v>否</x:v>
      </x:c>
      <x:c r="J231" s="56" t="str">
        <x:v>否</x:v>
      </x:c>
      <x:c r="K231" s="56" t="str">
        <x:v>否</x:v>
      </x:c>
      <x:c r="L231" s="56" t="str">
        <x:v>按结构化事件证据给予0/部分/满分；不能由总结反推已完成</x:v>
      </x:c>
      <x:c r="M231" s="56" t="str"/>
      <x:c r="N231" s="56" t="n">
        <x:f>SUMIFS($G$4:$G$1673,$A$4:$A$1673,A231)</x:f>
        <x:v>360</x:v>
      </x:c>
      <x:c r="O231" s="56" t="str">
        <x:f>IF(N231=360,"通过","失败")</x:f>
        <x:v>通过</x:v>
      </x:c>
      <x:c r="P231" s="56" t="str"/>
      <x:c r="Q231" s="59" t="str">
        <x:v>待确认</x:v>
      </x:c>
    </x:row>
    <x:row r="232">
      <x:c r="A232" s="56" t="str">
        <x:v>P006</x:v>
      </x:c>
      <x:c r="B232" s="56" t="str">
        <x:v>P006</x:v>
      </x:c>
      <x:c r="C232" s="56" t="str">
        <x:v>orders</x:v>
      </x:c>
      <x:c r="D232" s="56" t="n">
        <x:v>55</x:v>
      </x:c>
      <x:c r="E232" s="56" t="str">
        <x:v>orders.LAB-UR-008</x:v>
      </x:c>
      <x:c r="F232" s="56" t="str">
        <x:v>LAB-UR-008</x:v>
      </x:c>
      <x:c r="G232" s="56" t="n">
        <x:v>9</x:v>
      </x:c>
      <x:c r="H232" s="56" t="str">
        <x:v>病例特异得分项</x:v>
      </x:c>
      <x:c r="I232" s="56" t="str">
        <x:v>否</x:v>
      </x:c>
      <x:c r="J232" s="56" t="str">
        <x:v>否</x:v>
      </x:c>
      <x:c r="K232" s="56" t="str">
        <x:v>否</x:v>
      </x:c>
      <x:c r="L232" s="56" t="str">
        <x:v>按结构化事件证据给予0/部分/满分；不能由总结反推已完成</x:v>
      </x:c>
      <x:c r="M232" s="56" t="str"/>
      <x:c r="N232" s="56" t="n">
        <x:f>SUMIFS($G$4:$G$1673,$A$4:$A$1673,A232)</x:f>
        <x:v>360</x:v>
      </x:c>
      <x:c r="O232" s="56" t="str">
        <x:f>IF(N232=360,"通过","失败")</x:f>
        <x:v>通过</x:v>
      </x:c>
      <x:c r="P232" s="56" t="str"/>
      <x:c r="Q232" s="59" t="str">
        <x:v>待确认</x:v>
      </x:c>
    </x:row>
    <x:row r="233">
      <x:c r="A233" s="56" t="str">
        <x:v>P006</x:v>
      </x:c>
      <x:c r="B233" s="56" t="str">
        <x:v>P006</x:v>
      </x:c>
      <x:c r="C233" s="56" t="str">
        <x:v>orders</x:v>
      </x:c>
      <x:c r="D233" s="56" t="n">
        <x:v>55</x:v>
      </x:c>
      <x:c r="E233" s="56" t="str">
        <x:v>orders.LAB-BL-001</x:v>
      </x:c>
      <x:c r="F233" s="56" t="str">
        <x:v>LAB-BL-001</x:v>
      </x:c>
      <x:c r="G233" s="56" t="n">
        <x:v>9</x:v>
      </x:c>
      <x:c r="H233" s="56" t="str">
        <x:v>病例特异得分项</x:v>
      </x:c>
      <x:c r="I233" s="56" t="str">
        <x:v>否</x:v>
      </x:c>
      <x:c r="J233" s="56" t="str">
        <x:v>否</x:v>
      </x:c>
      <x:c r="K233" s="56" t="str">
        <x:v>否</x:v>
      </x:c>
      <x:c r="L233" s="56" t="str">
        <x:v>按结构化事件证据给予0/部分/满分；不能由总结反推已完成</x:v>
      </x:c>
      <x:c r="M233" s="56" t="str"/>
      <x:c r="N233" s="56" t="n">
        <x:f>SUMIFS($G$4:$G$1673,$A$4:$A$1673,A233)</x:f>
        <x:v>360</x:v>
      </x:c>
      <x:c r="O233" s="56" t="str">
        <x:f>IF(N233=360,"通过","失败")</x:f>
        <x:v>通过</x:v>
      </x:c>
      <x:c r="P233" s="56" t="str"/>
      <x:c r="Q233" s="59" t="str">
        <x:v>待确认</x:v>
      </x:c>
    </x:row>
    <x:row r="234">
      <x:c r="A234" s="56" t="str">
        <x:v>P006</x:v>
      </x:c>
      <x:c r="B234" s="56" t="str">
        <x:v>P006</x:v>
      </x:c>
      <x:c r="C234" s="56" t="str">
        <x:v>orders</x:v>
      </x:c>
      <x:c r="D234" s="56" t="n">
        <x:v>55</x:v>
      </x:c>
      <x:c r="E234" s="56" t="str">
        <x:v>orders.LAB-BL-002</x:v>
      </x:c>
      <x:c r="F234" s="56" t="str">
        <x:v>LAB-BL-002</x:v>
      </x:c>
      <x:c r="G234" s="56" t="n">
        <x:v>9</x:v>
      </x:c>
      <x:c r="H234" s="56" t="str">
        <x:v>病例特异得分项</x:v>
      </x:c>
      <x:c r="I234" s="56" t="str">
        <x:v>否</x:v>
      </x:c>
      <x:c r="J234" s="56" t="str">
        <x:v>否</x:v>
      </x:c>
      <x:c r="K234" s="56" t="str">
        <x:v>否</x:v>
      </x:c>
      <x:c r="L234" s="56" t="str">
        <x:v>按结构化事件证据给予0/部分/满分；不能由总结反推已完成</x:v>
      </x:c>
      <x:c r="M234" s="56" t="str"/>
      <x:c r="N234" s="56" t="n">
        <x:f>SUMIFS($G$4:$G$1673,$A$4:$A$1673,A234)</x:f>
        <x:v>360</x:v>
      </x:c>
      <x:c r="O234" s="56" t="str">
        <x:f>IF(N234=360,"通过","失败")</x:f>
        <x:v>通过</x:v>
      </x:c>
      <x:c r="P234" s="56" t="str"/>
      <x:c r="Q234" s="59" t="str">
        <x:v>待确认</x:v>
      </x:c>
    </x:row>
    <x:row r="235">
      <x:c r="A235" s="56" t="str">
        <x:v>P006</x:v>
      </x:c>
      <x:c r="B235" s="56" t="str">
        <x:v>P006</x:v>
      </x:c>
      <x:c r="C235" s="56" t="str">
        <x:v>orders</x:v>
      </x:c>
      <x:c r="D235" s="56" t="n">
        <x:v>55</x:v>
      </x:c>
      <x:c r="E235" s="56" t="str">
        <x:v>orders.LAB-BL-003</x:v>
      </x:c>
      <x:c r="F235" s="56" t="str">
        <x:v>LAB-BL-003</x:v>
      </x:c>
      <x:c r="G235" s="56" t="n">
        <x:v>9</x:v>
      </x:c>
      <x:c r="H235" s="56" t="str">
        <x:v>病例特异得分项</x:v>
      </x:c>
      <x:c r="I235" s="56" t="str">
        <x:v>否</x:v>
      </x:c>
      <x:c r="J235" s="56" t="str">
        <x:v>否</x:v>
      </x:c>
      <x:c r="K235" s="56" t="str">
        <x:v>否</x:v>
      </x:c>
      <x:c r="L235" s="56" t="str">
        <x:v>按结构化事件证据给予0/部分/满分；不能由总结反推已完成</x:v>
      </x:c>
      <x:c r="M235" s="56" t="str"/>
      <x:c r="N235" s="56" t="n">
        <x:f>SUMIFS($G$4:$G$1673,$A$4:$A$1673,A235)</x:f>
        <x:v>360</x:v>
      </x:c>
      <x:c r="O235" s="56" t="str">
        <x:f>IF(N235=360,"通过","失败")</x:f>
        <x:v>通过</x:v>
      </x:c>
      <x:c r="P235" s="56" t="str"/>
      <x:c r="Q235" s="59" t="str">
        <x:v>待确认</x:v>
      </x:c>
    </x:row>
    <x:row r="236">
      <x:c r="A236" s="56" t="str">
        <x:v>P006</x:v>
      </x:c>
      <x:c r="B236" s="56" t="str">
        <x:v>P006</x:v>
      </x:c>
      <x:c r="C236" s="56" t="str">
        <x:v>mdt</x:v>
      </x:c>
      <x:c r="D236" s="56" t="n">
        <x:v>45</x:v>
      </x:c>
      <x:c r="E236" s="56" t="str">
        <x:v>mdt.department</x:v>
      </x:c>
      <x:c r="F236" s="56" t="str">
        <x:v>department</x:v>
      </x:c>
      <x:c r="G236" s="56" t="n">
        <x:v>12</x:v>
      </x:c>
      <x:c r="H236" s="56" t="str">
        <x:v>病例特异得分项</x:v>
      </x:c>
      <x:c r="I236" s="56" t="str">
        <x:v>否</x:v>
      </x:c>
      <x:c r="J236" s="56" t="str">
        <x:v>否</x:v>
      </x:c>
      <x:c r="K236" s="56" t="str">
        <x:v>否</x:v>
      </x:c>
      <x:c r="L236" s="56" t="str">
        <x:v>按结构化事件证据给予0/部分/满分；不能由总结反推已完成</x:v>
      </x:c>
      <x:c r="M236" s="56" t="str"/>
      <x:c r="N236" s="56" t="n">
        <x:f>SUMIFS($G$4:$G$1673,$A$4:$A$1673,A236)</x:f>
        <x:v>360</x:v>
      </x:c>
      <x:c r="O236" s="56" t="str">
        <x:f>IF(N236=360,"通过","失败")</x:f>
        <x:v>通过</x:v>
      </x:c>
      <x:c r="P236" s="56" t="str"/>
      <x:c r="Q236" s="59" t="str">
        <x:v>待确认</x:v>
      </x:c>
    </x:row>
    <x:row r="237">
      <x:c r="A237" s="56" t="str">
        <x:v>P006</x:v>
      </x:c>
      <x:c r="B237" s="56" t="str">
        <x:v>P006</x:v>
      </x:c>
      <x:c r="C237" s="56" t="str">
        <x:v>mdt</x:v>
      </x:c>
      <x:c r="D237" s="56" t="n">
        <x:v>45</x:v>
      </x:c>
      <x:c r="E237" s="56" t="str">
        <x:v>mdt.trigger</x:v>
      </x:c>
      <x:c r="F237" s="56" t="str">
        <x:v>trigger</x:v>
      </x:c>
      <x:c r="G237" s="56" t="n">
        <x:v>11</x:v>
      </x:c>
      <x:c r="H237" s="56" t="str">
        <x:v>病例特异得分项</x:v>
      </x:c>
      <x:c r="I237" s="56" t="str">
        <x:v>否</x:v>
      </x:c>
      <x:c r="J237" s="56" t="str">
        <x:v>否</x:v>
      </x:c>
      <x:c r="K237" s="56" t="str">
        <x:v>否</x:v>
      </x:c>
      <x:c r="L237" s="56" t="str">
        <x:v>按结构化事件证据给予0/部分/满分；不能由总结反推已完成</x:v>
      </x:c>
      <x:c r="M237" s="56" t="str"/>
      <x:c r="N237" s="56" t="n">
        <x:f>SUMIFS($G$4:$G$1673,$A$4:$A$1673,A237)</x:f>
        <x:v>360</x:v>
      </x:c>
      <x:c r="O237" s="56" t="str">
        <x:f>IF(N237=360,"通过","失败")</x:f>
        <x:v>通过</x:v>
      </x:c>
      <x:c r="P237" s="56" t="str"/>
      <x:c r="Q237" s="59" t="str">
        <x:v>待确认</x:v>
      </x:c>
    </x:row>
    <x:row r="238">
      <x:c r="A238" s="56" t="str">
        <x:v>P006</x:v>
      </x:c>
      <x:c r="B238" s="56" t="str">
        <x:v>P006</x:v>
      </x:c>
      <x:c r="C238" s="56" t="str">
        <x:v>mdt</x:v>
      </x:c>
      <x:c r="D238" s="56" t="n">
        <x:v>45</x:v>
      </x:c>
      <x:c r="E238" s="56" t="str">
        <x:v>mdt.question</x:v>
      </x:c>
      <x:c r="F238" s="56" t="str">
        <x:v>question</x:v>
      </x:c>
      <x:c r="G238" s="56" t="n">
        <x:v>11</x:v>
      </x:c>
      <x:c r="H238" s="56" t="str">
        <x:v>病例特异得分项</x:v>
      </x:c>
      <x:c r="I238" s="56" t="str">
        <x:v>否</x:v>
      </x:c>
      <x:c r="J238" s="56" t="str">
        <x:v>否</x:v>
      </x:c>
      <x:c r="K238" s="56" t="str">
        <x:v>否</x:v>
      </x:c>
      <x:c r="L238" s="56" t="str">
        <x:v>按结构化事件证据给予0/部分/满分；不能由总结反推已完成</x:v>
      </x:c>
      <x:c r="M238" s="56" t="str"/>
      <x:c r="N238" s="56" t="n">
        <x:f>SUMIFS($G$4:$G$1673,$A$4:$A$1673,A238)</x:f>
        <x:v>360</x:v>
      </x:c>
      <x:c r="O238" s="56" t="str">
        <x:f>IF(N238=360,"通过","失败")</x:f>
        <x:v>通过</x:v>
      </x:c>
      <x:c r="P238" s="56" t="str"/>
      <x:c r="Q238" s="59" t="str">
        <x:v>待确认</x:v>
      </x:c>
    </x:row>
    <x:row r="239">
      <x:c r="A239" s="56" t="str">
        <x:v>P006</x:v>
      </x:c>
      <x:c r="B239" s="56" t="str">
        <x:v>P006</x:v>
      </x:c>
      <x:c r="C239" s="56" t="str">
        <x:v>mdt</x:v>
      </x:c>
      <x:c r="D239" s="56" t="n">
        <x:v>45</x:v>
      </x:c>
      <x:c r="E239" s="56" t="str">
        <x:v>mdt.evidence</x:v>
      </x:c>
      <x:c r="F239" s="56" t="str">
        <x:v>evidence</x:v>
      </x:c>
      <x:c r="G239" s="56" t="n">
        <x:v>11</x:v>
      </x:c>
      <x:c r="H239" s="56" t="str">
        <x:v>病例特异得分项</x:v>
      </x:c>
      <x:c r="I239" s="56" t="str">
        <x:v>否</x:v>
      </x:c>
      <x:c r="J239" s="56" t="str">
        <x:v>否</x:v>
      </x:c>
      <x:c r="K239" s="56" t="str">
        <x:v>否</x:v>
      </x:c>
      <x:c r="L239" s="56" t="str">
        <x:v>按结构化事件证据给予0/部分/满分；不能由总结反推已完成</x:v>
      </x:c>
      <x:c r="M239" s="56" t="str"/>
      <x:c r="N239" s="56" t="n">
        <x:f>SUMIFS($G$4:$G$1673,$A$4:$A$1673,A239)</x:f>
        <x:v>360</x:v>
      </x:c>
      <x:c r="O239" s="56" t="str">
        <x:f>IF(N239=360,"通过","失败")</x:f>
        <x:v>通过</x:v>
      </x:c>
      <x:c r="P239" s="56" t="str"/>
      <x:c r="Q239" s="59" t="str">
        <x:v>待确认</x:v>
      </x:c>
    </x:row>
    <x:row r="240">
      <x:c r="A240" s="56" t="str">
        <x:v>P006</x:v>
      </x:c>
      <x:c r="B240" s="56" t="str">
        <x:v>P006</x:v>
      </x:c>
      <x:c r="C240" s="56" t="str">
        <x:v>treatment</x:v>
      </x:c>
      <x:c r="D240" s="56" t="n">
        <x:v>50</x:v>
      </x:c>
      <x:c r="E240" s="56" t="str">
        <x:v>treatment.immediate</x:v>
      </x:c>
      <x:c r="F240" s="56" t="str">
        <x:v>immediate</x:v>
      </x:c>
      <x:c r="G240" s="56" t="n">
        <x:v>13</x:v>
      </x:c>
      <x:c r="H240" s="56" t="str">
        <x:v>病例特异得分项</x:v>
      </x:c>
      <x:c r="I240" s="56" t="str">
        <x:v>否</x:v>
      </x:c>
      <x:c r="J240" s="56" t="str">
        <x:v>否</x:v>
      </x:c>
      <x:c r="K240" s="56" t="str">
        <x:v>否</x:v>
      </x:c>
      <x:c r="L240" s="56" t="str">
        <x:v>按结构化事件证据给予0/部分/满分；不能由总结反推已完成</x:v>
      </x:c>
      <x:c r="M240" s="56" t="str"/>
      <x:c r="N240" s="56" t="n">
        <x:f>SUMIFS($G$4:$G$1673,$A$4:$A$1673,A240)</x:f>
        <x:v>360</x:v>
      </x:c>
      <x:c r="O240" s="56" t="str">
        <x:f>IF(N240=360,"通过","失败")</x:f>
        <x:v>通过</x:v>
      </x:c>
      <x:c r="P240" s="56" t="str"/>
      <x:c r="Q240" s="59" t="str">
        <x:v>待确认</x:v>
      </x:c>
    </x:row>
    <x:row r="241">
      <x:c r="A241" s="56" t="str">
        <x:v>P006</x:v>
      </x:c>
      <x:c r="B241" s="56" t="str">
        <x:v>P006</x:v>
      </x:c>
      <x:c r="C241" s="56" t="str">
        <x:v>treatment</x:v>
      </x:c>
      <x:c r="D241" s="56" t="n">
        <x:v>50</x:v>
      </x:c>
      <x:c r="E241" s="56" t="str">
        <x:v>treatment.etiologic</x:v>
      </x:c>
      <x:c r="F241" s="56" t="str">
        <x:v>etiologic</x:v>
      </x:c>
      <x:c r="G241" s="56" t="n">
        <x:v>13</x:v>
      </x:c>
      <x:c r="H241" s="56" t="str">
        <x:v>病例特异得分项</x:v>
      </x:c>
      <x:c r="I241" s="56" t="str">
        <x:v>否</x:v>
      </x:c>
      <x:c r="J241" s="56" t="str">
        <x:v>否</x:v>
      </x:c>
      <x:c r="K241" s="56" t="str">
        <x:v>否</x:v>
      </x:c>
      <x:c r="L241" s="56" t="str">
        <x:v>按结构化事件证据给予0/部分/满分；不能由总结反推已完成</x:v>
      </x:c>
      <x:c r="M241" s="56" t="str"/>
      <x:c r="N241" s="56" t="n">
        <x:f>SUMIFS($G$4:$G$1673,$A$4:$A$1673,A241)</x:f>
        <x:v>360</x:v>
      </x:c>
      <x:c r="O241" s="56" t="str">
        <x:f>IF(N241=360,"通过","失败")</x:f>
        <x:v>通过</x:v>
      </x:c>
      <x:c r="P241" s="56" t="str"/>
      <x:c r="Q241" s="59" t="str">
        <x:v>待确认</x:v>
      </x:c>
    </x:row>
    <x:row r="242">
      <x:c r="A242" s="56" t="str">
        <x:v>P006</x:v>
      </x:c>
      <x:c r="B242" s="56" t="str">
        <x:v>P006</x:v>
      </x:c>
      <x:c r="C242" s="56" t="str">
        <x:v>treatment</x:v>
      </x:c>
      <x:c r="D242" s="56" t="n">
        <x:v>50</x:v>
      </x:c>
      <x:c r="E242" s="56" t="str">
        <x:v>treatment.definitive</x:v>
      </x:c>
      <x:c r="F242" s="56" t="str">
        <x:v>definitive</x:v>
      </x:c>
      <x:c r="G242" s="56" t="n">
        <x:v>12</x:v>
      </x:c>
      <x:c r="H242" s="56" t="str">
        <x:v>病例特异得分项</x:v>
      </x:c>
      <x:c r="I242" s="56" t="str">
        <x:v>否</x:v>
      </x:c>
      <x:c r="J242" s="56" t="str">
        <x:v>否</x:v>
      </x:c>
      <x:c r="K242" s="56" t="str">
        <x:v>否</x:v>
      </x:c>
      <x:c r="L242" s="56" t="str">
        <x:v>按结构化事件证据给予0/部分/满分；不能由总结反推已完成</x:v>
      </x:c>
      <x:c r="M242" s="56" t="str"/>
      <x:c r="N242" s="56" t="n">
        <x:f>SUMIFS($G$4:$G$1673,$A$4:$A$1673,A242)</x:f>
        <x:v>360</x:v>
      </x:c>
      <x:c r="O242" s="56" t="str">
        <x:f>IF(N242=360,"通过","失败")</x:f>
        <x:v>通过</x:v>
      </x:c>
      <x:c r="P242" s="56" t="str"/>
      <x:c r="Q242" s="59" t="str">
        <x:v>待确认</x:v>
      </x:c>
    </x:row>
    <x:row r="243">
      <x:c r="A243" s="56" t="str">
        <x:v>P006</x:v>
      </x:c>
      <x:c r="B243" s="56" t="str">
        <x:v>P006</x:v>
      </x:c>
      <x:c r="C243" s="56" t="str">
        <x:v>treatment</x:v>
      </x:c>
      <x:c r="D243" s="56" t="n">
        <x:v>50</x:v>
      </x:c>
      <x:c r="E243" s="56" t="str">
        <x:v>treatment.perioperative</x:v>
      </x:c>
      <x:c r="F243" s="56" t="str">
        <x:v>perioperative</x:v>
      </x:c>
      <x:c r="G243" s="56" t="n">
        <x:v>12</x:v>
      </x:c>
      <x:c r="H243" s="56" t="str">
        <x:v>病例特异得分项</x:v>
      </x:c>
      <x:c r="I243" s="56" t="str">
        <x:v>否</x:v>
      </x:c>
      <x:c r="J243" s="56" t="str">
        <x:v>否</x:v>
      </x:c>
      <x:c r="K243" s="56" t="str">
        <x:v>否</x:v>
      </x:c>
      <x:c r="L243" s="56" t="str">
        <x:v>按结构化事件证据给予0/部分/满分；不能由总结反推已完成</x:v>
      </x:c>
      <x:c r="M243" s="56" t="str"/>
      <x:c r="N243" s="56" t="n">
        <x:f>SUMIFS($G$4:$G$1673,$A$4:$A$1673,A243)</x:f>
        <x:v>360</x:v>
      </x:c>
      <x:c r="O243" s="56" t="str">
        <x:f>IF(N243=360,"通过","失败")</x:f>
        <x:v>通过</x:v>
      </x:c>
      <x:c r="P243" s="56" t="str"/>
      <x:c r="Q243" s="59" t="str">
        <x:v>待确认</x:v>
      </x:c>
    </x:row>
    <x:row r="244">
      <x:c r="A244" s="56" t="str">
        <x:v>P006</x:v>
      </x:c>
      <x:c r="B244" s="56" t="str">
        <x:v>P006</x:v>
      </x:c>
      <x:c r="C244" s="56" t="str">
        <x:v>followup</x:v>
      </x:c>
      <x:c r="D244" s="56" t="n">
        <x:v>40</x:v>
      </x:c>
      <x:c r="E244" s="56" t="str">
        <x:v>followup.plan</x:v>
      </x:c>
      <x:c r="F244" s="56" t="str">
        <x:v>随访复查</x:v>
      </x:c>
      <x:c r="G244" s="56" t="n">
        <x:v>10</x:v>
      </x:c>
      <x:c r="H244" s="56" t="str">
        <x:v>普通得分项</x:v>
      </x:c>
      <x:c r="I244" s="56" t="str">
        <x:v>否</x:v>
      </x:c>
      <x:c r="J244" s="56" t="str">
        <x:v>否</x:v>
      </x:c>
      <x:c r="K244" s="56" t="str">
        <x:v>否</x:v>
      </x:c>
      <x:c r="L244" s="56" t="str">
        <x:v>按结构化事件证据给予0/部分/满分；不能由总结反推已完成</x:v>
      </x:c>
      <x:c r="M244" s="56" t="str"/>
      <x:c r="N244" s="56" t="n">
        <x:f>SUMIFS($G$4:$G$1673,$A$4:$A$1673,A244)</x:f>
        <x:v>360</x:v>
      </x:c>
      <x:c r="O244" s="56" t="str">
        <x:f>IF(N244=360,"通过","失败")</x:f>
        <x:v>通过</x:v>
      </x:c>
      <x:c r="P244" s="56" t="str"/>
      <x:c r="Q244" s="59" t="str">
        <x:v>待确认</x:v>
      </x:c>
    </x:row>
    <x:row r="245">
      <x:c r="A245" s="56" t="str">
        <x:v>P006</x:v>
      </x:c>
      <x:c r="B245" s="56" t="str">
        <x:v>P006</x:v>
      </x:c>
      <x:c r="C245" s="56" t="str">
        <x:v>followup</x:v>
      </x:c>
      <x:c r="D245" s="56" t="n">
        <x:v>40</x:v>
      </x:c>
      <x:c r="E245" s="56" t="str">
        <x:v>followup.education</x:v>
      </x:c>
      <x:c r="F245" s="56" t="str">
        <x:v>患者教育</x:v>
      </x:c>
      <x:c r="G245" s="56" t="n">
        <x:v>10</x:v>
      </x:c>
      <x:c r="H245" s="56" t="str">
        <x:v>普通得分项</x:v>
      </x:c>
      <x:c r="I245" s="56" t="str">
        <x:v>否</x:v>
      </x:c>
      <x:c r="J245" s="56" t="str">
        <x:v>否</x:v>
      </x:c>
      <x:c r="K245" s="56" t="str">
        <x:v>否</x:v>
      </x:c>
      <x:c r="L245" s="56" t="str">
        <x:v>按结构化事件证据给予0/部分/满分；不能由总结反推已完成</x:v>
      </x:c>
      <x:c r="M245" s="56" t="str"/>
      <x:c r="N245" s="56" t="n">
        <x:f>SUMIFS($G$4:$G$1673,$A$4:$A$1673,A245)</x:f>
        <x:v>360</x:v>
      </x:c>
      <x:c r="O245" s="56" t="str">
        <x:f>IF(N245=360,"通过","失败")</x:f>
        <x:v>通过</x:v>
      </x:c>
      <x:c r="P245" s="56" t="str"/>
      <x:c r="Q245" s="59" t="str">
        <x:v>待确认</x:v>
      </x:c>
    </x:row>
    <x:row r="246">
      <x:c r="A246" s="56" t="str">
        <x:v>P006</x:v>
      </x:c>
      <x:c r="B246" s="56" t="str">
        <x:v>P006</x:v>
      </x:c>
      <x:c r="C246" s="56" t="str">
        <x:v>followup</x:v>
      </x:c>
      <x:c r="D246" s="56" t="n">
        <x:v>40</x:v>
      </x:c>
      <x:c r="E246" s="56" t="str">
        <x:v>followup.reflection</x:v>
      </x:c>
      <x:c r="F246" s="56" t="str">
        <x:v>学习反思质量</x:v>
      </x:c>
      <x:c r="G246" s="56" t="n">
        <x:v>10</x:v>
      </x:c>
      <x:c r="H246" s="56" t="str">
        <x:v>普通得分项</x:v>
      </x:c>
      <x:c r="I246" s="56" t="str">
        <x:v>否</x:v>
      </x:c>
      <x:c r="J246" s="56" t="str">
        <x:v>否</x:v>
      </x:c>
      <x:c r="K246" s="56" t="str">
        <x:v>否</x:v>
      </x:c>
      <x:c r="L246" s="56" t="str">
        <x:v>按结构化事件证据给予0/部分/满分；不能由总结反推已完成</x:v>
      </x:c>
      <x:c r="M246" s="56" t="str"/>
      <x:c r="N246" s="56" t="n">
        <x:f>SUMIFS($G$4:$G$1673,$A$4:$A$1673,A246)</x:f>
        <x:v>360</x:v>
      </x:c>
      <x:c r="O246" s="56" t="str">
        <x:f>IF(N246=360,"通过","失败")</x:f>
        <x:v>通过</x:v>
      </x:c>
      <x:c r="P246" s="56" t="str"/>
      <x:c r="Q246" s="59" t="str">
        <x:v>待确认</x:v>
      </x:c>
    </x:row>
    <x:row r="247">
      <x:c r="A247" s="56" t="str">
        <x:v>P006</x:v>
      </x:c>
      <x:c r="B247" s="56" t="str">
        <x:v>P006</x:v>
      </x:c>
      <x:c r="C247" s="56" t="str">
        <x:v>followup</x:v>
      </x:c>
      <x:c r="D247" s="56" t="n">
        <x:v>40</x:v>
      </x:c>
      <x:c r="E247" s="56" t="str">
        <x:v>followup.efficiency</x:v>
      </x:c>
      <x:c r="F247" s="56" t="str">
        <x:v>操作效率</x:v>
      </x:c>
      <x:c r="G247" s="56" t="n">
        <x:v>10</x:v>
      </x:c>
      <x:c r="H247" s="56" t="str">
        <x:v>普通得分项</x:v>
      </x:c>
      <x:c r="I247" s="56" t="str">
        <x:v>否</x:v>
      </x:c>
      <x:c r="J247" s="56" t="str">
        <x:v>否</x:v>
      </x:c>
      <x:c r="K247" s="56" t="str">
        <x:v>否</x:v>
      </x:c>
      <x:c r="L247" s="56" t="str">
        <x:v>按结构化事件证据给予0/部分/满分；不能由总结反推已完成</x:v>
      </x:c>
      <x:c r="M247" s="56" t="str"/>
      <x:c r="N247" s="56" t="n">
        <x:f>SUMIFS($G$4:$G$1673,$A$4:$A$1673,A247)</x:f>
        <x:v>360</x:v>
      </x:c>
      <x:c r="O247" s="56" t="str">
        <x:f>IF(N247=360,"通过","失败")</x:f>
        <x:v>通过</x:v>
      </x:c>
      <x:c r="P247" s="56" t="str"/>
      <x:c r="Q247" s="59" t="str">
        <x:v>待确认</x:v>
      </x:c>
    </x:row>
    <x:row r="248">
      <x:c r="A248" s="56" t="str">
        <x:v>P007</x:v>
      </x:c>
      <x:c r="B248" s="56" t="str">
        <x:v>P007</x:v>
      </x:c>
      <x:c r="C248" s="56" t="str">
        <x:v>history</x:v>
      </x:c>
      <x:c r="D248" s="56" t="n">
        <x:v>50</x:v>
      </x:c>
      <x:c r="E248" s="56" t="str">
        <x:v>history.hematuria_visibility</x:v>
      </x:c>
      <x:c r="F248" s="56" t="str">
        <x:v>hematuria_visibility</x:v>
      </x:c>
      <x:c r="G248" s="56" t="n">
        <x:v>5</x:v>
      </x:c>
      <x:c r="H248" s="56" t="str">
        <x:v>普通得分项</x:v>
      </x:c>
      <x:c r="I248" s="56" t="str">
        <x:v>否</x:v>
      </x:c>
      <x:c r="J248" s="56" t="str">
        <x:v>否</x:v>
      </x:c>
      <x:c r="K248" s="56" t="str">
        <x:v>否</x:v>
      </x:c>
      <x:c r="L248" s="56" t="str">
        <x:v>按结构化事件证据给予0/部分/满分；不能由总结反推已完成</x:v>
      </x:c>
      <x:c r="M248" s="56" t="str"/>
      <x:c r="N248" s="56" t="n">
        <x:f>SUMIFS($G$4:$G$1673,$A$4:$A$1673,A248)</x:f>
        <x:v>360</x:v>
      </x:c>
      <x:c r="O248" s="56" t="str">
        <x:f>IF(N248=360,"通过","失败")</x:f>
        <x:v>通过</x:v>
      </x:c>
      <x:c r="P248" s="56" t="str"/>
      <x:c r="Q248" s="59" t="str">
        <x:v>待确认</x:v>
      </x:c>
    </x:row>
    <x:row r="249">
      <x:c r="A249" s="56" t="str">
        <x:v>P007</x:v>
      </x:c>
      <x:c r="B249" s="56" t="str">
        <x:v>P007</x:v>
      </x:c>
      <x:c r="C249" s="56" t="str">
        <x:v>history</x:v>
      </x:c>
      <x:c r="D249" s="56" t="n">
        <x:v>50</x:v>
      </x:c>
      <x:c r="E249" s="56" t="str">
        <x:v>history.hematuria_onset</x:v>
      </x:c>
      <x:c r="F249" s="56" t="str">
        <x:v>hematuria_onset</x:v>
      </x:c>
      <x:c r="G249" s="56" t="n">
        <x:v>5</x:v>
      </x:c>
      <x:c r="H249" s="56" t="str">
        <x:v>普通得分项</x:v>
      </x:c>
      <x:c r="I249" s="56" t="str">
        <x:v>否</x:v>
      </x:c>
      <x:c r="J249" s="56" t="str">
        <x:v>否</x:v>
      </x:c>
      <x:c r="K249" s="56" t="str">
        <x:v>否</x:v>
      </x:c>
      <x:c r="L249" s="56" t="str">
        <x:v>按结构化事件证据给予0/部分/满分；不能由总结反推已完成</x:v>
      </x:c>
      <x:c r="M249" s="56" t="str"/>
      <x:c r="N249" s="56" t="n">
        <x:f>SUMIFS($G$4:$G$1673,$A$4:$A$1673,A249)</x:f>
        <x:v>360</x:v>
      </x:c>
      <x:c r="O249" s="56" t="str">
        <x:f>IF(N249=360,"通过","失败")</x:f>
        <x:v>通过</x:v>
      </x:c>
      <x:c r="P249" s="56" t="str"/>
      <x:c r="Q249" s="59" t="str">
        <x:v>待确认</x:v>
      </x:c>
    </x:row>
    <x:row r="250">
      <x:c r="A250" s="56" t="str">
        <x:v>P007</x:v>
      </x:c>
      <x:c r="B250" s="56" t="str">
        <x:v>P007</x:v>
      </x:c>
      <x:c r="C250" s="56" t="str">
        <x:v>history</x:v>
      </x:c>
      <x:c r="D250" s="56" t="n">
        <x:v>50</x:v>
      </x:c>
      <x:c r="E250" s="56" t="str">
        <x:v>history.hematuria_frequency</x:v>
      </x:c>
      <x:c r="F250" s="56" t="str">
        <x:v>hematuria_frequency</x:v>
      </x:c>
      <x:c r="G250" s="56" t="n">
        <x:v>4</x:v>
      </x:c>
      <x:c r="H250" s="56" t="str">
        <x:v>普通得分项</x:v>
      </x:c>
      <x:c r="I250" s="56" t="str">
        <x:v>否</x:v>
      </x:c>
      <x:c r="J250" s="56" t="str">
        <x:v>否</x:v>
      </x:c>
      <x:c r="K250" s="56" t="str">
        <x:v>否</x:v>
      </x:c>
      <x:c r="L250" s="56" t="str">
        <x:v>按结构化事件证据给予0/部分/满分；不能由总结反推已完成</x:v>
      </x:c>
      <x:c r="M250" s="56" t="str"/>
      <x:c r="N250" s="56" t="n">
        <x:f>SUMIFS($G$4:$G$1673,$A$4:$A$1673,A250)</x:f>
        <x:v>360</x:v>
      </x:c>
      <x:c r="O250" s="56" t="str">
        <x:f>IF(N250=360,"通过","失败")</x:f>
        <x:v>通过</x:v>
      </x:c>
      <x:c r="P250" s="56" t="str"/>
      <x:c r="Q250" s="59" t="str">
        <x:v>待确认</x:v>
      </x:c>
    </x:row>
    <x:row r="251">
      <x:c r="A251" s="56" t="str">
        <x:v>P007</x:v>
      </x:c>
      <x:c r="B251" s="56" t="str">
        <x:v>P007</x:v>
      </x:c>
      <x:c r="C251" s="56" t="str">
        <x:v>history</x:v>
      </x:c>
      <x:c r="D251" s="56" t="n">
        <x:v>50</x:v>
      </x:c>
      <x:c r="E251" s="56" t="str">
        <x:v>history.hematuria_phase</x:v>
      </x:c>
      <x:c r="F251" s="56" t="str">
        <x:v>hematuria_phase</x:v>
      </x:c>
      <x:c r="G251" s="56" t="n">
        <x:v>4</x:v>
      </x:c>
      <x:c r="H251" s="56" t="str">
        <x:v>普通得分项</x:v>
      </x:c>
      <x:c r="I251" s="56" t="str">
        <x:v>否</x:v>
      </x:c>
      <x:c r="J251" s="56" t="str">
        <x:v>否</x:v>
      </x:c>
      <x:c r="K251" s="56" t="str">
        <x:v>否</x:v>
      </x:c>
      <x:c r="L251" s="56" t="str">
        <x:v>按结构化事件证据给予0/部分/满分；不能由总结反推已完成</x:v>
      </x:c>
      <x:c r="M251" s="56" t="str"/>
      <x:c r="N251" s="56" t="n">
        <x:f>SUMIFS($G$4:$G$1673,$A$4:$A$1673,A251)</x:f>
        <x:v>360</x:v>
      </x:c>
      <x:c r="O251" s="56" t="str">
        <x:f>IF(N251=360,"通过","失败")</x:f>
        <x:v>通过</x:v>
      </x:c>
      <x:c r="P251" s="56" t="str"/>
      <x:c r="Q251" s="59" t="str">
        <x:v>待确认</x:v>
      </x:c>
    </x:row>
    <x:row r="252">
      <x:c r="A252" s="56" t="str">
        <x:v>P007</x:v>
      </x:c>
      <x:c r="B252" s="56" t="str">
        <x:v>P007</x:v>
      </x:c>
      <x:c r="C252" s="56" t="str">
        <x:v>history</x:v>
      </x:c>
      <x:c r="D252" s="56" t="n">
        <x:v>50</x:v>
      </x:c>
      <x:c r="E252" s="56" t="str">
        <x:v>history.urine_color</x:v>
      </x:c>
      <x:c r="F252" s="56" t="str">
        <x:v>urine_color</x:v>
      </x:c>
      <x:c r="G252" s="56" t="n">
        <x:v>4</x:v>
      </x:c>
      <x:c r="H252" s="56" t="str">
        <x:v>普通得分项</x:v>
      </x:c>
      <x:c r="I252" s="56" t="str">
        <x:v>否</x:v>
      </x:c>
      <x:c r="J252" s="56" t="str">
        <x:v>否</x:v>
      </x:c>
      <x:c r="K252" s="56" t="str">
        <x:v>否</x:v>
      </x:c>
      <x:c r="L252" s="56" t="str">
        <x:v>按结构化事件证据给予0/部分/满分；不能由总结反推已完成</x:v>
      </x:c>
      <x:c r="M252" s="56" t="str"/>
      <x:c r="N252" s="56" t="n">
        <x:f>SUMIFS($G$4:$G$1673,$A$4:$A$1673,A252)</x:f>
        <x:v>360</x:v>
      </x:c>
      <x:c r="O252" s="56" t="str">
        <x:f>IF(N252=360,"通过","失败")</x:f>
        <x:v>通过</x:v>
      </x:c>
      <x:c r="P252" s="56" t="str"/>
      <x:c r="Q252" s="59" t="str">
        <x:v>待确认</x:v>
      </x:c>
    </x:row>
    <x:row r="253">
      <x:c r="A253" s="56" t="str">
        <x:v>P007</x:v>
      </x:c>
      <x:c r="B253" s="56" t="str">
        <x:v>P007</x:v>
      </x:c>
      <x:c r="C253" s="56" t="str">
        <x:v>history</x:v>
      </x:c>
      <x:c r="D253" s="56" t="n">
        <x:v>50</x:v>
      </x:c>
      <x:c r="E253" s="56" t="str">
        <x:v>history.clots</x:v>
      </x:c>
      <x:c r="F253" s="56" t="str">
        <x:v>clots</x:v>
      </x:c>
      <x:c r="G253" s="56" t="n">
        <x:v>4</x:v>
      </x:c>
      <x:c r="H253" s="56" t="str">
        <x:v>普通得分项</x:v>
      </x:c>
      <x:c r="I253" s="56" t="str">
        <x:v>否</x:v>
      </x:c>
      <x:c r="J253" s="56" t="str">
        <x:v>否</x:v>
      </x:c>
      <x:c r="K253" s="56" t="str">
        <x:v>否</x:v>
      </x:c>
      <x:c r="L253" s="56" t="str">
        <x:v>按结构化事件证据给予0/部分/满分；不能由总结反推已完成</x:v>
      </x:c>
      <x:c r="M253" s="56" t="str"/>
      <x:c r="N253" s="56" t="n">
        <x:f>SUMIFS($G$4:$G$1673,$A$4:$A$1673,A253)</x:f>
        <x:v>360</x:v>
      </x:c>
      <x:c r="O253" s="56" t="str">
        <x:f>IF(N253=360,"通过","失败")</x:f>
        <x:v>通过</x:v>
      </x:c>
      <x:c r="P253" s="56" t="str"/>
      <x:c r="Q253" s="59" t="str">
        <x:v>待确认</x:v>
      </x:c>
    </x:row>
    <x:row r="254">
      <x:c r="A254" s="56" t="str">
        <x:v>P007</x:v>
      </x:c>
      <x:c r="B254" s="56" t="str">
        <x:v>P007</x:v>
      </x:c>
      <x:c r="C254" s="56" t="str">
        <x:v>history</x:v>
      </x:c>
      <x:c r="D254" s="56" t="n">
        <x:v>50</x:v>
      </x:c>
      <x:c r="E254" s="56" t="str">
        <x:v>history.pain</x:v>
      </x:c>
      <x:c r="F254" s="56" t="str">
        <x:v>pain</x:v>
      </x:c>
      <x:c r="G254" s="56" t="n">
        <x:v>4</x:v>
      </x:c>
      <x:c r="H254" s="56" t="str">
        <x:v>普通得分项</x:v>
      </x:c>
      <x:c r="I254" s="56" t="str">
        <x:v>否</x:v>
      </x:c>
      <x:c r="J254" s="56" t="str">
        <x:v>否</x:v>
      </x:c>
      <x:c r="K254" s="56" t="str">
        <x:v>否</x:v>
      </x:c>
      <x:c r="L254" s="56" t="str">
        <x:v>按结构化事件证据给予0/部分/满分；不能由总结反推已完成</x:v>
      </x:c>
      <x:c r="M254" s="56" t="str"/>
      <x:c r="N254" s="56" t="n">
        <x:f>SUMIFS($G$4:$G$1673,$A$4:$A$1673,A254)</x:f>
        <x:v>360</x:v>
      </x:c>
      <x:c r="O254" s="56" t="str">
        <x:f>IF(N254=360,"通过","失败")</x:f>
        <x:v>通过</x:v>
      </x:c>
      <x:c r="P254" s="56" t="str"/>
      <x:c r="Q254" s="59" t="str">
        <x:v>待确认</x:v>
      </x:c>
    </x:row>
    <x:row r="255">
      <x:c r="A255" s="56" t="str">
        <x:v>P007</x:v>
      </x:c>
      <x:c r="B255" s="56" t="str">
        <x:v>P007</x:v>
      </x:c>
      <x:c r="C255" s="56" t="str">
        <x:v>history</x:v>
      </x:c>
      <x:c r="D255" s="56" t="n">
        <x:v>50</x:v>
      </x:c>
      <x:c r="E255" s="56" t="str">
        <x:v>history.dysuria</x:v>
      </x:c>
      <x:c r="F255" s="56" t="str">
        <x:v>dysuria</x:v>
      </x:c>
      <x:c r="G255" s="56" t="n">
        <x:v>4</x:v>
      </x:c>
      <x:c r="H255" s="56" t="str">
        <x:v>普通得分项</x:v>
      </x:c>
      <x:c r="I255" s="56" t="str">
        <x:v>否</x:v>
      </x:c>
      <x:c r="J255" s="56" t="str">
        <x:v>否</x:v>
      </x:c>
      <x:c r="K255" s="56" t="str">
        <x:v>否</x:v>
      </x:c>
      <x:c r="L255" s="56" t="str">
        <x:v>按结构化事件证据给予0/部分/满分；不能由总结反推已完成</x:v>
      </x:c>
      <x:c r="M255" s="56" t="str"/>
      <x:c r="N255" s="56" t="n">
        <x:f>SUMIFS($G$4:$G$1673,$A$4:$A$1673,A255)</x:f>
        <x:v>360</x:v>
      </x:c>
      <x:c r="O255" s="56" t="str">
        <x:f>IF(N255=360,"通过","失败")</x:f>
        <x:v>通过</x:v>
      </x:c>
      <x:c r="P255" s="56" t="str"/>
      <x:c r="Q255" s="59" t="str">
        <x:v>待确认</x:v>
      </x:c>
    </x:row>
    <x:row r="256">
      <x:c r="A256" s="56" t="str">
        <x:v>P007</x:v>
      </x:c>
      <x:c r="B256" s="56" t="str">
        <x:v>P007</x:v>
      </x:c>
      <x:c r="C256" s="56" t="str">
        <x:v>history</x:v>
      </x:c>
      <x:c r="D256" s="56" t="n">
        <x:v>50</x:v>
      </x:c>
      <x:c r="E256" s="56" t="str">
        <x:v>history.urinary_frequency</x:v>
      </x:c>
      <x:c r="F256" s="56" t="str">
        <x:v>urinary_frequency</x:v>
      </x:c>
      <x:c r="G256" s="56" t="n">
        <x:v>4</x:v>
      </x:c>
      <x:c r="H256" s="56" t="str">
        <x:v>普通得分项</x:v>
      </x:c>
      <x:c r="I256" s="56" t="str">
        <x:v>否</x:v>
      </x:c>
      <x:c r="J256" s="56" t="str">
        <x:v>否</x:v>
      </x:c>
      <x:c r="K256" s="56" t="str">
        <x:v>否</x:v>
      </x:c>
      <x:c r="L256" s="56" t="str">
        <x:v>按结构化事件证据给予0/部分/满分；不能由总结反推已完成</x:v>
      </x:c>
      <x:c r="M256" s="56" t="str"/>
      <x:c r="N256" s="56" t="n">
        <x:f>SUMIFS($G$4:$G$1673,$A$4:$A$1673,A256)</x:f>
        <x:v>360</x:v>
      </x:c>
      <x:c r="O256" s="56" t="str">
        <x:f>IF(N256=360,"通过","失败")</x:f>
        <x:v>通过</x:v>
      </x:c>
      <x:c r="P256" s="56" t="str"/>
      <x:c r="Q256" s="59" t="str">
        <x:v>待确认</x:v>
      </x:c>
    </x:row>
    <x:row r="257">
      <x:c r="A257" s="56" t="str">
        <x:v>P007</x:v>
      </x:c>
      <x:c r="B257" s="56" t="str">
        <x:v>P007</x:v>
      </x:c>
      <x:c r="C257" s="56" t="str">
        <x:v>history</x:v>
      </x:c>
      <x:c r="D257" s="56" t="n">
        <x:v>50</x:v>
      </x:c>
      <x:c r="E257" s="56" t="str">
        <x:v>history.urinary_urgency</x:v>
      </x:c>
      <x:c r="F257" s="56" t="str">
        <x:v>urinary_urgency</x:v>
      </x:c>
      <x:c r="G257" s="56" t="n">
        <x:v>4</x:v>
      </x:c>
      <x:c r="H257" s="56" t="str">
        <x:v>普通得分项</x:v>
      </x:c>
      <x:c r="I257" s="56" t="str">
        <x:v>否</x:v>
      </x:c>
      <x:c r="J257" s="56" t="str">
        <x:v>否</x:v>
      </x:c>
      <x:c r="K257" s="56" t="str">
        <x:v>否</x:v>
      </x:c>
      <x:c r="L257" s="56" t="str">
        <x:v>按结构化事件证据给予0/部分/满分；不能由总结反推已完成</x:v>
      </x:c>
      <x:c r="M257" s="56" t="str"/>
      <x:c r="N257" s="56" t="n">
        <x:f>SUMIFS($G$4:$G$1673,$A$4:$A$1673,A257)</x:f>
        <x:v>360</x:v>
      </x:c>
      <x:c r="O257" s="56" t="str">
        <x:f>IF(N257=360,"通过","失败")</x:f>
        <x:v>通过</x:v>
      </x:c>
      <x:c r="P257" s="56" t="str"/>
      <x:c r="Q257" s="59" t="str">
        <x:v>待确认</x:v>
      </x:c>
    </x:row>
    <x:row r="258">
      <x:c r="A258" s="56" t="str">
        <x:v>P007</x:v>
      </x:c>
      <x:c r="B258" s="56" t="str">
        <x:v>P007</x:v>
      </x:c>
      <x:c r="C258" s="56" t="str">
        <x:v>history</x:v>
      </x:c>
      <x:c r="D258" s="56" t="n">
        <x:v>50</x:v>
      </x:c>
      <x:c r="E258" s="56" t="str">
        <x:v>history.flank_pain</x:v>
      </x:c>
      <x:c r="F258" s="56" t="str">
        <x:v>flank_pain</x:v>
      </x:c>
      <x:c r="G258" s="56" t="n">
        <x:v>4</x:v>
      </x:c>
      <x:c r="H258" s="56" t="str">
        <x:v>普通得分项</x:v>
      </x:c>
      <x:c r="I258" s="56" t="str">
        <x:v>否</x:v>
      </x:c>
      <x:c r="J258" s="56" t="str">
        <x:v>否</x:v>
      </x:c>
      <x:c r="K258" s="56" t="str">
        <x:v>否</x:v>
      </x:c>
      <x:c r="L258" s="56" t="str">
        <x:v>按结构化事件证据给予0/部分/满分；不能由总结反推已完成</x:v>
      </x:c>
      <x:c r="M258" s="56" t="str"/>
      <x:c r="N258" s="56" t="n">
        <x:f>SUMIFS($G$4:$G$1673,$A$4:$A$1673,A258)</x:f>
        <x:v>360</x:v>
      </x:c>
      <x:c r="O258" s="56" t="str">
        <x:f>IF(N258=360,"通过","失败")</x:f>
        <x:v>通过</x:v>
      </x:c>
      <x:c r="P258" s="56" t="str"/>
      <x:c r="Q258" s="59" t="str">
        <x:v>待确认</x:v>
      </x:c>
    </x:row>
    <x:row r="259">
      <x:c r="A259" s="56" t="str">
        <x:v>P007</x:v>
      </x:c>
      <x:c r="B259" s="56" t="str">
        <x:v>P007</x:v>
      </x:c>
      <x:c r="C259" s="56" t="str">
        <x:v>history</x:v>
      </x:c>
      <x:c r="D259" s="56" t="n">
        <x:v>50</x:v>
      </x:c>
      <x:c r="E259" s="56" t="str">
        <x:v>history.fever_chills</x:v>
      </x:c>
      <x:c r="F259" s="56" t="str">
        <x:v>fever_chills</x:v>
      </x:c>
      <x:c r="G259" s="56" t="n">
        <x:v>4</x:v>
      </x:c>
      <x:c r="H259" s="56" t="str">
        <x:v>普通得分项</x:v>
      </x:c>
      <x:c r="I259" s="56" t="str">
        <x:v>否</x:v>
      </x:c>
      <x:c r="J259" s="56" t="str">
        <x:v>否</x:v>
      </x:c>
      <x:c r="K259" s="56" t="str">
        <x:v>否</x:v>
      </x:c>
      <x:c r="L259" s="56" t="str">
        <x:v>按结构化事件证据给予0/部分/满分；不能由总结反推已完成</x:v>
      </x:c>
      <x:c r="M259" s="56" t="str"/>
      <x:c r="N259" s="56" t="n">
        <x:f>SUMIFS($G$4:$G$1673,$A$4:$A$1673,A259)</x:f>
        <x:v>360</x:v>
      </x:c>
      <x:c r="O259" s="56" t="str">
        <x:f>IF(N259=360,"通过","失败")</x:f>
        <x:v>通过</x:v>
      </x:c>
      <x:c r="P259" s="56" t="str"/>
      <x:c r="Q259" s="59" t="str">
        <x:v>待确认</x:v>
      </x:c>
    </x:row>
    <x:row r="260">
      <x:c r="A260" s="56" t="str">
        <x:v>P007</x:v>
      </x:c>
      <x:c r="B260" s="56" t="str">
        <x:v>P007</x:v>
      </x:c>
      <x:c r="C260" s="56" t="str">
        <x:v>risk</x:v>
      </x:c>
      <x:c r="D260" s="56" t="n">
        <x:v>40</x:v>
      </x:c>
      <x:c r="E260" s="56" t="str">
        <x:v>risk.voiding_difficulty</x:v>
      </x:c>
      <x:c r="F260" s="56" t="str">
        <x:v>voiding_difficulty</x:v>
      </x:c>
      <x:c r="G260" s="56" t="n">
        <x:v>10</x:v>
      </x:c>
      <x:c r="H260" s="56" t="str">
        <x:v>普通得分项</x:v>
      </x:c>
      <x:c r="I260" s="56" t="str">
        <x:v>否</x:v>
      </x:c>
      <x:c r="J260" s="56" t="str">
        <x:v>否</x:v>
      </x:c>
      <x:c r="K260" s="56" t="str">
        <x:v>否</x:v>
      </x:c>
      <x:c r="L260" s="56" t="str">
        <x:v>按结构化事件证据给予0/部分/满分；不能由总结反推已完成</x:v>
      </x:c>
      <x:c r="M260" s="56" t="str"/>
      <x:c r="N260" s="56" t="n">
        <x:f>SUMIFS($G$4:$G$1673,$A$4:$A$1673,A260)</x:f>
        <x:v>360</x:v>
      </x:c>
      <x:c r="O260" s="56" t="str">
        <x:f>IF(N260=360,"通过","失败")</x:f>
        <x:v>通过</x:v>
      </x:c>
      <x:c r="P260" s="56" t="str"/>
      <x:c r="Q260" s="59" t="str">
        <x:v>待确认</x:v>
      </x:c>
    </x:row>
    <x:row r="261">
      <x:c r="A261" s="56" t="str">
        <x:v>P007</x:v>
      </x:c>
      <x:c r="B261" s="56" t="str">
        <x:v>P007</x:v>
      </x:c>
      <x:c r="C261" s="56" t="str">
        <x:v>risk</x:v>
      </x:c>
      <x:c r="D261" s="56" t="n">
        <x:v>40</x:v>
      </x:c>
      <x:c r="E261" s="56" t="str">
        <x:v>risk.retention</x:v>
      </x:c>
      <x:c r="F261" s="56" t="str">
        <x:v>retention</x:v>
      </x:c>
      <x:c r="G261" s="56" t="n">
        <x:v>10</x:v>
      </x:c>
      <x:c r="H261" s="56" t="str">
        <x:v>普通得分项</x:v>
      </x:c>
      <x:c r="I261" s="56" t="str">
        <x:v>否</x:v>
      </x:c>
      <x:c r="J261" s="56" t="str">
        <x:v>否</x:v>
      </x:c>
      <x:c r="K261" s="56" t="str">
        <x:v>否</x:v>
      </x:c>
      <x:c r="L261" s="56" t="str">
        <x:v>按结构化事件证据给予0/部分/满分；不能由总结反推已完成</x:v>
      </x:c>
      <x:c r="M261" s="56" t="str"/>
      <x:c r="N261" s="56" t="n">
        <x:f>SUMIFS($G$4:$G$1673,$A$4:$A$1673,A261)</x:f>
        <x:v>360</x:v>
      </x:c>
      <x:c r="O261" s="56" t="str">
        <x:f>IF(N261=360,"通过","失败")</x:f>
        <x:v>通过</x:v>
      </x:c>
      <x:c r="P261" s="56" t="str"/>
      <x:c r="Q261" s="59" t="str">
        <x:v>待确认</x:v>
      </x:c>
    </x:row>
    <x:row r="262">
      <x:c r="A262" s="56" t="str">
        <x:v>P007</x:v>
      </x:c>
      <x:c r="B262" s="56" t="str">
        <x:v>P007</x:v>
      </x:c>
      <x:c r="C262" s="56" t="str">
        <x:v>risk</x:v>
      </x:c>
      <x:c r="D262" s="56" t="n">
        <x:v>40</x:v>
      </x:c>
      <x:c r="E262" s="56" t="str">
        <x:v>risk.medications</x:v>
      </x:c>
      <x:c r="F262" s="56" t="str">
        <x:v>medications</x:v>
      </x:c>
      <x:c r="G262" s="56" t="n">
        <x:v>10</x:v>
      </x:c>
      <x:c r="H262" s="56" t="str">
        <x:v>普通得分项</x:v>
      </x:c>
      <x:c r="I262" s="56" t="str">
        <x:v>否</x:v>
      </x:c>
      <x:c r="J262" s="56" t="str">
        <x:v>否</x:v>
      </x:c>
      <x:c r="K262" s="56" t="str">
        <x:v>否</x:v>
      </x:c>
      <x:c r="L262" s="56" t="str">
        <x:v>按结构化事件证据给予0/部分/满分；不能由总结反推已完成</x:v>
      </x:c>
      <x:c r="M262" s="56" t="str"/>
      <x:c r="N262" s="56" t="n">
        <x:f>SUMIFS($G$4:$G$1673,$A$4:$A$1673,A262)</x:f>
        <x:v>360</x:v>
      </x:c>
      <x:c r="O262" s="56" t="str">
        <x:f>IF(N262=360,"通过","失败")</x:f>
        <x:v>通过</x:v>
      </x:c>
      <x:c r="P262" s="56" t="str"/>
      <x:c r="Q262" s="59" t="str">
        <x:v>待确认</x:v>
      </x:c>
    </x:row>
    <x:row r="263">
      <x:c r="A263" s="56" t="str">
        <x:v>P007</x:v>
      </x:c>
      <x:c r="B263" s="56" t="str">
        <x:v>P007</x:v>
      </x:c>
      <x:c r="C263" s="56" t="str">
        <x:v>risk</x:v>
      </x:c>
      <x:c r="D263" s="56" t="n">
        <x:v>40</x:v>
      </x:c>
      <x:c r="E263" s="56" t="str">
        <x:v>risk.surgery_history</x:v>
      </x:c>
      <x:c r="F263" s="56" t="str">
        <x:v>surgery_history</x:v>
      </x:c>
      <x:c r="G263" s="56" t="n">
        <x:v>10</x:v>
      </x:c>
      <x:c r="H263" s="56" t="str">
        <x:v>普通得分项</x:v>
      </x:c>
      <x:c r="I263" s="56" t="str">
        <x:v>否</x:v>
      </x:c>
      <x:c r="J263" s="56" t="str">
        <x:v>否</x:v>
      </x:c>
      <x:c r="K263" s="56" t="str">
        <x:v>否</x:v>
      </x:c>
      <x:c r="L263" s="56" t="str">
        <x:v>按结构化事件证据给予0/部分/满分；不能由总结反推已完成</x:v>
      </x:c>
      <x:c r="M263" s="56" t="str"/>
      <x:c r="N263" s="56" t="n">
        <x:f>SUMIFS($G$4:$G$1673,$A$4:$A$1673,A263)</x:f>
        <x:v>360</x:v>
      </x:c>
      <x:c r="O263" s="56" t="str">
        <x:f>IF(N263=360,"通过","失败")</x:f>
        <x:v>通过</x:v>
      </x:c>
      <x:c r="P263" s="56" t="str"/>
      <x:c r="Q263" s="59" t="str">
        <x:v>待确认</x:v>
      </x:c>
    </x:row>
    <x:row r="264">
      <x:c r="A264" s="56" t="str">
        <x:v>P007</x:v>
      </x:c>
      <x:c r="B264" s="56" t="str">
        <x:v>P007</x:v>
      </x:c>
      <x:c r="C264" s="56" t="str">
        <x:v>exam</x:v>
      </x:c>
      <x:c r="D264" s="56" t="n">
        <x:v>35</x:v>
      </x:c>
      <x:c r="E264" s="56" t="str">
        <x:v>exam.temperature</x:v>
      </x:c>
      <x:c r="F264" s="56" t="str">
        <x:v>体温</x:v>
      </x:c>
      <x:c r="G264" s="56" t="n">
        <x:v>12</x:v>
      </x:c>
      <x:c r="H264" s="56" t="str">
        <x:v>普通得分项</x:v>
      </x:c>
      <x:c r="I264" s="56" t="str">
        <x:v>否</x:v>
      </x:c>
      <x:c r="J264" s="56" t="str">
        <x:v>否</x:v>
      </x:c>
      <x:c r="K264" s="56" t="str">
        <x:v>否</x:v>
      </x:c>
      <x:c r="L264" s="56" t="str">
        <x:v>按结构化事件证据给予0/部分/满分；不能由总结反推已完成</x:v>
      </x:c>
      <x:c r="M264" s="56" t="str"/>
      <x:c r="N264" s="56" t="n">
        <x:f>SUMIFS($G$4:$G$1673,$A$4:$A$1673,A264)</x:f>
        <x:v>360</x:v>
      </x:c>
      <x:c r="O264" s="56" t="str">
        <x:f>IF(N264=360,"通过","失败")</x:f>
        <x:v>通过</x:v>
      </x:c>
      <x:c r="P264" s="56" t="str"/>
      <x:c r="Q264" s="59" t="str">
        <x:v>待确认</x:v>
      </x:c>
    </x:row>
    <x:row r="265">
      <x:c r="A265" s="56" t="str">
        <x:v>P007</x:v>
      </x:c>
      <x:c r="B265" s="56" t="str">
        <x:v>P007</x:v>
      </x:c>
      <x:c r="C265" s="56" t="str">
        <x:v>exam</x:v>
      </x:c>
      <x:c r="D265" s="56" t="n">
        <x:v>35</x:v>
      </x:c>
      <x:c r="E265" s="56" t="str">
        <x:v>exam.blood_pressure</x:v>
      </x:c>
      <x:c r="F265" s="56" t="str">
        <x:v>血压</x:v>
      </x:c>
      <x:c r="G265" s="56" t="n">
        <x:v>12</x:v>
      </x:c>
      <x:c r="H265" s="56" t="str">
        <x:v>普通得分项</x:v>
      </x:c>
      <x:c r="I265" s="56" t="str">
        <x:v>否</x:v>
      </x:c>
      <x:c r="J265" s="56" t="str">
        <x:v>否</x:v>
      </x:c>
      <x:c r="K265" s="56" t="str">
        <x:v>否</x:v>
      </x:c>
      <x:c r="L265" s="56" t="str">
        <x:v>按结构化事件证据给予0/部分/满分；不能由总结反推已完成</x:v>
      </x:c>
      <x:c r="M265" s="56" t="str"/>
      <x:c r="N265" s="56" t="n">
        <x:f>SUMIFS($G$4:$G$1673,$A$4:$A$1673,A265)</x:f>
        <x:v>360</x:v>
      </x:c>
      <x:c r="O265" s="56" t="str">
        <x:f>IF(N265=360,"通过","失败")</x:f>
        <x:v>通过</x:v>
      </x:c>
      <x:c r="P265" s="56" t="str"/>
      <x:c r="Q265" s="59" t="str">
        <x:v>待确认</x:v>
      </x:c>
    </x:row>
    <x:row r="266">
      <x:c r="A266" s="56" t="str">
        <x:v>P007</x:v>
      </x:c>
      <x:c r="B266" s="56" t="str">
        <x:v>P007</x:v>
      </x:c>
      <x:c r="C266" s="56" t="str">
        <x:v>exam</x:v>
      </x:c>
      <x:c r="D266" s="56" t="n">
        <x:v>35</x:v>
      </x:c>
      <x:c r="E266" s="56" t="str">
        <x:v>exam.targeted</x:v>
      </x:c>
      <x:c r="F266" s="56" t="str">
        <x:v>病例针对性查体</x:v>
      </x:c>
      <x:c r="G266" s="56" t="n">
        <x:v>11</x:v>
      </x:c>
      <x:c r="H266" s="56" t="str">
        <x:v>普通得分项</x:v>
      </x:c>
      <x:c r="I266" s="56" t="str">
        <x:v>否</x:v>
      </x:c>
      <x:c r="J266" s="56" t="str">
        <x:v>否</x:v>
      </x:c>
      <x:c r="K266" s="56" t="str">
        <x:v>否</x:v>
      </x:c>
      <x:c r="L266" s="56" t="str">
        <x:v>按结构化事件证据给予0/部分/满分；不能由总结反推已完成</x:v>
      </x:c>
      <x:c r="M266" s="56" t="str"/>
      <x:c r="N266" s="56" t="n">
        <x:f>SUMIFS($G$4:$G$1673,$A$4:$A$1673,A266)</x:f>
        <x:v>360</x:v>
      </x:c>
      <x:c r="O266" s="56" t="str">
        <x:f>IF(N266=360,"通过","失败")</x:f>
        <x:v>通过</x:v>
      </x:c>
      <x:c r="P266" s="56" t="str"/>
      <x:c r="Q266" s="59" t="str">
        <x:v>待确认</x:v>
      </x:c>
    </x:row>
    <x:row r="267">
      <x:c r="A267" s="56" t="str">
        <x:v>P007</x:v>
      </x:c>
      <x:c r="B267" s="56" t="str">
        <x:v>P007</x:v>
      </x:c>
      <x:c r="C267" s="56" t="str">
        <x:v>diagnosis</x:v>
      </x:c>
      <x:c r="D267" s="56" t="n">
        <x:v>45</x:v>
      </x:c>
      <x:c r="E267" s="56" t="str">
        <x:v>diagnosis.primary</x:v>
      </x:c>
      <x:c r="F267" s="56" t="str">
        <x:v>最可能诊断及依据</x:v>
      </x:c>
      <x:c r="G267" s="56" t="n">
        <x:v>15</x:v>
      </x:c>
      <x:c r="H267" s="56" t="str">
        <x:v>普通得分项</x:v>
      </x:c>
      <x:c r="I267" s="56" t="str">
        <x:v>否</x:v>
      </x:c>
      <x:c r="J267" s="56" t="str">
        <x:v>否</x:v>
      </x:c>
      <x:c r="K267" s="56" t="str">
        <x:v>否</x:v>
      </x:c>
      <x:c r="L267" s="56" t="str">
        <x:v>按结构化事件证据给予0/部分/满分；不能由总结反推已完成</x:v>
      </x:c>
      <x:c r="M267" s="56" t="str"/>
      <x:c r="N267" s="56" t="n">
        <x:f>SUMIFS($G$4:$G$1673,$A$4:$A$1673,A267)</x:f>
        <x:v>360</x:v>
      </x:c>
      <x:c r="O267" s="56" t="str">
        <x:f>IF(N267=360,"通过","失败")</x:f>
        <x:v>通过</x:v>
      </x:c>
      <x:c r="P267" s="56" t="str"/>
      <x:c r="Q267" s="59" t="str">
        <x:v>待确认</x:v>
      </x:c>
    </x:row>
    <x:row r="268">
      <x:c r="A268" s="56" t="str">
        <x:v>P007</x:v>
      </x:c>
      <x:c r="B268" s="56" t="str">
        <x:v>P007</x:v>
      </x:c>
      <x:c r="C268" s="56" t="str">
        <x:v>diagnosis</x:v>
      </x:c>
      <x:c r="D268" s="56" t="n">
        <x:v>45</x:v>
      </x:c>
      <x:c r="E268" s="56" t="str">
        <x:v>diagnosis.differentials</x:v>
      </x:c>
      <x:c r="F268" s="56" t="str">
        <x:v>至少3项鉴别及支持/反对点</x:v>
      </x:c>
      <x:c r="G268" s="56" t="n">
        <x:v>15</x:v>
      </x:c>
      <x:c r="H268" s="56" t="str">
        <x:v>普通得分项</x:v>
      </x:c>
      <x:c r="I268" s="56" t="str">
        <x:v>否</x:v>
      </x:c>
      <x:c r="J268" s="56" t="str">
        <x:v>否</x:v>
      </x:c>
      <x:c r="K268" s="56" t="str">
        <x:v>否</x:v>
      </x:c>
      <x:c r="L268" s="56" t="str">
        <x:v>按结构化事件证据给予0/部分/满分；不能由总结反推已完成</x:v>
      </x:c>
      <x:c r="M268" s="56" t="str"/>
      <x:c r="N268" s="56" t="n">
        <x:f>SUMIFS($G$4:$G$1673,$A$4:$A$1673,A268)</x:f>
        <x:v>360</x:v>
      </x:c>
      <x:c r="O268" s="56" t="str">
        <x:f>IF(N268=360,"通过","失败")</x:f>
        <x:v>通过</x:v>
      </x:c>
      <x:c r="P268" s="56" t="str"/>
      <x:c r="Q268" s="59" t="str">
        <x:v>待确认</x:v>
      </x:c>
    </x:row>
    <x:row r="269">
      <x:c r="A269" s="56" t="str">
        <x:v>P007</x:v>
      </x:c>
      <x:c r="B269" s="56" t="str">
        <x:v>P007</x:v>
      </x:c>
      <x:c r="C269" s="56" t="str">
        <x:v>diagnosis</x:v>
      </x:c>
      <x:c r="D269" s="56" t="n">
        <x:v>45</x:v>
      </x:c>
      <x:c r="E269" s="56" t="str">
        <x:v>diagnosis.confirmation</x:v>
      </x:c>
      <x:c r="F269" s="56" t="str">
        <x:v>确认计划</x:v>
      </x:c>
      <x:c r="G269" s="56" t="n">
        <x:v>15</x:v>
      </x:c>
      <x:c r="H269" s="56" t="str">
        <x:v>普通得分项</x:v>
      </x:c>
      <x:c r="I269" s="56" t="str">
        <x:v>否</x:v>
      </x:c>
      <x:c r="J269" s="56" t="str">
        <x:v>否</x:v>
      </x:c>
      <x:c r="K269" s="56" t="str">
        <x:v>否</x:v>
      </x:c>
      <x:c r="L269" s="56" t="str">
        <x:v>按结构化事件证据给予0/部分/满分；不能由总结反推已完成</x:v>
      </x:c>
      <x:c r="M269" s="56" t="str"/>
      <x:c r="N269" s="56" t="n">
        <x:f>SUMIFS($G$4:$G$1673,$A$4:$A$1673,A269)</x:f>
        <x:v>360</x:v>
      </x:c>
      <x:c r="O269" s="56" t="str">
        <x:f>IF(N269=360,"通过","失败")</x:f>
        <x:v>通过</x:v>
      </x:c>
      <x:c r="P269" s="56" t="str"/>
      <x:c r="Q269" s="59" t="str">
        <x:v>待确认</x:v>
      </x:c>
    </x:row>
    <x:row r="270">
      <x:c r="A270" s="56" t="str">
        <x:v>P007</x:v>
      </x:c>
      <x:c r="B270" s="56" t="str">
        <x:v>P007</x:v>
      </x:c>
      <x:c r="C270" s="56" t="str">
        <x:v>orders</x:v>
      </x:c>
      <x:c r="D270" s="56" t="n">
        <x:v>55</x:v>
      </x:c>
      <x:c r="E270" s="56" t="str">
        <x:v>orders.LAB-UR-001</x:v>
      </x:c>
      <x:c r="F270" s="56" t="str">
        <x:v>LAB-UR-001</x:v>
      </x:c>
      <x:c r="G270" s="56" t="n">
        <x:v>11</x:v>
      </x:c>
      <x:c r="H270" s="56" t="str">
        <x:v>病例特异得分项</x:v>
      </x:c>
      <x:c r="I270" s="56" t="str">
        <x:v>否</x:v>
      </x:c>
      <x:c r="J270" s="56" t="str">
        <x:v>否</x:v>
      </x:c>
      <x:c r="K270" s="56" t="str">
        <x:v>否</x:v>
      </x:c>
      <x:c r="L270" s="56" t="str">
        <x:v>按结构化事件证据给予0/部分/满分；不能由总结反推已完成</x:v>
      </x:c>
      <x:c r="M270" s="56" t="str"/>
      <x:c r="N270" s="56" t="n">
        <x:f>SUMIFS($G$4:$G$1673,$A$4:$A$1673,A270)</x:f>
        <x:v>360</x:v>
      </x:c>
      <x:c r="O270" s="56" t="str">
        <x:f>IF(N270=360,"通过","失败")</x:f>
        <x:v>通过</x:v>
      </x:c>
      <x:c r="P270" s="56" t="str"/>
      <x:c r="Q270" s="59" t="str">
        <x:v>待确认</x:v>
      </x:c>
    </x:row>
    <x:row r="271">
      <x:c r="A271" s="56" t="str">
        <x:v>P007</x:v>
      </x:c>
      <x:c r="B271" s="56" t="str">
        <x:v>P007</x:v>
      </x:c>
      <x:c r="C271" s="56" t="str">
        <x:v>orders</x:v>
      </x:c>
      <x:c r="D271" s="56" t="n">
        <x:v>55</x:v>
      </x:c>
      <x:c r="E271" s="56" t="str">
        <x:v>orders.LAB-BL-003</x:v>
      </x:c>
      <x:c r="F271" s="56" t="str">
        <x:v>LAB-BL-003</x:v>
      </x:c>
      <x:c r="G271" s="56" t="n">
        <x:v>11</x:v>
      </x:c>
      <x:c r="H271" s="56" t="str">
        <x:v>病例特异得分项</x:v>
      </x:c>
      <x:c r="I271" s="56" t="str">
        <x:v>否</x:v>
      </x:c>
      <x:c r="J271" s="56" t="str">
        <x:v>否</x:v>
      </x:c>
      <x:c r="K271" s="56" t="str">
        <x:v>否</x:v>
      </x:c>
      <x:c r="L271" s="56" t="str">
        <x:v>按结构化事件证据给予0/部分/满分；不能由总结反推已完成</x:v>
      </x:c>
      <x:c r="M271" s="56" t="str"/>
      <x:c r="N271" s="56" t="n">
        <x:f>SUMIFS($G$4:$G$1673,$A$4:$A$1673,A271)</x:f>
        <x:v>360</x:v>
      </x:c>
      <x:c r="O271" s="56" t="str">
        <x:f>IF(N271=360,"通过","失败")</x:f>
        <x:v>通过</x:v>
      </x:c>
      <x:c r="P271" s="56" t="str"/>
      <x:c r="Q271" s="59" t="str">
        <x:v>待确认</x:v>
      </x:c>
    </x:row>
    <x:row r="272">
      <x:c r="A272" s="56" t="str">
        <x:v>P007</x:v>
      </x:c>
      <x:c r="B272" s="56" t="str">
        <x:v>P007</x:v>
      </x:c>
      <x:c r="C272" s="56" t="str">
        <x:v>orders</x:v>
      </x:c>
      <x:c r="D272" s="56" t="n">
        <x:v>55</x:v>
      </x:c>
      <x:c r="E272" s="56" t="str">
        <x:v>orders.IMG-US-001</x:v>
      </x:c>
      <x:c r="F272" s="56" t="str">
        <x:v>IMG-US-001</x:v>
      </x:c>
      <x:c r="G272" s="56" t="n">
        <x:v>11</x:v>
      </x:c>
      <x:c r="H272" s="56" t="str">
        <x:v>病例特异得分项</x:v>
      </x:c>
      <x:c r="I272" s="56" t="str">
        <x:v>否</x:v>
      </x:c>
      <x:c r="J272" s="56" t="str">
        <x:v>否</x:v>
      </x:c>
      <x:c r="K272" s="56" t="str">
        <x:v>否</x:v>
      </x:c>
      <x:c r="L272" s="56" t="str">
        <x:v>按结构化事件证据给予0/部分/满分；不能由总结反推已完成</x:v>
      </x:c>
      <x:c r="M272" s="56" t="str"/>
      <x:c r="N272" s="56" t="n">
        <x:f>SUMIFS($G$4:$G$1673,$A$4:$A$1673,A272)</x:f>
        <x:v>360</x:v>
      </x:c>
      <x:c r="O272" s="56" t="str">
        <x:f>IF(N272=360,"通过","失败")</x:f>
        <x:v>通过</x:v>
      </x:c>
      <x:c r="P272" s="56" t="str"/>
      <x:c r="Q272" s="59" t="str">
        <x:v>待确认</x:v>
      </x:c>
    </x:row>
    <x:row r="273">
      <x:c r="A273" s="56" t="str">
        <x:v>P007</x:v>
      </x:c>
      <x:c r="B273" s="56" t="str">
        <x:v>P007</x:v>
      </x:c>
      <x:c r="C273" s="56" t="str">
        <x:v>orders</x:v>
      </x:c>
      <x:c r="D273" s="56" t="n">
        <x:v>55</x:v>
      </x:c>
      <x:c r="E273" s="56" t="str">
        <x:v>orders.FUNC-001</x:v>
      </x:c>
      <x:c r="F273" s="56" t="str">
        <x:v>FUNC-001</x:v>
      </x:c>
      <x:c r="G273" s="56" t="n">
        <x:v>11</x:v>
      </x:c>
      <x:c r="H273" s="56" t="str">
        <x:v>病例特异得分项</x:v>
      </x:c>
      <x:c r="I273" s="56" t="str">
        <x:v>否</x:v>
      </x:c>
      <x:c r="J273" s="56" t="str">
        <x:v>否</x:v>
      </x:c>
      <x:c r="K273" s="56" t="str">
        <x:v>否</x:v>
      </x:c>
      <x:c r="L273" s="56" t="str">
        <x:v>按结构化事件证据给予0/部分/满分；不能由总结反推已完成</x:v>
      </x:c>
      <x:c r="M273" s="56" t="str"/>
      <x:c r="N273" s="56" t="n">
        <x:f>SUMIFS($G$4:$G$1673,$A$4:$A$1673,A273)</x:f>
        <x:v>360</x:v>
      </x:c>
      <x:c r="O273" s="56" t="str">
        <x:f>IF(N273=360,"通过","失败")</x:f>
        <x:v>通过</x:v>
      </x:c>
      <x:c r="P273" s="56" t="str"/>
      <x:c r="Q273" s="59" t="str">
        <x:v>待确认</x:v>
      </x:c>
    </x:row>
    <x:row r="274">
      <x:c r="A274" s="56" t="str">
        <x:v>P007</x:v>
      </x:c>
      <x:c r="B274" s="56" t="str">
        <x:v>P007</x:v>
      </x:c>
      <x:c r="C274" s="56" t="str">
        <x:v>orders</x:v>
      </x:c>
      <x:c r="D274" s="56" t="n">
        <x:v>55</x:v>
      </x:c>
      <x:c r="E274" s="56" t="str">
        <x:v>orders.LAB-BL-015</x:v>
      </x:c>
      <x:c r="F274" s="56" t="str">
        <x:v>LAB-BL-015</x:v>
      </x:c>
      <x:c r="G274" s="56" t="n">
        <x:v>11</x:v>
      </x:c>
      <x:c r="H274" s="56" t="str">
        <x:v>病例特异得分项</x:v>
      </x:c>
      <x:c r="I274" s="56" t="str">
        <x:v>否</x:v>
      </x:c>
      <x:c r="J274" s="56" t="str">
        <x:v>否</x:v>
      </x:c>
      <x:c r="K274" s="56" t="str">
        <x:v>否</x:v>
      </x:c>
      <x:c r="L274" s="56" t="str">
        <x:v>按结构化事件证据给予0/部分/满分；不能由总结反推已完成</x:v>
      </x:c>
      <x:c r="M274" s="56" t="str"/>
      <x:c r="N274" s="56" t="n">
        <x:f>SUMIFS($G$4:$G$1673,$A$4:$A$1673,A274)</x:f>
        <x:v>360</x:v>
      </x:c>
      <x:c r="O274" s="56" t="str">
        <x:f>IF(N274=360,"通过","失败")</x:f>
        <x:v>通过</x:v>
      </x:c>
      <x:c r="P274" s="56" t="str"/>
      <x:c r="Q274" s="59" t="str">
        <x:v>待确认</x:v>
      </x:c>
    </x:row>
    <x:row r="275">
      <x:c r="A275" s="56" t="str">
        <x:v>P007</x:v>
      </x:c>
      <x:c r="B275" s="56" t="str">
        <x:v>P007</x:v>
      </x:c>
      <x:c r="C275" s="56" t="str">
        <x:v>mdt</x:v>
      </x:c>
      <x:c r="D275" s="56" t="n">
        <x:v>45</x:v>
      </x:c>
      <x:c r="E275" s="56" t="str">
        <x:v>mdt.department</x:v>
      </x:c>
      <x:c r="F275" s="56" t="str">
        <x:v>department</x:v>
      </x:c>
      <x:c r="G275" s="56" t="n">
        <x:v>12</x:v>
      </x:c>
      <x:c r="H275" s="56" t="str">
        <x:v>病例特异得分项</x:v>
      </x:c>
      <x:c r="I275" s="56" t="str">
        <x:v>否</x:v>
      </x:c>
      <x:c r="J275" s="56" t="str">
        <x:v>否</x:v>
      </x:c>
      <x:c r="K275" s="56" t="str">
        <x:v>否</x:v>
      </x:c>
      <x:c r="L275" s="56" t="str">
        <x:v>按结构化事件证据给予0/部分/满分；不能由总结反推已完成</x:v>
      </x:c>
      <x:c r="M275" s="56" t="str"/>
      <x:c r="N275" s="56" t="n">
        <x:f>SUMIFS($G$4:$G$1673,$A$4:$A$1673,A275)</x:f>
        <x:v>360</x:v>
      </x:c>
      <x:c r="O275" s="56" t="str">
        <x:f>IF(N275=360,"通过","失败")</x:f>
        <x:v>通过</x:v>
      </x:c>
      <x:c r="P275" s="56" t="str"/>
      <x:c r="Q275" s="59" t="str">
        <x:v>待确认</x:v>
      </x:c>
    </x:row>
    <x:row r="276">
      <x:c r="A276" s="56" t="str">
        <x:v>P007</x:v>
      </x:c>
      <x:c r="B276" s="56" t="str">
        <x:v>P007</x:v>
      </x:c>
      <x:c r="C276" s="56" t="str">
        <x:v>mdt</x:v>
      </x:c>
      <x:c r="D276" s="56" t="n">
        <x:v>45</x:v>
      </x:c>
      <x:c r="E276" s="56" t="str">
        <x:v>mdt.trigger</x:v>
      </x:c>
      <x:c r="F276" s="56" t="str">
        <x:v>trigger</x:v>
      </x:c>
      <x:c r="G276" s="56" t="n">
        <x:v>11</x:v>
      </x:c>
      <x:c r="H276" s="56" t="str">
        <x:v>病例特异得分项</x:v>
      </x:c>
      <x:c r="I276" s="56" t="str">
        <x:v>否</x:v>
      </x:c>
      <x:c r="J276" s="56" t="str">
        <x:v>否</x:v>
      </x:c>
      <x:c r="K276" s="56" t="str">
        <x:v>否</x:v>
      </x:c>
      <x:c r="L276" s="56" t="str">
        <x:v>按结构化事件证据给予0/部分/满分；不能由总结反推已完成</x:v>
      </x:c>
      <x:c r="M276" s="56" t="str"/>
      <x:c r="N276" s="56" t="n">
        <x:f>SUMIFS($G$4:$G$1673,$A$4:$A$1673,A276)</x:f>
        <x:v>360</x:v>
      </x:c>
      <x:c r="O276" s="56" t="str">
        <x:f>IF(N276=360,"通过","失败")</x:f>
        <x:v>通过</x:v>
      </x:c>
      <x:c r="P276" s="56" t="str"/>
      <x:c r="Q276" s="59" t="str">
        <x:v>待确认</x:v>
      </x:c>
    </x:row>
    <x:row r="277">
      <x:c r="A277" s="56" t="str">
        <x:v>P007</x:v>
      </x:c>
      <x:c r="B277" s="56" t="str">
        <x:v>P007</x:v>
      </x:c>
      <x:c r="C277" s="56" t="str">
        <x:v>mdt</x:v>
      </x:c>
      <x:c r="D277" s="56" t="n">
        <x:v>45</x:v>
      </x:c>
      <x:c r="E277" s="56" t="str">
        <x:v>mdt.question</x:v>
      </x:c>
      <x:c r="F277" s="56" t="str">
        <x:v>question</x:v>
      </x:c>
      <x:c r="G277" s="56" t="n">
        <x:v>11</x:v>
      </x:c>
      <x:c r="H277" s="56" t="str">
        <x:v>病例特异得分项</x:v>
      </x:c>
      <x:c r="I277" s="56" t="str">
        <x:v>否</x:v>
      </x:c>
      <x:c r="J277" s="56" t="str">
        <x:v>否</x:v>
      </x:c>
      <x:c r="K277" s="56" t="str">
        <x:v>否</x:v>
      </x:c>
      <x:c r="L277" s="56" t="str">
        <x:v>按结构化事件证据给予0/部分/满分；不能由总结反推已完成</x:v>
      </x:c>
      <x:c r="M277" s="56" t="str"/>
      <x:c r="N277" s="56" t="n">
        <x:f>SUMIFS($G$4:$G$1673,$A$4:$A$1673,A277)</x:f>
        <x:v>360</x:v>
      </x:c>
      <x:c r="O277" s="56" t="str">
        <x:f>IF(N277=360,"通过","失败")</x:f>
        <x:v>通过</x:v>
      </x:c>
      <x:c r="P277" s="56" t="str"/>
      <x:c r="Q277" s="59" t="str">
        <x:v>待确认</x:v>
      </x:c>
    </x:row>
    <x:row r="278">
      <x:c r="A278" s="56" t="str">
        <x:v>P007</x:v>
      </x:c>
      <x:c r="B278" s="56" t="str">
        <x:v>P007</x:v>
      </x:c>
      <x:c r="C278" s="56" t="str">
        <x:v>mdt</x:v>
      </x:c>
      <x:c r="D278" s="56" t="n">
        <x:v>45</x:v>
      </x:c>
      <x:c r="E278" s="56" t="str">
        <x:v>mdt.evidence</x:v>
      </x:c>
      <x:c r="F278" s="56" t="str">
        <x:v>evidence</x:v>
      </x:c>
      <x:c r="G278" s="56" t="n">
        <x:v>11</x:v>
      </x:c>
      <x:c r="H278" s="56" t="str">
        <x:v>病例特异得分项</x:v>
      </x:c>
      <x:c r="I278" s="56" t="str">
        <x:v>否</x:v>
      </x:c>
      <x:c r="J278" s="56" t="str">
        <x:v>否</x:v>
      </x:c>
      <x:c r="K278" s="56" t="str">
        <x:v>否</x:v>
      </x:c>
      <x:c r="L278" s="56" t="str">
        <x:v>按结构化事件证据给予0/部分/满分；不能由总结反推已完成</x:v>
      </x:c>
      <x:c r="M278" s="56" t="str"/>
      <x:c r="N278" s="56" t="n">
        <x:f>SUMIFS($G$4:$G$1673,$A$4:$A$1673,A278)</x:f>
        <x:v>360</x:v>
      </x:c>
      <x:c r="O278" s="56" t="str">
        <x:f>IF(N278=360,"通过","失败")</x:f>
        <x:v>通过</x:v>
      </x:c>
      <x:c r="P278" s="56" t="str"/>
      <x:c r="Q278" s="59" t="str">
        <x:v>待确认</x:v>
      </x:c>
    </x:row>
    <x:row r="279">
      <x:c r="A279" s="56" t="str">
        <x:v>P007</x:v>
      </x:c>
      <x:c r="B279" s="56" t="str">
        <x:v>P007</x:v>
      </x:c>
      <x:c r="C279" s="56" t="str">
        <x:v>treatment</x:v>
      </x:c>
      <x:c r="D279" s="56" t="n">
        <x:v>50</x:v>
      </x:c>
      <x:c r="E279" s="56" t="str">
        <x:v>treatment.immediate</x:v>
      </x:c>
      <x:c r="F279" s="56" t="str">
        <x:v>immediate</x:v>
      </x:c>
      <x:c r="G279" s="56" t="n">
        <x:v>13</x:v>
      </x:c>
      <x:c r="H279" s="56" t="str">
        <x:v>病例特异得分项</x:v>
      </x:c>
      <x:c r="I279" s="56" t="str">
        <x:v>否</x:v>
      </x:c>
      <x:c r="J279" s="56" t="str">
        <x:v>否</x:v>
      </x:c>
      <x:c r="K279" s="56" t="str">
        <x:v>否</x:v>
      </x:c>
      <x:c r="L279" s="56" t="str">
        <x:v>按结构化事件证据给予0/部分/满分；不能由总结反推已完成</x:v>
      </x:c>
      <x:c r="M279" s="56" t="str"/>
      <x:c r="N279" s="56" t="n">
        <x:f>SUMIFS($G$4:$G$1673,$A$4:$A$1673,A279)</x:f>
        <x:v>360</x:v>
      </x:c>
      <x:c r="O279" s="56" t="str">
        <x:f>IF(N279=360,"通过","失败")</x:f>
        <x:v>通过</x:v>
      </x:c>
      <x:c r="P279" s="56" t="str"/>
      <x:c r="Q279" s="59" t="str">
        <x:v>待确认</x:v>
      </x:c>
    </x:row>
    <x:row r="280">
      <x:c r="A280" s="56" t="str">
        <x:v>P007</x:v>
      </x:c>
      <x:c r="B280" s="56" t="str">
        <x:v>P007</x:v>
      </x:c>
      <x:c r="C280" s="56" t="str">
        <x:v>treatment</x:v>
      </x:c>
      <x:c r="D280" s="56" t="n">
        <x:v>50</x:v>
      </x:c>
      <x:c r="E280" s="56" t="str">
        <x:v>treatment.etiologic</x:v>
      </x:c>
      <x:c r="F280" s="56" t="str">
        <x:v>etiologic</x:v>
      </x:c>
      <x:c r="G280" s="56" t="n">
        <x:v>13</x:v>
      </x:c>
      <x:c r="H280" s="56" t="str">
        <x:v>病例特异得分项</x:v>
      </x:c>
      <x:c r="I280" s="56" t="str">
        <x:v>否</x:v>
      </x:c>
      <x:c r="J280" s="56" t="str">
        <x:v>否</x:v>
      </x:c>
      <x:c r="K280" s="56" t="str">
        <x:v>否</x:v>
      </x:c>
      <x:c r="L280" s="56" t="str">
        <x:v>按结构化事件证据给予0/部分/满分；不能由总结反推已完成</x:v>
      </x:c>
      <x:c r="M280" s="56" t="str"/>
      <x:c r="N280" s="56" t="n">
        <x:f>SUMIFS($G$4:$G$1673,$A$4:$A$1673,A280)</x:f>
        <x:v>360</x:v>
      </x:c>
      <x:c r="O280" s="56" t="str">
        <x:f>IF(N280=360,"通过","失败")</x:f>
        <x:v>通过</x:v>
      </x:c>
      <x:c r="P280" s="56" t="str"/>
      <x:c r="Q280" s="59" t="str">
        <x:v>待确认</x:v>
      </x:c>
    </x:row>
    <x:row r="281">
      <x:c r="A281" s="56" t="str">
        <x:v>P007</x:v>
      </x:c>
      <x:c r="B281" s="56" t="str">
        <x:v>P007</x:v>
      </x:c>
      <x:c r="C281" s="56" t="str">
        <x:v>treatment</x:v>
      </x:c>
      <x:c r="D281" s="56" t="n">
        <x:v>50</x:v>
      </x:c>
      <x:c r="E281" s="56" t="str">
        <x:v>treatment.definitive</x:v>
      </x:c>
      <x:c r="F281" s="56" t="str">
        <x:v>definitive</x:v>
      </x:c>
      <x:c r="G281" s="56" t="n">
        <x:v>12</x:v>
      </x:c>
      <x:c r="H281" s="56" t="str">
        <x:v>病例特异得分项</x:v>
      </x:c>
      <x:c r="I281" s="56" t="str">
        <x:v>否</x:v>
      </x:c>
      <x:c r="J281" s="56" t="str">
        <x:v>否</x:v>
      </x:c>
      <x:c r="K281" s="56" t="str">
        <x:v>否</x:v>
      </x:c>
      <x:c r="L281" s="56" t="str">
        <x:v>按结构化事件证据给予0/部分/满分；不能由总结反推已完成</x:v>
      </x:c>
      <x:c r="M281" s="56" t="str"/>
      <x:c r="N281" s="56" t="n">
        <x:f>SUMIFS($G$4:$G$1673,$A$4:$A$1673,A281)</x:f>
        <x:v>360</x:v>
      </x:c>
      <x:c r="O281" s="56" t="str">
        <x:f>IF(N281=360,"通过","失败")</x:f>
        <x:v>通过</x:v>
      </x:c>
      <x:c r="P281" s="56" t="str"/>
      <x:c r="Q281" s="59" t="str">
        <x:v>待确认</x:v>
      </x:c>
    </x:row>
    <x:row r="282">
      <x:c r="A282" s="56" t="str">
        <x:v>P007</x:v>
      </x:c>
      <x:c r="B282" s="56" t="str">
        <x:v>P007</x:v>
      </x:c>
      <x:c r="C282" s="56" t="str">
        <x:v>treatment</x:v>
      </x:c>
      <x:c r="D282" s="56" t="n">
        <x:v>50</x:v>
      </x:c>
      <x:c r="E282" s="56" t="str">
        <x:v>treatment.perioperative</x:v>
      </x:c>
      <x:c r="F282" s="56" t="str">
        <x:v>perioperative</x:v>
      </x:c>
      <x:c r="G282" s="56" t="n">
        <x:v>12</x:v>
      </x:c>
      <x:c r="H282" s="56" t="str">
        <x:v>病例特异得分项</x:v>
      </x:c>
      <x:c r="I282" s="56" t="str">
        <x:v>否</x:v>
      </x:c>
      <x:c r="J282" s="56" t="str">
        <x:v>否</x:v>
      </x:c>
      <x:c r="K282" s="56" t="str">
        <x:v>否</x:v>
      </x:c>
      <x:c r="L282" s="56" t="str">
        <x:v>按结构化事件证据给予0/部分/满分；不能由总结反推已完成</x:v>
      </x:c>
      <x:c r="M282" s="56" t="str"/>
      <x:c r="N282" s="56" t="n">
        <x:f>SUMIFS($G$4:$G$1673,$A$4:$A$1673,A282)</x:f>
        <x:v>360</x:v>
      </x:c>
      <x:c r="O282" s="56" t="str">
        <x:f>IF(N282=360,"通过","失败")</x:f>
        <x:v>通过</x:v>
      </x:c>
      <x:c r="P282" s="56" t="str"/>
      <x:c r="Q282" s="59" t="str">
        <x:v>待确认</x:v>
      </x:c>
    </x:row>
    <x:row r="283">
      <x:c r="A283" s="56" t="str">
        <x:v>P007</x:v>
      </x:c>
      <x:c r="B283" s="56" t="str">
        <x:v>P007</x:v>
      </x:c>
      <x:c r="C283" s="56" t="str">
        <x:v>followup</x:v>
      </x:c>
      <x:c r="D283" s="56" t="n">
        <x:v>40</x:v>
      </x:c>
      <x:c r="E283" s="56" t="str">
        <x:v>followup.plan</x:v>
      </x:c>
      <x:c r="F283" s="56" t="str">
        <x:v>随访复查</x:v>
      </x:c>
      <x:c r="G283" s="56" t="n">
        <x:v>10</x:v>
      </x:c>
      <x:c r="H283" s="56" t="str">
        <x:v>普通得分项</x:v>
      </x:c>
      <x:c r="I283" s="56" t="str">
        <x:v>否</x:v>
      </x:c>
      <x:c r="J283" s="56" t="str">
        <x:v>否</x:v>
      </x:c>
      <x:c r="K283" s="56" t="str">
        <x:v>否</x:v>
      </x:c>
      <x:c r="L283" s="56" t="str">
        <x:v>按结构化事件证据给予0/部分/满分；不能由总结反推已完成</x:v>
      </x:c>
      <x:c r="M283" s="56" t="str"/>
      <x:c r="N283" s="56" t="n">
        <x:f>SUMIFS($G$4:$G$1673,$A$4:$A$1673,A283)</x:f>
        <x:v>360</x:v>
      </x:c>
      <x:c r="O283" s="56" t="str">
        <x:f>IF(N283=360,"通过","失败")</x:f>
        <x:v>通过</x:v>
      </x:c>
      <x:c r="P283" s="56" t="str"/>
      <x:c r="Q283" s="59" t="str">
        <x:v>待确认</x:v>
      </x:c>
    </x:row>
    <x:row r="284">
      <x:c r="A284" s="56" t="str">
        <x:v>P007</x:v>
      </x:c>
      <x:c r="B284" s="56" t="str">
        <x:v>P007</x:v>
      </x:c>
      <x:c r="C284" s="56" t="str">
        <x:v>followup</x:v>
      </x:c>
      <x:c r="D284" s="56" t="n">
        <x:v>40</x:v>
      </x:c>
      <x:c r="E284" s="56" t="str">
        <x:v>followup.education</x:v>
      </x:c>
      <x:c r="F284" s="56" t="str">
        <x:v>患者教育</x:v>
      </x:c>
      <x:c r="G284" s="56" t="n">
        <x:v>10</x:v>
      </x:c>
      <x:c r="H284" s="56" t="str">
        <x:v>普通得分项</x:v>
      </x:c>
      <x:c r="I284" s="56" t="str">
        <x:v>否</x:v>
      </x:c>
      <x:c r="J284" s="56" t="str">
        <x:v>否</x:v>
      </x:c>
      <x:c r="K284" s="56" t="str">
        <x:v>否</x:v>
      </x:c>
      <x:c r="L284" s="56" t="str">
        <x:v>按结构化事件证据给予0/部分/满分；不能由总结反推已完成</x:v>
      </x:c>
      <x:c r="M284" s="56" t="str"/>
      <x:c r="N284" s="56" t="n">
        <x:f>SUMIFS($G$4:$G$1673,$A$4:$A$1673,A284)</x:f>
        <x:v>360</x:v>
      </x:c>
      <x:c r="O284" s="56" t="str">
        <x:f>IF(N284=360,"通过","失败")</x:f>
        <x:v>通过</x:v>
      </x:c>
      <x:c r="P284" s="56" t="str"/>
      <x:c r="Q284" s="59" t="str">
        <x:v>待确认</x:v>
      </x:c>
    </x:row>
    <x:row r="285">
      <x:c r="A285" s="56" t="str">
        <x:v>P007</x:v>
      </x:c>
      <x:c r="B285" s="56" t="str">
        <x:v>P007</x:v>
      </x:c>
      <x:c r="C285" s="56" t="str">
        <x:v>followup</x:v>
      </x:c>
      <x:c r="D285" s="56" t="n">
        <x:v>40</x:v>
      </x:c>
      <x:c r="E285" s="56" t="str">
        <x:v>followup.reflection</x:v>
      </x:c>
      <x:c r="F285" s="56" t="str">
        <x:v>学习反思质量</x:v>
      </x:c>
      <x:c r="G285" s="56" t="n">
        <x:v>10</x:v>
      </x:c>
      <x:c r="H285" s="56" t="str">
        <x:v>普通得分项</x:v>
      </x:c>
      <x:c r="I285" s="56" t="str">
        <x:v>否</x:v>
      </x:c>
      <x:c r="J285" s="56" t="str">
        <x:v>否</x:v>
      </x:c>
      <x:c r="K285" s="56" t="str">
        <x:v>否</x:v>
      </x:c>
      <x:c r="L285" s="56" t="str">
        <x:v>按结构化事件证据给予0/部分/满分；不能由总结反推已完成</x:v>
      </x:c>
      <x:c r="M285" s="56" t="str"/>
      <x:c r="N285" s="56" t="n">
        <x:f>SUMIFS($G$4:$G$1673,$A$4:$A$1673,A285)</x:f>
        <x:v>360</x:v>
      </x:c>
      <x:c r="O285" s="56" t="str">
        <x:f>IF(N285=360,"通过","失败")</x:f>
        <x:v>通过</x:v>
      </x:c>
      <x:c r="P285" s="56" t="str"/>
      <x:c r="Q285" s="59" t="str">
        <x:v>待确认</x:v>
      </x:c>
    </x:row>
    <x:row r="286">
      <x:c r="A286" s="56" t="str">
        <x:v>P007</x:v>
      </x:c>
      <x:c r="B286" s="56" t="str">
        <x:v>P007</x:v>
      </x:c>
      <x:c r="C286" s="56" t="str">
        <x:v>followup</x:v>
      </x:c>
      <x:c r="D286" s="56" t="n">
        <x:v>40</x:v>
      </x:c>
      <x:c r="E286" s="56" t="str">
        <x:v>followup.efficiency</x:v>
      </x:c>
      <x:c r="F286" s="56" t="str">
        <x:v>操作效率</x:v>
      </x:c>
      <x:c r="G286" s="56" t="n">
        <x:v>10</x:v>
      </x:c>
      <x:c r="H286" s="56" t="str">
        <x:v>普通得分项</x:v>
      </x:c>
      <x:c r="I286" s="56" t="str">
        <x:v>否</x:v>
      </x:c>
      <x:c r="J286" s="56" t="str">
        <x:v>否</x:v>
      </x:c>
      <x:c r="K286" s="56" t="str">
        <x:v>否</x:v>
      </x:c>
      <x:c r="L286" s="56" t="str">
        <x:v>按结构化事件证据给予0/部分/满分；不能由总结反推已完成</x:v>
      </x:c>
      <x:c r="M286" s="56" t="str"/>
      <x:c r="N286" s="56" t="n">
        <x:f>SUMIFS($G$4:$G$1673,$A$4:$A$1673,A286)</x:f>
        <x:v>360</x:v>
      </x:c>
      <x:c r="O286" s="56" t="str">
        <x:f>IF(N286=360,"通过","失败")</x:f>
        <x:v>通过</x:v>
      </x:c>
      <x:c r="P286" s="56" t="str"/>
      <x:c r="Q286" s="59" t="str">
        <x:v>待确认</x:v>
      </x:c>
    </x:row>
    <x:row r="287">
      <x:c r="A287" s="56" t="str">
        <x:v>P008</x:v>
      </x:c>
      <x:c r="B287" s="56" t="str">
        <x:v>P008</x:v>
      </x:c>
      <x:c r="C287" s="56" t="str">
        <x:v>history</x:v>
      </x:c>
      <x:c r="D287" s="56" t="n">
        <x:v>50</x:v>
      </x:c>
      <x:c r="E287" s="56" t="str">
        <x:v>history.hematuria_visibility</x:v>
      </x:c>
      <x:c r="F287" s="56" t="str">
        <x:v>hematuria_visibility</x:v>
      </x:c>
      <x:c r="G287" s="56" t="n">
        <x:v>5</x:v>
      </x:c>
      <x:c r="H287" s="56" t="str">
        <x:v>普通得分项</x:v>
      </x:c>
      <x:c r="I287" s="56" t="str">
        <x:v>否</x:v>
      </x:c>
      <x:c r="J287" s="56" t="str">
        <x:v>否</x:v>
      </x:c>
      <x:c r="K287" s="56" t="str">
        <x:v>否</x:v>
      </x:c>
      <x:c r="L287" s="56" t="str">
        <x:v>按结构化事件证据给予0/部分/满分；不能由总结反推已完成</x:v>
      </x:c>
      <x:c r="M287" s="56" t="str"/>
      <x:c r="N287" s="56" t="n">
        <x:f>SUMIFS($G$4:$G$1673,$A$4:$A$1673,A287)</x:f>
        <x:v>360</x:v>
      </x:c>
      <x:c r="O287" s="56" t="str">
        <x:f>IF(N287=360,"通过","失败")</x:f>
        <x:v>通过</x:v>
      </x:c>
      <x:c r="P287" s="56" t="str"/>
      <x:c r="Q287" s="59" t="str">
        <x:v>待确认</x:v>
      </x:c>
    </x:row>
    <x:row r="288">
      <x:c r="A288" s="56" t="str">
        <x:v>P008</x:v>
      </x:c>
      <x:c r="B288" s="56" t="str">
        <x:v>P008</x:v>
      </x:c>
      <x:c r="C288" s="56" t="str">
        <x:v>history</x:v>
      </x:c>
      <x:c r="D288" s="56" t="n">
        <x:v>50</x:v>
      </x:c>
      <x:c r="E288" s="56" t="str">
        <x:v>history.hematuria_onset</x:v>
      </x:c>
      <x:c r="F288" s="56" t="str">
        <x:v>hematuria_onset</x:v>
      </x:c>
      <x:c r="G288" s="56" t="n">
        <x:v>5</x:v>
      </x:c>
      <x:c r="H288" s="56" t="str">
        <x:v>普通得分项</x:v>
      </x:c>
      <x:c r="I288" s="56" t="str">
        <x:v>否</x:v>
      </x:c>
      <x:c r="J288" s="56" t="str">
        <x:v>否</x:v>
      </x:c>
      <x:c r="K288" s="56" t="str">
        <x:v>否</x:v>
      </x:c>
      <x:c r="L288" s="56" t="str">
        <x:v>按结构化事件证据给予0/部分/满分；不能由总结反推已完成</x:v>
      </x:c>
      <x:c r="M288" s="56" t="str"/>
      <x:c r="N288" s="56" t="n">
        <x:f>SUMIFS($G$4:$G$1673,$A$4:$A$1673,A288)</x:f>
        <x:v>360</x:v>
      </x:c>
      <x:c r="O288" s="56" t="str">
        <x:f>IF(N288=360,"通过","失败")</x:f>
        <x:v>通过</x:v>
      </x:c>
      <x:c r="P288" s="56" t="str"/>
      <x:c r="Q288" s="59" t="str">
        <x:v>待确认</x:v>
      </x:c>
    </x:row>
    <x:row r="289">
      <x:c r="A289" s="56" t="str">
        <x:v>P008</x:v>
      </x:c>
      <x:c r="B289" s="56" t="str">
        <x:v>P008</x:v>
      </x:c>
      <x:c r="C289" s="56" t="str">
        <x:v>history</x:v>
      </x:c>
      <x:c r="D289" s="56" t="n">
        <x:v>50</x:v>
      </x:c>
      <x:c r="E289" s="56" t="str">
        <x:v>history.hematuria_frequency</x:v>
      </x:c>
      <x:c r="F289" s="56" t="str">
        <x:v>hematuria_frequency</x:v>
      </x:c>
      <x:c r="G289" s="56" t="n">
        <x:v>4</x:v>
      </x:c>
      <x:c r="H289" s="56" t="str">
        <x:v>普通得分项</x:v>
      </x:c>
      <x:c r="I289" s="56" t="str">
        <x:v>否</x:v>
      </x:c>
      <x:c r="J289" s="56" t="str">
        <x:v>否</x:v>
      </x:c>
      <x:c r="K289" s="56" t="str">
        <x:v>否</x:v>
      </x:c>
      <x:c r="L289" s="56" t="str">
        <x:v>按结构化事件证据给予0/部分/满分；不能由总结反推已完成</x:v>
      </x:c>
      <x:c r="M289" s="56" t="str"/>
      <x:c r="N289" s="56" t="n">
        <x:f>SUMIFS($G$4:$G$1673,$A$4:$A$1673,A289)</x:f>
        <x:v>360</x:v>
      </x:c>
      <x:c r="O289" s="56" t="str">
        <x:f>IF(N289=360,"通过","失败")</x:f>
        <x:v>通过</x:v>
      </x:c>
      <x:c r="P289" s="56" t="str"/>
      <x:c r="Q289" s="59" t="str">
        <x:v>待确认</x:v>
      </x:c>
    </x:row>
    <x:row r="290">
      <x:c r="A290" s="56" t="str">
        <x:v>P008</x:v>
      </x:c>
      <x:c r="B290" s="56" t="str">
        <x:v>P008</x:v>
      </x:c>
      <x:c r="C290" s="56" t="str">
        <x:v>history</x:v>
      </x:c>
      <x:c r="D290" s="56" t="n">
        <x:v>50</x:v>
      </x:c>
      <x:c r="E290" s="56" t="str">
        <x:v>history.hematuria_phase</x:v>
      </x:c>
      <x:c r="F290" s="56" t="str">
        <x:v>hematuria_phase</x:v>
      </x:c>
      <x:c r="G290" s="56" t="n">
        <x:v>4</x:v>
      </x:c>
      <x:c r="H290" s="56" t="str">
        <x:v>普通得分项</x:v>
      </x:c>
      <x:c r="I290" s="56" t="str">
        <x:v>否</x:v>
      </x:c>
      <x:c r="J290" s="56" t="str">
        <x:v>否</x:v>
      </x:c>
      <x:c r="K290" s="56" t="str">
        <x:v>否</x:v>
      </x:c>
      <x:c r="L290" s="56" t="str">
        <x:v>按结构化事件证据给予0/部分/满分；不能由总结反推已完成</x:v>
      </x:c>
      <x:c r="M290" s="56" t="str"/>
      <x:c r="N290" s="56" t="n">
        <x:f>SUMIFS($G$4:$G$1673,$A$4:$A$1673,A290)</x:f>
        <x:v>360</x:v>
      </x:c>
      <x:c r="O290" s="56" t="str">
        <x:f>IF(N290=360,"通过","失败")</x:f>
        <x:v>通过</x:v>
      </x:c>
      <x:c r="P290" s="56" t="str"/>
      <x:c r="Q290" s="59" t="str">
        <x:v>待确认</x:v>
      </x:c>
    </x:row>
    <x:row r="291">
      <x:c r="A291" s="56" t="str">
        <x:v>P008</x:v>
      </x:c>
      <x:c r="B291" s="56" t="str">
        <x:v>P008</x:v>
      </x:c>
      <x:c r="C291" s="56" t="str">
        <x:v>history</x:v>
      </x:c>
      <x:c r="D291" s="56" t="n">
        <x:v>50</x:v>
      </x:c>
      <x:c r="E291" s="56" t="str">
        <x:v>history.urine_color</x:v>
      </x:c>
      <x:c r="F291" s="56" t="str">
        <x:v>urine_color</x:v>
      </x:c>
      <x:c r="G291" s="56" t="n">
        <x:v>4</x:v>
      </x:c>
      <x:c r="H291" s="56" t="str">
        <x:v>普通得分项</x:v>
      </x:c>
      <x:c r="I291" s="56" t="str">
        <x:v>否</x:v>
      </x:c>
      <x:c r="J291" s="56" t="str">
        <x:v>否</x:v>
      </x:c>
      <x:c r="K291" s="56" t="str">
        <x:v>否</x:v>
      </x:c>
      <x:c r="L291" s="56" t="str">
        <x:v>按结构化事件证据给予0/部分/满分；不能由总结反推已完成</x:v>
      </x:c>
      <x:c r="M291" s="56" t="str"/>
      <x:c r="N291" s="56" t="n">
        <x:f>SUMIFS($G$4:$G$1673,$A$4:$A$1673,A291)</x:f>
        <x:v>360</x:v>
      </x:c>
      <x:c r="O291" s="56" t="str">
        <x:f>IF(N291=360,"通过","失败")</x:f>
        <x:v>通过</x:v>
      </x:c>
      <x:c r="P291" s="56" t="str"/>
      <x:c r="Q291" s="59" t="str">
        <x:v>待确认</x:v>
      </x:c>
    </x:row>
    <x:row r="292">
      <x:c r="A292" s="56" t="str">
        <x:v>P008</x:v>
      </x:c>
      <x:c r="B292" s="56" t="str">
        <x:v>P008</x:v>
      </x:c>
      <x:c r="C292" s="56" t="str">
        <x:v>history</x:v>
      </x:c>
      <x:c r="D292" s="56" t="n">
        <x:v>50</x:v>
      </x:c>
      <x:c r="E292" s="56" t="str">
        <x:v>history.clots</x:v>
      </x:c>
      <x:c r="F292" s="56" t="str">
        <x:v>clots</x:v>
      </x:c>
      <x:c r="G292" s="56" t="n">
        <x:v>4</x:v>
      </x:c>
      <x:c r="H292" s="56" t="str">
        <x:v>普通得分项</x:v>
      </x:c>
      <x:c r="I292" s="56" t="str">
        <x:v>否</x:v>
      </x:c>
      <x:c r="J292" s="56" t="str">
        <x:v>否</x:v>
      </x:c>
      <x:c r="K292" s="56" t="str">
        <x:v>否</x:v>
      </x:c>
      <x:c r="L292" s="56" t="str">
        <x:v>按结构化事件证据给予0/部分/满分；不能由总结反推已完成</x:v>
      </x:c>
      <x:c r="M292" s="56" t="str"/>
      <x:c r="N292" s="56" t="n">
        <x:f>SUMIFS($G$4:$G$1673,$A$4:$A$1673,A292)</x:f>
        <x:v>360</x:v>
      </x:c>
      <x:c r="O292" s="56" t="str">
        <x:f>IF(N292=360,"通过","失败")</x:f>
        <x:v>通过</x:v>
      </x:c>
      <x:c r="P292" s="56" t="str"/>
      <x:c r="Q292" s="59" t="str">
        <x:v>待确认</x:v>
      </x:c>
    </x:row>
    <x:row r="293">
      <x:c r="A293" s="56" t="str">
        <x:v>P008</x:v>
      </x:c>
      <x:c r="B293" s="56" t="str">
        <x:v>P008</x:v>
      </x:c>
      <x:c r="C293" s="56" t="str">
        <x:v>history</x:v>
      </x:c>
      <x:c r="D293" s="56" t="n">
        <x:v>50</x:v>
      </x:c>
      <x:c r="E293" s="56" t="str">
        <x:v>history.pain</x:v>
      </x:c>
      <x:c r="F293" s="56" t="str">
        <x:v>pain</x:v>
      </x:c>
      <x:c r="G293" s="56" t="n">
        <x:v>4</x:v>
      </x:c>
      <x:c r="H293" s="56" t="str">
        <x:v>普通得分项</x:v>
      </x:c>
      <x:c r="I293" s="56" t="str">
        <x:v>否</x:v>
      </x:c>
      <x:c r="J293" s="56" t="str">
        <x:v>否</x:v>
      </x:c>
      <x:c r="K293" s="56" t="str">
        <x:v>否</x:v>
      </x:c>
      <x:c r="L293" s="56" t="str">
        <x:v>按结构化事件证据给予0/部分/满分；不能由总结反推已完成</x:v>
      </x:c>
      <x:c r="M293" s="56" t="str"/>
      <x:c r="N293" s="56" t="n">
        <x:f>SUMIFS($G$4:$G$1673,$A$4:$A$1673,A293)</x:f>
        <x:v>360</x:v>
      </x:c>
      <x:c r="O293" s="56" t="str">
        <x:f>IF(N293=360,"通过","失败")</x:f>
        <x:v>通过</x:v>
      </x:c>
      <x:c r="P293" s="56" t="str"/>
      <x:c r="Q293" s="59" t="str">
        <x:v>待确认</x:v>
      </x:c>
    </x:row>
    <x:row r="294">
      <x:c r="A294" s="56" t="str">
        <x:v>P008</x:v>
      </x:c>
      <x:c r="B294" s="56" t="str">
        <x:v>P008</x:v>
      </x:c>
      <x:c r="C294" s="56" t="str">
        <x:v>history</x:v>
      </x:c>
      <x:c r="D294" s="56" t="n">
        <x:v>50</x:v>
      </x:c>
      <x:c r="E294" s="56" t="str">
        <x:v>history.dysuria</x:v>
      </x:c>
      <x:c r="F294" s="56" t="str">
        <x:v>dysuria</x:v>
      </x:c>
      <x:c r="G294" s="56" t="n">
        <x:v>4</x:v>
      </x:c>
      <x:c r="H294" s="56" t="str">
        <x:v>普通得分项</x:v>
      </x:c>
      <x:c r="I294" s="56" t="str">
        <x:v>否</x:v>
      </x:c>
      <x:c r="J294" s="56" t="str">
        <x:v>否</x:v>
      </x:c>
      <x:c r="K294" s="56" t="str">
        <x:v>否</x:v>
      </x:c>
      <x:c r="L294" s="56" t="str">
        <x:v>按结构化事件证据给予0/部分/满分；不能由总结反推已完成</x:v>
      </x:c>
      <x:c r="M294" s="56" t="str"/>
      <x:c r="N294" s="56" t="n">
        <x:f>SUMIFS($G$4:$G$1673,$A$4:$A$1673,A294)</x:f>
        <x:v>360</x:v>
      </x:c>
      <x:c r="O294" s="56" t="str">
        <x:f>IF(N294=360,"通过","失败")</x:f>
        <x:v>通过</x:v>
      </x:c>
      <x:c r="P294" s="56" t="str"/>
      <x:c r="Q294" s="59" t="str">
        <x:v>待确认</x:v>
      </x:c>
    </x:row>
    <x:row r="295">
      <x:c r="A295" s="56" t="str">
        <x:v>P008</x:v>
      </x:c>
      <x:c r="B295" s="56" t="str">
        <x:v>P008</x:v>
      </x:c>
      <x:c r="C295" s="56" t="str">
        <x:v>history</x:v>
      </x:c>
      <x:c r="D295" s="56" t="n">
        <x:v>50</x:v>
      </x:c>
      <x:c r="E295" s="56" t="str">
        <x:v>history.urinary_frequency</x:v>
      </x:c>
      <x:c r="F295" s="56" t="str">
        <x:v>urinary_frequency</x:v>
      </x:c>
      <x:c r="G295" s="56" t="n">
        <x:v>4</x:v>
      </x:c>
      <x:c r="H295" s="56" t="str">
        <x:v>普通得分项</x:v>
      </x:c>
      <x:c r="I295" s="56" t="str">
        <x:v>否</x:v>
      </x:c>
      <x:c r="J295" s="56" t="str">
        <x:v>否</x:v>
      </x:c>
      <x:c r="K295" s="56" t="str">
        <x:v>否</x:v>
      </x:c>
      <x:c r="L295" s="56" t="str">
        <x:v>按结构化事件证据给予0/部分/满分；不能由总结反推已完成</x:v>
      </x:c>
      <x:c r="M295" s="56" t="str"/>
      <x:c r="N295" s="56" t="n">
        <x:f>SUMIFS($G$4:$G$1673,$A$4:$A$1673,A295)</x:f>
        <x:v>360</x:v>
      </x:c>
      <x:c r="O295" s="56" t="str">
        <x:f>IF(N295=360,"通过","失败")</x:f>
        <x:v>通过</x:v>
      </x:c>
      <x:c r="P295" s="56" t="str"/>
      <x:c r="Q295" s="59" t="str">
        <x:v>待确认</x:v>
      </x:c>
    </x:row>
    <x:row r="296">
      <x:c r="A296" s="56" t="str">
        <x:v>P008</x:v>
      </x:c>
      <x:c r="B296" s="56" t="str">
        <x:v>P008</x:v>
      </x:c>
      <x:c r="C296" s="56" t="str">
        <x:v>history</x:v>
      </x:c>
      <x:c r="D296" s="56" t="n">
        <x:v>50</x:v>
      </x:c>
      <x:c r="E296" s="56" t="str">
        <x:v>history.urinary_urgency</x:v>
      </x:c>
      <x:c r="F296" s="56" t="str">
        <x:v>urinary_urgency</x:v>
      </x:c>
      <x:c r="G296" s="56" t="n">
        <x:v>4</x:v>
      </x:c>
      <x:c r="H296" s="56" t="str">
        <x:v>普通得分项</x:v>
      </x:c>
      <x:c r="I296" s="56" t="str">
        <x:v>否</x:v>
      </x:c>
      <x:c r="J296" s="56" t="str">
        <x:v>否</x:v>
      </x:c>
      <x:c r="K296" s="56" t="str">
        <x:v>否</x:v>
      </x:c>
      <x:c r="L296" s="56" t="str">
        <x:v>按结构化事件证据给予0/部分/满分；不能由总结反推已完成</x:v>
      </x:c>
      <x:c r="M296" s="56" t="str"/>
      <x:c r="N296" s="56" t="n">
        <x:f>SUMIFS($G$4:$G$1673,$A$4:$A$1673,A296)</x:f>
        <x:v>360</x:v>
      </x:c>
      <x:c r="O296" s="56" t="str">
        <x:f>IF(N296=360,"通过","失败")</x:f>
        <x:v>通过</x:v>
      </x:c>
      <x:c r="P296" s="56" t="str"/>
      <x:c r="Q296" s="59" t="str">
        <x:v>待确认</x:v>
      </x:c>
    </x:row>
    <x:row r="297">
      <x:c r="A297" s="56" t="str">
        <x:v>P008</x:v>
      </x:c>
      <x:c r="B297" s="56" t="str">
        <x:v>P008</x:v>
      </x:c>
      <x:c r="C297" s="56" t="str">
        <x:v>history</x:v>
      </x:c>
      <x:c r="D297" s="56" t="n">
        <x:v>50</x:v>
      </x:c>
      <x:c r="E297" s="56" t="str">
        <x:v>history.flank_pain</x:v>
      </x:c>
      <x:c r="F297" s="56" t="str">
        <x:v>flank_pain</x:v>
      </x:c>
      <x:c r="G297" s="56" t="n">
        <x:v>4</x:v>
      </x:c>
      <x:c r="H297" s="56" t="str">
        <x:v>普通得分项</x:v>
      </x:c>
      <x:c r="I297" s="56" t="str">
        <x:v>否</x:v>
      </x:c>
      <x:c r="J297" s="56" t="str">
        <x:v>否</x:v>
      </x:c>
      <x:c r="K297" s="56" t="str">
        <x:v>否</x:v>
      </x:c>
      <x:c r="L297" s="56" t="str">
        <x:v>按结构化事件证据给予0/部分/满分；不能由总结反推已完成</x:v>
      </x:c>
      <x:c r="M297" s="56" t="str"/>
      <x:c r="N297" s="56" t="n">
        <x:f>SUMIFS($G$4:$G$1673,$A$4:$A$1673,A297)</x:f>
        <x:v>360</x:v>
      </x:c>
      <x:c r="O297" s="56" t="str">
        <x:f>IF(N297=360,"通过","失败")</x:f>
        <x:v>通过</x:v>
      </x:c>
      <x:c r="P297" s="56" t="str"/>
      <x:c r="Q297" s="59" t="str">
        <x:v>待确认</x:v>
      </x:c>
    </x:row>
    <x:row r="298">
      <x:c r="A298" s="56" t="str">
        <x:v>P008</x:v>
      </x:c>
      <x:c r="B298" s="56" t="str">
        <x:v>P008</x:v>
      </x:c>
      <x:c r="C298" s="56" t="str">
        <x:v>history</x:v>
      </x:c>
      <x:c r="D298" s="56" t="n">
        <x:v>50</x:v>
      </x:c>
      <x:c r="E298" s="56" t="str">
        <x:v>history.fever_chills</x:v>
      </x:c>
      <x:c r="F298" s="56" t="str">
        <x:v>fever_chills</x:v>
      </x:c>
      <x:c r="G298" s="56" t="n">
        <x:v>4</x:v>
      </x:c>
      <x:c r="H298" s="56" t="str">
        <x:v>普通得分项</x:v>
      </x:c>
      <x:c r="I298" s="56" t="str">
        <x:v>否</x:v>
      </x:c>
      <x:c r="J298" s="56" t="str">
        <x:v>否</x:v>
      </x:c>
      <x:c r="K298" s="56" t="str">
        <x:v>否</x:v>
      </x:c>
      <x:c r="L298" s="56" t="str">
        <x:v>按结构化事件证据给予0/部分/满分；不能由总结反推已完成</x:v>
      </x:c>
      <x:c r="M298" s="56" t="str"/>
      <x:c r="N298" s="56" t="n">
        <x:f>SUMIFS($G$4:$G$1673,$A$4:$A$1673,A298)</x:f>
        <x:v>360</x:v>
      </x:c>
      <x:c r="O298" s="56" t="str">
        <x:f>IF(N298=360,"通过","失败")</x:f>
        <x:v>通过</x:v>
      </x:c>
      <x:c r="P298" s="56" t="str"/>
      <x:c r="Q298" s="59" t="str">
        <x:v>待确认</x:v>
      </x:c>
    </x:row>
    <x:row r="299">
      <x:c r="A299" s="56" t="str">
        <x:v>P008</x:v>
      </x:c>
      <x:c r="B299" s="56" t="str">
        <x:v>P008</x:v>
      </x:c>
      <x:c r="C299" s="56" t="str">
        <x:v>risk</x:v>
      </x:c>
      <x:c r="D299" s="56" t="n">
        <x:v>40</x:v>
      </x:c>
      <x:c r="E299" s="56" t="str">
        <x:v>risk.voiding_difficulty</x:v>
      </x:c>
      <x:c r="F299" s="56" t="str">
        <x:v>voiding_difficulty</x:v>
      </x:c>
      <x:c r="G299" s="56" t="n">
        <x:v>10</x:v>
      </x:c>
      <x:c r="H299" s="56" t="str">
        <x:v>普通得分项</x:v>
      </x:c>
      <x:c r="I299" s="56" t="str">
        <x:v>否</x:v>
      </x:c>
      <x:c r="J299" s="56" t="str">
        <x:v>否</x:v>
      </x:c>
      <x:c r="K299" s="56" t="str">
        <x:v>否</x:v>
      </x:c>
      <x:c r="L299" s="56" t="str">
        <x:v>按结构化事件证据给予0/部分/满分；不能由总结反推已完成</x:v>
      </x:c>
      <x:c r="M299" s="56" t="str"/>
      <x:c r="N299" s="56" t="n">
        <x:f>SUMIFS($G$4:$G$1673,$A$4:$A$1673,A299)</x:f>
        <x:v>360</x:v>
      </x:c>
      <x:c r="O299" s="56" t="str">
        <x:f>IF(N299=360,"通过","失败")</x:f>
        <x:v>通过</x:v>
      </x:c>
      <x:c r="P299" s="56" t="str"/>
      <x:c r="Q299" s="59" t="str">
        <x:v>待确认</x:v>
      </x:c>
    </x:row>
    <x:row r="300">
      <x:c r="A300" s="56" t="str">
        <x:v>P008</x:v>
      </x:c>
      <x:c r="B300" s="56" t="str">
        <x:v>P008</x:v>
      </x:c>
      <x:c r="C300" s="56" t="str">
        <x:v>risk</x:v>
      </x:c>
      <x:c r="D300" s="56" t="n">
        <x:v>40</x:v>
      </x:c>
      <x:c r="E300" s="56" t="str">
        <x:v>risk.retention</x:v>
      </x:c>
      <x:c r="F300" s="56" t="str">
        <x:v>retention</x:v>
      </x:c>
      <x:c r="G300" s="56" t="n">
        <x:v>10</x:v>
      </x:c>
      <x:c r="H300" s="56" t="str">
        <x:v>普通得分项</x:v>
      </x:c>
      <x:c r="I300" s="56" t="str">
        <x:v>否</x:v>
      </x:c>
      <x:c r="J300" s="56" t="str">
        <x:v>否</x:v>
      </x:c>
      <x:c r="K300" s="56" t="str">
        <x:v>否</x:v>
      </x:c>
      <x:c r="L300" s="56" t="str">
        <x:v>按结构化事件证据给予0/部分/满分；不能由总结反推已完成</x:v>
      </x:c>
      <x:c r="M300" s="56" t="str"/>
      <x:c r="N300" s="56" t="n">
        <x:f>SUMIFS($G$4:$G$1673,$A$4:$A$1673,A300)</x:f>
        <x:v>360</x:v>
      </x:c>
      <x:c r="O300" s="56" t="str">
        <x:f>IF(N300=360,"通过","失败")</x:f>
        <x:v>通过</x:v>
      </x:c>
      <x:c r="P300" s="56" t="str"/>
      <x:c r="Q300" s="59" t="str">
        <x:v>待确认</x:v>
      </x:c>
    </x:row>
    <x:row r="301">
      <x:c r="A301" s="56" t="str">
        <x:v>P008</x:v>
      </x:c>
      <x:c r="B301" s="56" t="str">
        <x:v>P008</x:v>
      </x:c>
      <x:c r="C301" s="56" t="str">
        <x:v>risk</x:v>
      </x:c>
      <x:c r="D301" s="56" t="n">
        <x:v>40</x:v>
      </x:c>
      <x:c r="E301" s="56" t="str">
        <x:v>risk.medications</x:v>
      </x:c>
      <x:c r="F301" s="56" t="str">
        <x:v>medications</x:v>
      </x:c>
      <x:c r="G301" s="56" t="n">
        <x:v>10</x:v>
      </x:c>
      <x:c r="H301" s="56" t="str">
        <x:v>普通得分项</x:v>
      </x:c>
      <x:c r="I301" s="56" t="str">
        <x:v>否</x:v>
      </x:c>
      <x:c r="J301" s="56" t="str">
        <x:v>否</x:v>
      </x:c>
      <x:c r="K301" s="56" t="str">
        <x:v>否</x:v>
      </x:c>
      <x:c r="L301" s="56" t="str">
        <x:v>按结构化事件证据给予0/部分/满分；不能由总结反推已完成</x:v>
      </x:c>
      <x:c r="M301" s="56" t="str"/>
      <x:c r="N301" s="56" t="n">
        <x:f>SUMIFS($G$4:$G$1673,$A$4:$A$1673,A301)</x:f>
        <x:v>360</x:v>
      </x:c>
      <x:c r="O301" s="56" t="str">
        <x:f>IF(N301=360,"通过","失败")</x:f>
        <x:v>通过</x:v>
      </x:c>
      <x:c r="P301" s="56" t="str"/>
      <x:c r="Q301" s="59" t="str">
        <x:v>待确认</x:v>
      </x:c>
    </x:row>
    <x:row r="302">
      <x:c r="A302" s="56" t="str">
        <x:v>P008</x:v>
      </x:c>
      <x:c r="B302" s="56" t="str">
        <x:v>P008</x:v>
      </x:c>
      <x:c r="C302" s="56" t="str">
        <x:v>risk</x:v>
      </x:c>
      <x:c r="D302" s="56" t="n">
        <x:v>40</x:v>
      </x:c>
      <x:c r="E302" s="56" t="str">
        <x:v>risk.surgery_history</x:v>
      </x:c>
      <x:c r="F302" s="56" t="str">
        <x:v>surgery_history</x:v>
      </x:c>
      <x:c r="G302" s="56" t="n">
        <x:v>10</x:v>
      </x:c>
      <x:c r="H302" s="56" t="str">
        <x:v>普通得分项</x:v>
      </x:c>
      <x:c r="I302" s="56" t="str">
        <x:v>否</x:v>
      </x:c>
      <x:c r="J302" s="56" t="str">
        <x:v>否</x:v>
      </x:c>
      <x:c r="K302" s="56" t="str">
        <x:v>否</x:v>
      </x:c>
      <x:c r="L302" s="56" t="str">
        <x:v>按结构化事件证据给予0/部分/满分；不能由总结反推已完成</x:v>
      </x:c>
      <x:c r="M302" s="56" t="str"/>
      <x:c r="N302" s="56" t="n">
        <x:f>SUMIFS($G$4:$G$1673,$A$4:$A$1673,A302)</x:f>
        <x:v>360</x:v>
      </x:c>
      <x:c r="O302" s="56" t="str">
        <x:f>IF(N302=360,"通过","失败")</x:f>
        <x:v>通过</x:v>
      </x:c>
      <x:c r="P302" s="56" t="str"/>
      <x:c r="Q302" s="59" t="str">
        <x:v>待确认</x:v>
      </x:c>
    </x:row>
    <x:row r="303">
      <x:c r="A303" s="56" t="str">
        <x:v>P008</x:v>
      </x:c>
      <x:c r="B303" s="56" t="str">
        <x:v>P008</x:v>
      </x:c>
      <x:c r="C303" s="56" t="str">
        <x:v>exam</x:v>
      </x:c>
      <x:c r="D303" s="56" t="n">
        <x:v>35</x:v>
      </x:c>
      <x:c r="E303" s="56" t="str">
        <x:v>exam.temperature</x:v>
      </x:c>
      <x:c r="F303" s="56" t="str">
        <x:v>体温</x:v>
      </x:c>
      <x:c r="G303" s="56" t="n">
        <x:v>12</x:v>
      </x:c>
      <x:c r="H303" s="56" t="str">
        <x:v>普通得分项</x:v>
      </x:c>
      <x:c r="I303" s="56" t="str">
        <x:v>否</x:v>
      </x:c>
      <x:c r="J303" s="56" t="str">
        <x:v>否</x:v>
      </x:c>
      <x:c r="K303" s="56" t="str">
        <x:v>否</x:v>
      </x:c>
      <x:c r="L303" s="56" t="str">
        <x:v>按结构化事件证据给予0/部分/满分；不能由总结反推已完成</x:v>
      </x:c>
      <x:c r="M303" s="56" t="str"/>
      <x:c r="N303" s="56" t="n">
        <x:f>SUMIFS($G$4:$G$1673,$A$4:$A$1673,A303)</x:f>
        <x:v>360</x:v>
      </x:c>
      <x:c r="O303" s="56" t="str">
        <x:f>IF(N303=360,"通过","失败")</x:f>
        <x:v>通过</x:v>
      </x:c>
      <x:c r="P303" s="56" t="str"/>
      <x:c r="Q303" s="59" t="str">
        <x:v>待确认</x:v>
      </x:c>
    </x:row>
    <x:row r="304">
      <x:c r="A304" s="56" t="str">
        <x:v>P008</x:v>
      </x:c>
      <x:c r="B304" s="56" t="str">
        <x:v>P008</x:v>
      </x:c>
      <x:c r="C304" s="56" t="str">
        <x:v>exam</x:v>
      </x:c>
      <x:c r="D304" s="56" t="n">
        <x:v>35</x:v>
      </x:c>
      <x:c r="E304" s="56" t="str">
        <x:v>exam.blood_pressure</x:v>
      </x:c>
      <x:c r="F304" s="56" t="str">
        <x:v>血压</x:v>
      </x:c>
      <x:c r="G304" s="56" t="n">
        <x:v>12</x:v>
      </x:c>
      <x:c r="H304" s="56" t="str">
        <x:v>普通得分项</x:v>
      </x:c>
      <x:c r="I304" s="56" t="str">
        <x:v>否</x:v>
      </x:c>
      <x:c r="J304" s="56" t="str">
        <x:v>否</x:v>
      </x:c>
      <x:c r="K304" s="56" t="str">
        <x:v>否</x:v>
      </x:c>
      <x:c r="L304" s="56" t="str">
        <x:v>按结构化事件证据给予0/部分/满分；不能由总结反推已完成</x:v>
      </x:c>
      <x:c r="M304" s="56" t="str"/>
      <x:c r="N304" s="56" t="n">
        <x:f>SUMIFS($G$4:$G$1673,$A$4:$A$1673,A304)</x:f>
        <x:v>360</x:v>
      </x:c>
      <x:c r="O304" s="56" t="str">
        <x:f>IF(N304=360,"通过","失败")</x:f>
        <x:v>通过</x:v>
      </x:c>
      <x:c r="P304" s="56" t="str"/>
      <x:c r="Q304" s="59" t="str">
        <x:v>待确认</x:v>
      </x:c>
    </x:row>
    <x:row r="305">
      <x:c r="A305" s="56" t="str">
        <x:v>P008</x:v>
      </x:c>
      <x:c r="B305" s="56" t="str">
        <x:v>P008</x:v>
      </x:c>
      <x:c r="C305" s="56" t="str">
        <x:v>exam</x:v>
      </x:c>
      <x:c r="D305" s="56" t="n">
        <x:v>35</x:v>
      </x:c>
      <x:c r="E305" s="56" t="str">
        <x:v>exam.targeted</x:v>
      </x:c>
      <x:c r="F305" s="56" t="str">
        <x:v>病例针对性查体</x:v>
      </x:c>
      <x:c r="G305" s="56" t="n">
        <x:v>11</x:v>
      </x:c>
      <x:c r="H305" s="56" t="str">
        <x:v>普通得分项</x:v>
      </x:c>
      <x:c r="I305" s="56" t="str">
        <x:v>否</x:v>
      </x:c>
      <x:c r="J305" s="56" t="str">
        <x:v>否</x:v>
      </x:c>
      <x:c r="K305" s="56" t="str">
        <x:v>否</x:v>
      </x:c>
      <x:c r="L305" s="56" t="str">
        <x:v>按结构化事件证据给予0/部分/满分；不能由总结反推已完成</x:v>
      </x:c>
      <x:c r="M305" s="56" t="str"/>
      <x:c r="N305" s="56" t="n">
        <x:f>SUMIFS($G$4:$G$1673,$A$4:$A$1673,A305)</x:f>
        <x:v>360</x:v>
      </x:c>
      <x:c r="O305" s="56" t="str">
        <x:f>IF(N305=360,"通过","失败")</x:f>
        <x:v>通过</x:v>
      </x:c>
      <x:c r="P305" s="56" t="str"/>
      <x:c r="Q305" s="59" t="str">
        <x:v>待确认</x:v>
      </x:c>
    </x:row>
    <x:row r="306">
      <x:c r="A306" s="56" t="str">
        <x:v>P008</x:v>
      </x:c>
      <x:c r="B306" s="56" t="str">
        <x:v>P008</x:v>
      </x:c>
      <x:c r="C306" s="56" t="str">
        <x:v>diagnosis</x:v>
      </x:c>
      <x:c r="D306" s="56" t="n">
        <x:v>45</x:v>
      </x:c>
      <x:c r="E306" s="56" t="str">
        <x:v>diagnosis.primary</x:v>
      </x:c>
      <x:c r="F306" s="56" t="str">
        <x:v>最可能诊断及依据</x:v>
      </x:c>
      <x:c r="G306" s="56" t="n">
        <x:v>15</x:v>
      </x:c>
      <x:c r="H306" s="56" t="str">
        <x:v>普通得分项</x:v>
      </x:c>
      <x:c r="I306" s="56" t="str">
        <x:v>否</x:v>
      </x:c>
      <x:c r="J306" s="56" t="str">
        <x:v>否</x:v>
      </x:c>
      <x:c r="K306" s="56" t="str">
        <x:v>否</x:v>
      </x:c>
      <x:c r="L306" s="56" t="str">
        <x:v>按结构化事件证据给予0/部分/满分；不能由总结反推已完成</x:v>
      </x:c>
      <x:c r="M306" s="56" t="str"/>
      <x:c r="N306" s="56" t="n">
        <x:f>SUMIFS($G$4:$G$1673,$A$4:$A$1673,A306)</x:f>
        <x:v>360</x:v>
      </x:c>
      <x:c r="O306" s="56" t="str">
        <x:f>IF(N306=360,"通过","失败")</x:f>
        <x:v>通过</x:v>
      </x:c>
      <x:c r="P306" s="56" t="str"/>
      <x:c r="Q306" s="59" t="str">
        <x:v>待确认</x:v>
      </x:c>
    </x:row>
    <x:row r="307">
      <x:c r="A307" s="56" t="str">
        <x:v>P008</x:v>
      </x:c>
      <x:c r="B307" s="56" t="str">
        <x:v>P008</x:v>
      </x:c>
      <x:c r="C307" s="56" t="str">
        <x:v>diagnosis</x:v>
      </x:c>
      <x:c r="D307" s="56" t="n">
        <x:v>45</x:v>
      </x:c>
      <x:c r="E307" s="56" t="str">
        <x:v>diagnosis.differentials</x:v>
      </x:c>
      <x:c r="F307" s="56" t="str">
        <x:v>至少3项鉴别及支持/反对点</x:v>
      </x:c>
      <x:c r="G307" s="56" t="n">
        <x:v>15</x:v>
      </x:c>
      <x:c r="H307" s="56" t="str">
        <x:v>普通得分项</x:v>
      </x:c>
      <x:c r="I307" s="56" t="str">
        <x:v>否</x:v>
      </x:c>
      <x:c r="J307" s="56" t="str">
        <x:v>否</x:v>
      </x:c>
      <x:c r="K307" s="56" t="str">
        <x:v>否</x:v>
      </x:c>
      <x:c r="L307" s="56" t="str">
        <x:v>按结构化事件证据给予0/部分/满分；不能由总结反推已完成</x:v>
      </x:c>
      <x:c r="M307" s="56" t="str"/>
      <x:c r="N307" s="56" t="n">
        <x:f>SUMIFS($G$4:$G$1673,$A$4:$A$1673,A307)</x:f>
        <x:v>360</x:v>
      </x:c>
      <x:c r="O307" s="56" t="str">
        <x:f>IF(N307=360,"通过","失败")</x:f>
        <x:v>通过</x:v>
      </x:c>
      <x:c r="P307" s="56" t="str"/>
      <x:c r="Q307" s="59" t="str">
        <x:v>待确认</x:v>
      </x:c>
    </x:row>
    <x:row r="308">
      <x:c r="A308" s="56" t="str">
        <x:v>P008</x:v>
      </x:c>
      <x:c r="B308" s="56" t="str">
        <x:v>P008</x:v>
      </x:c>
      <x:c r="C308" s="56" t="str">
        <x:v>diagnosis</x:v>
      </x:c>
      <x:c r="D308" s="56" t="n">
        <x:v>45</x:v>
      </x:c>
      <x:c r="E308" s="56" t="str">
        <x:v>diagnosis.confirmation</x:v>
      </x:c>
      <x:c r="F308" s="56" t="str">
        <x:v>确认计划</x:v>
      </x:c>
      <x:c r="G308" s="56" t="n">
        <x:v>15</x:v>
      </x:c>
      <x:c r="H308" s="56" t="str">
        <x:v>普通得分项</x:v>
      </x:c>
      <x:c r="I308" s="56" t="str">
        <x:v>否</x:v>
      </x:c>
      <x:c r="J308" s="56" t="str">
        <x:v>否</x:v>
      </x:c>
      <x:c r="K308" s="56" t="str">
        <x:v>否</x:v>
      </x:c>
      <x:c r="L308" s="56" t="str">
        <x:v>按结构化事件证据给予0/部分/满分；不能由总结反推已完成</x:v>
      </x:c>
      <x:c r="M308" s="56" t="str"/>
      <x:c r="N308" s="56" t="n">
        <x:f>SUMIFS($G$4:$G$1673,$A$4:$A$1673,A308)</x:f>
        <x:v>360</x:v>
      </x:c>
      <x:c r="O308" s="56" t="str">
        <x:f>IF(N308=360,"通过","失败")</x:f>
        <x:v>通过</x:v>
      </x:c>
      <x:c r="P308" s="56" t="str"/>
      <x:c r="Q308" s="59" t="str">
        <x:v>待确认</x:v>
      </x:c>
    </x:row>
    <x:row r="309">
      <x:c r="A309" s="56" t="str">
        <x:v>P008</x:v>
      </x:c>
      <x:c r="B309" s="56" t="str">
        <x:v>P008</x:v>
      </x:c>
      <x:c r="C309" s="56" t="str">
        <x:v>orders</x:v>
      </x:c>
      <x:c r="D309" s="56" t="n">
        <x:v>55</x:v>
      </x:c>
      <x:c r="E309" s="56" t="str">
        <x:v>orders.LAB-UR-001</x:v>
      </x:c>
      <x:c r="F309" s="56" t="str">
        <x:v>LAB-UR-001</x:v>
      </x:c>
      <x:c r="G309" s="56" t="n">
        <x:v>11</x:v>
      </x:c>
      <x:c r="H309" s="56" t="str">
        <x:v>病例特异得分项</x:v>
      </x:c>
      <x:c r="I309" s="56" t="str">
        <x:v>否</x:v>
      </x:c>
      <x:c r="J309" s="56" t="str">
        <x:v>否</x:v>
      </x:c>
      <x:c r="K309" s="56" t="str">
        <x:v>否</x:v>
      </x:c>
      <x:c r="L309" s="56" t="str">
        <x:v>按结构化事件证据给予0/部分/满分；不能由总结反推已完成</x:v>
      </x:c>
      <x:c r="M309" s="56" t="str"/>
      <x:c r="N309" s="56" t="n">
        <x:f>SUMIFS($G$4:$G$1673,$A$4:$A$1673,A309)</x:f>
        <x:v>360</x:v>
      </x:c>
      <x:c r="O309" s="56" t="str">
        <x:f>IF(N309=360,"通过","失败")</x:f>
        <x:v>通过</x:v>
      </x:c>
      <x:c r="P309" s="56" t="str"/>
      <x:c r="Q309" s="59" t="str">
        <x:v>待确认</x:v>
      </x:c>
    </x:row>
    <x:row r="310">
      <x:c r="A310" s="56" t="str">
        <x:v>P008</x:v>
      </x:c>
      <x:c r="B310" s="56" t="str">
        <x:v>P008</x:v>
      </x:c>
      <x:c r="C310" s="56" t="str">
        <x:v>orders</x:v>
      </x:c>
      <x:c r="D310" s="56" t="n">
        <x:v>55</x:v>
      </x:c>
      <x:c r="E310" s="56" t="str">
        <x:v>orders.LAB-BL-003</x:v>
      </x:c>
      <x:c r="F310" s="56" t="str">
        <x:v>LAB-BL-003</x:v>
      </x:c>
      <x:c r="G310" s="56" t="n">
        <x:v>11</x:v>
      </x:c>
      <x:c r="H310" s="56" t="str">
        <x:v>病例特异得分项</x:v>
      </x:c>
      <x:c r="I310" s="56" t="str">
        <x:v>否</x:v>
      </x:c>
      <x:c r="J310" s="56" t="str">
        <x:v>否</x:v>
      </x:c>
      <x:c r="K310" s="56" t="str">
        <x:v>否</x:v>
      </x:c>
      <x:c r="L310" s="56" t="str">
        <x:v>按结构化事件证据给予0/部分/满分；不能由总结反推已完成</x:v>
      </x:c>
      <x:c r="M310" s="56" t="str"/>
      <x:c r="N310" s="56" t="n">
        <x:f>SUMIFS($G$4:$G$1673,$A$4:$A$1673,A310)</x:f>
        <x:v>360</x:v>
      </x:c>
      <x:c r="O310" s="56" t="str">
        <x:f>IF(N310=360,"通过","失败")</x:f>
        <x:v>通过</x:v>
      </x:c>
      <x:c r="P310" s="56" t="str"/>
      <x:c r="Q310" s="59" t="str">
        <x:v>待确认</x:v>
      </x:c>
    </x:row>
    <x:row r="311">
      <x:c r="A311" s="56" t="str">
        <x:v>P008</x:v>
      </x:c>
      <x:c r="B311" s="56" t="str">
        <x:v>P008</x:v>
      </x:c>
      <x:c r="C311" s="56" t="str">
        <x:v>orders</x:v>
      </x:c>
      <x:c r="D311" s="56" t="n">
        <x:v>55</x:v>
      </x:c>
      <x:c r="E311" s="56" t="str">
        <x:v>orders.IMG-US-001</x:v>
      </x:c>
      <x:c r="F311" s="56" t="str">
        <x:v>IMG-US-001</x:v>
      </x:c>
      <x:c r="G311" s="56" t="n">
        <x:v>11</x:v>
      </x:c>
      <x:c r="H311" s="56" t="str">
        <x:v>病例特异得分项</x:v>
      </x:c>
      <x:c r="I311" s="56" t="str">
        <x:v>否</x:v>
      </x:c>
      <x:c r="J311" s="56" t="str">
        <x:v>否</x:v>
      </x:c>
      <x:c r="K311" s="56" t="str">
        <x:v>否</x:v>
      </x:c>
      <x:c r="L311" s="56" t="str">
        <x:v>按结构化事件证据给予0/部分/满分；不能由总结反推已完成</x:v>
      </x:c>
      <x:c r="M311" s="56" t="str"/>
      <x:c r="N311" s="56" t="n">
        <x:f>SUMIFS($G$4:$G$1673,$A$4:$A$1673,A311)</x:f>
        <x:v>360</x:v>
      </x:c>
      <x:c r="O311" s="56" t="str">
        <x:f>IF(N311=360,"通过","失败")</x:f>
        <x:v>通过</x:v>
      </x:c>
      <x:c r="P311" s="56" t="str"/>
      <x:c r="Q311" s="59" t="str">
        <x:v>待确认</x:v>
      </x:c>
    </x:row>
    <x:row r="312">
      <x:c r="A312" s="56" t="str">
        <x:v>P008</x:v>
      </x:c>
      <x:c r="B312" s="56" t="str">
        <x:v>P008</x:v>
      </x:c>
      <x:c r="C312" s="56" t="str">
        <x:v>orders</x:v>
      </x:c>
      <x:c r="D312" s="56" t="n">
        <x:v>55</x:v>
      </x:c>
      <x:c r="E312" s="56" t="str">
        <x:v>orders.FUNC-001</x:v>
      </x:c>
      <x:c r="F312" s="56" t="str">
        <x:v>FUNC-001</x:v>
      </x:c>
      <x:c r="G312" s="56" t="n">
        <x:v>11</x:v>
      </x:c>
      <x:c r="H312" s="56" t="str">
        <x:v>病例特异得分项</x:v>
      </x:c>
      <x:c r="I312" s="56" t="str">
        <x:v>否</x:v>
      </x:c>
      <x:c r="J312" s="56" t="str">
        <x:v>否</x:v>
      </x:c>
      <x:c r="K312" s="56" t="str">
        <x:v>否</x:v>
      </x:c>
      <x:c r="L312" s="56" t="str">
        <x:v>按结构化事件证据给予0/部分/满分；不能由总结反推已完成</x:v>
      </x:c>
      <x:c r="M312" s="56" t="str"/>
      <x:c r="N312" s="56" t="n">
        <x:f>SUMIFS($G$4:$G$1673,$A$4:$A$1673,A312)</x:f>
        <x:v>360</x:v>
      </x:c>
      <x:c r="O312" s="56" t="str">
        <x:f>IF(N312=360,"通过","失败")</x:f>
        <x:v>通过</x:v>
      </x:c>
      <x:c r="P312" s="56" t="str"/>
      <x:c r="Q312" s="59" t="str">
        <x:v>待确认</x:v>
      </x:c>
    </x:row>
    <x:row r="313">
      <x:c r="A313" s="56" t="str">
        <x:v>P008</x:v>
      </x:c>
      <x:c r="B313" s="56" t="str">
        <x:v>P008</x:v>
      </x:c>
      <x:c r="C313" s="56" t="str">
        <x:v>orders</x:v>
      </x:c>
      <x:c r="D313" s="56" t="n">
        <x:v>55</x:v>
      </x:c>
      <x:c r="E313" s="56" t="str">
        <x:v>orders.LAB-BL-015</x:v>
      </x:c>
      <x:c r="F313" s="56" t="str">
        <x:v>LAB-BL-015</x:v>
      </x:c>
      <x:c r="G313" s="56" t="n">
        <x:v>11</x:v>
      </x:c>
      <x:c r="H313" s="56" t="str">
        <x:v>病例特异得分项</x:v>
      </x:c>
      <x:c r="I313" s="56" t="str">
        <x:v>否</x:v>
      </x:c>
      <x:c r="J313" s="56" t="str">
        <x:v>否</x:v>
      </x:c>
      <x:c r="K313" s="56" t="str">
        <x:v>否</x:v>
      </x:c>
      <x:c r="L313" s="56" t="str">
        <x:v>按结构化事件证据给予0/部分/满分；不能由总结反推已完成</x:v>
      </x:c>
      <x:c r="M313" s="56" t="str"/>
      <x:c r="N313" s="56" t="n">
        <x:f>SUMIFS($G$4:$G$1673,$A$4:$A$1673,A313)</x:f>
        <x:v>360</x:v>
      </x:c>
      <x:c r="O313" s="56" t="str">
        <x:f>IF(N313=360,"通过","失败")</x:f>
        <x:v>通过</x:v>
      </x:c>
      <x:c r="P313" s="56" t="str"/>
      <x:c r="Q313" s="59" t="str">
        <x:v>待确认</x:v>
      </x:c>
    </x:row>
    <x:row r="314">
      <x:c r="A314" s="56" t="str">
        <x:v>P008</x:v>
      </x:c>
      <x:c r="B314" s="56" t="str">
        <x:v>P008</x:v>
      </x:c>
      <x:c r="C314" s="56" t="str">
        <x:v>mdt</x:v>
      </x:c>
      <x:c r="D314" s="56" t="n">
        <x:v>45</x:v>
      </x:c>
      <x:c r="E314" s="56" t="str">
        <x:v>mdt.department</x:v>
      </x:c>
      <x:c r="F314" s="56" t="str">
        <x:v>department</x:v>
      </x:c>
      <x:c r="G314" s="56" t="n">
        <x:v>12</x:v>
      </x:c>
      <x:c r="H314" s="56" t="str">
        <x:v>病例特异得分项</x:v>
      </x:c>
      <x:c r="I314" s="56" t="str">
        <x:v>否</x:v>
      </x:c>
      <x:c r="J314" s="56" t="str">
        <x:v>否</x:v>
      </x:c>
      <x:c r="K314" s="56" t="str">
        <x:v>否</x:v>
      </x:c>
      <x:c r="L314" s="56" t="str">
        <x:v>按结构化事件证据给予0/部分/满分；不能由总结反推已完成</x:v>
      </x:c>
      <x:c r="M314" s="56" t="str"/>
      <x:c r="N314" s="56" t="n">
        <x:f>SUMIFS($G$4:$G$1673,$A$4:$A$1673,A314)</x:f>
        <x:v>360</x:v>
      </x:c>
      <x:c r="O314" s="56" t="str">
        <x:f>IF(N314=360,"通过","失败")</x:f>
        <x:v>通过</x:v>
      </x:c>
      <x:c r="P314" s="56" t="str"/>
      <x:c r="Q314" s="59" t="str">
        <x:v>待确认</x:v>
      </x:c>
    </x:row>
    <x:row r="315">
      <x:c r="A315" s="56" t="str">
        <x:v>P008</x:v>
      </x:c>
      <x:c r="B315" s="56" t="str">
        <x:v>P008</x:v>
      </x:c>
      <x:c r="C315" s="56" t="str">
        <x:v>mdt</x:v>
      </x:c>
      <x:c r="D315" s="56" t="n">
        <x:v>45</x:v>
      </x:c>
      <x:c r="E315" s="56" t="str">
        <x:v>mdt.trigger</x:v>
      </x:c>
      <x:c r="F315" s="56" t="str">
        <x:v>trigger</x:v>
      </x:c>
      <x:c r="G315" s="56" t="n">
        <x:v>11</x:v>
      </x:c>
      <x:c r="H315" s="56" t="str">
        <x:v>病例特异得分项</x:v>
      </x:c>
      <x:c r="I315" s="56" t="str">
        <x:v>否</x:v>
      </x:c>
      <x:c r="J315" s="56" t="str">
        <x:v>否</x:v>
      </x:c>
      <x:c r="K315" s="56" t="str">
        <x:v>否</x:v>
      </x:c>
      <x:c r="L315" s="56" t="str">
        <x:v>按结构化事件证据给予0/部分/满分；不能由总结反推已完成</x:v>
      </x:c>
      <x:c r="M315" s="56" t="str"/>
      <x:c r="N315" s="56" t="n">
        <x:f>SUMIFS($G$4:$G$1673,$A$4:$A$1673,A315)</x:f>
        <x:v>360</x:v>
      </x:c>
      <x:c r="O315" s="56" t="str">
        <x:f>IF(N315=360,"通过","失败")</x:f>
        <x:v>通过</x:v>
      </x:c>
      <x:c r="P315" s="56" t="str"/>
      <x:c r="Q315" s="59" t="str">
        <x:v>待确认</x:v>
      </x:c>
    </x:row>
    <x:row r="316">
      <x:c r="A316" s="56" t="str">
        <x:v>P008</x:v>
      </x:c>
      <x:c r="B316" s="56" t="str">
        <x:v>P008</x:v>
      </x:c>
      <x:c r="C316" s="56" t="str">
        <x:v>mdt</x:v>
      </x:c>
      <x:c r="D316" s="56" t="n">
        <x:v>45</x:v>
      </x:c>
      <x:c r="E316" s="56" t="str">
        <x:v>mdt.question</x:v>
      </x:c>
      <x:c r="F316" s="56" t="str">
        <x:v>question</x:v>
      </x:c>
      <x:c r="G316" s="56" t="n">
        <x:v>11</x:v>
      </x:c>
      <x:c r="H316" s="56" t="str">
        <x:v>病例特异得分项</x:v>
      </x:c>
      <x:c r="I316" s="56" t="str">
        <x:v>否</x:v>
      </x:c>
      <x:c r="J316" s="56" t="str">
        <x:v>否</x:v>
      </x:c>
      <x:c r="K316" s="56" t="str">
        <x:v>否</x:v>
      </x:c>
      <x:c r="L316" s="56" t="str">
        <x:v>按结构化事件证据给予0/部分/满分；不能由总结反推已完成</x:v>
      </x:c>
      <x:c r="M316" s="56" t="str"/>
      <x:c r="N316" s="56" t="n">
        <x:f>SUMIFS($G$4:$G$1673,$A$4:$A$1673,A316)</x:f>
        <x:v>360</x:v>
      </x:c>
      <x:c r="O316" s="56" t="str">
        <x:f>IF(N316=360,"通过","失败")</x:f>
        <x:v>通过</x:v>
      </x:c>
      <x:c r="P316" s="56" t="str"/>
      <x:c r="Q316" s="59" t="str">
        <x:v>待确认</x:v>
      </x:c>
    </x:row>
    <x:row r="317">
      <x:c r="A317" s="56" t="str">
        <x:v>P008</x:v>
      </x:c>
      <x:c r="B317" s="56" t="str">
        <x:v>P008</x:v>
      </x:c>
      <x:c r="C317" s="56" t="str">
        <x:v>mdt</x:v>
      </x:c>
      <x:c r="D317" s="56" t="n">
        <x:v>45</x:v>
      </x:c>
      <x:c r="E317" s="56" t="str">
        <x:v>mdt.evidence</x:v>
      </x:c>
      <x:c r="F317" s="56" t="str">
        <x:v>evidence</x:v>
      </x:c>
      <x:c r="G317" s="56" t="n">
        <x:v>11</x:v>
      </x:c>
      <x:c r="H317" s="56" t="str">
        <x:v>病例特异得分项</x:v>
      </x:c>
      <x:c r="I317" s="56" t="str">
        <x:v>否</x:v>
      </x:c>
      <x:c r="J317" s="56" t="str">
        <x:v>否</x:v>
      </x:c>
      <x:c r="K317" s="56" t="str">
        <x:v>否</x:v>
      </x:c>
      <x:c r="L317" s="56" t="str">
        <x:v>按结构化事件证据给予0/部分/满分；不能由总结反推已完成</x:v>
      </x:c>
      <x:c r="M317" s="56" t="str"/>
      <x:c r="N317" s="56" t="n">
        <x:f>SUMIFS($G$4:$G$1673,$A$4:$A$1673,A317)</x:f>
        <x:v>360</x:v>
      </x:c>
      <x:c r="O317" s="56" t="str">
        <x:f>IF(N317=360,"通过","失败")</x:f>
        <x:v>通过</x:v>
      </x:c>
      <x:c r="P317" s="56" t="str"/>
      <x:c r="Q317" s="59" t="str">
        <x:v>待确认</x:v>
      </x:c>
    </x:row>
    <x:row r="318">
      <x:c r="A318" s="56" t="str">
        <x:v>P008</x:v>
      </x:c>
      <x:c r="B318" s="56" t="str">
        <x:v>P008</x:v>
      </x:c>
      <x:c r="C318" s="56" t="str">
        <x:v>treatment</x:v>
      </x:c>
      <x:c r="D318" s="56" t="n">
        <x:v>50</x:v>
      </x:c>
      <x:c r="E318" s="56" t="str">
        <x:v>treatment.immediate</x:v>
      </x:c>
      <x:c r="F318" s="56" t="str">
        <x:v>immediate</x:v>
      </x:c>
      <x:c r="G318" s="56" t="n">
        <x:v>13</x:v>
      </x:c>
      <x:c r="H318" s="56" t="str">
        <x:v>病例特异得分项</x:v>
      </x:c>
      <x:c r="I318" s="56" t="str">
        <x:v>否</x:v>
      </x:c>
      <x:c r="J318" s="56" t="str">
        <x:v>否</x:v>
      </x:c>
      <x:c r="K318" s="56" t="str">
        <x:v>否</x:v>
      </x:c>
      <x:c r="L318" s="56" t="str">
        <x:v>按结构化事件证据给予0/部分/满分；不能由总结反推已完成</x:v>
      </x:c>
      <x:c r="M318" s="56" t="str"/>
      <x:c r="N318" s="56" t="n">
        <x:f>SUMIFS($G$4:$G$1673,$A$4:$A$1673,A318)</x:f>
        <x:v>360</x:v>
      </x:c>
      <x:c r="O318" s="56" t="str">
        <x:f>IF(N318=360,"通过","失败")</x:f>
        <x:v>通过</x:v>
      </x:c>
      <x:c r="P318" s="56" t="str"/>
      <x:c r="Q318" s="59" t="str">
        <x:v>待确认</x:v>
      </x:c>
    </x:row>
    <x:row r="319">
      <x:c r="A319" s="56" t="str">
        <x:v>P008</x:v>
      </x:c>
      <x:c r="B319" s="56" t="str">
        <x:v>P008</x:v>
      </x:c>
      <x:c r="C319" s="56" t="str">
        <x:v>treatment</x:v>
      </x:c>
      <x:c r="D319" s="56" t="n">
        <x:v>50</x:v>
      </x:c>
      <x:c r="E319" s="56" t="str">
        <x:v>treatment.etiologic</x:v>
      </x:c>
      <x:c r="F319" s="56" t="str">
        <x:v>etiologic</x:v>
      </x:c>
      <x:c r="G319" s="56" t="n">
        <x:v>13</x:v>
      </x:c>
      <x:c r="H319" s="56" t="str">
        <x:v>病例特异得分项</x:v>
      </x:c>
      <x:c r="I319" s="56" t="str">
        <x:v>否</x:v>
      </x:c>
      <x:c r="J319" s="56" t="str">
        <x:v>否</x:v>
      </x:c>
      <x:c r="K319" s="56" t="str">
        <x:v>否</x:v>
      </x:c>
      <x:c r="L319" s="56" t="str">
        <x:v>按结构化事件证据给予0/部分/满分；不能由总结反推已完成</x:v>
      </x:c>
      <x:c r="M319" s="56" t="str"/>
      <x:c r="N319" s="56" t="n">
        <x:f>SUMIFS($G$4:$G$1673,$A$4:$A$1673,A319)</x:f>
        <x:v>360</x:v>
      </x:c>
      <x:c r="O319" s="56" t="str">
        <x:f>IF(N319=360,"通过","失败")</x:f>
        <x:v>通过</x:v>
      </x:c>
      <x:c r="P319" s="56" t="str"/>
      <x:c r="Q319" s="59" t="str">
        <x:v>待确认</x:v>
      </x:c>
    </x:row>
    <x:row r="320">
      <x:c r="A320" s="56" t="str">
        <x:v>P008</x:v>
      </x:c>
      <x:c r="B320" s="56" t="str">
        <x:v>P008</x:v>
      </x:c>
      <x:c r="C320" s="56" t="str">
        <x:v>treatment</x:v>
      </x:c>
      <x:c r="D320" s="56" t="n">
        <x:v>50</x:v>
      </x:c>
      <x:c r="E320" s="56" t="str">
        <x:v>treatment.definitive</x:v>
      </x:c>
      <x:c r="F320" s="56" t="str">
        <x:v>definitive</x:v>
      </x:c>
      <x:c r="G320" s="56" t="n">
        <x:v>12</x:v>
      </x:c>
      <x:c r="H320" s="56" t="str">
        <x:v>病例特异得分项</x:v>
      </x:c>
      <x:c r="I320" s="56" t="str">
        <x:v>否</x:v>
      </x:c>
      <x:c r="J320" s="56" t="str">
        <x:v>否</x:v>
      </x:c>
      <x:c r="K320" s="56" t="str">
        <x:v>否</x:v>
      </x:c>
      <x:c r="L320" s="56" t="str">
        <x:v>按结构化事件证据给予0/部分/满分；不能由总结反推已完成</x:v>
      </x:c>
      <x:c r="M320" s="56" t="str"/>
      <x:c r="N320" s="56" t="n">
        <x:f>SUMIFS($G$4:$G$1673,$A$4:$A$1673,A320)</x:f>
        <x:v>360</x:v>
      </x:c>
      <x:c r="O320" s="56" t="str">
        <x:f>IF(N320=360,"通过","失败")</x:f>
        <x:v>通过</x:v>
      </x:c>
      <x:c r="P320" s="56" t="str"/>
      <x:c r="Q320" s="59" t="str">
        <x:v>待确认</x:v>
      </x:c>
    </x:row>
    <x:row r="321">
      <x:c r="A321" s="56" t="str">
        <x:v>P008</x:v>
      </x:c>
      <x:c r="B321" s="56" t="str">
        <x:v>P008</x:v>
      </x:c>
      <x:c r="C321" s="56" t="str">
        <x:v>treatment</x:v>
      </x:c>
      <x:c r="D321" s="56" t="n">
        <x:v>50</x:v>
      </x:c>
      <x:c r="E321" s="56" t="str">
        <x:v>treatment.perioperative</x:v>
      </x:c>
      <x:c r="F321" s="56" t="str">
        <x:v>perioperative</x:v>
      </x:c>
      <x:c r="G321" s="56" t="n">
        <x:v>12</x:v>
      </x:c>
      <x:c r="H321" s="56" t="str">
        <x:v>病例特异得分项</x:v>
      </x:c>
      <x:c r="I321" s="56" t="str">
        <x:v>否</x:v>
      </x:c>
      <x:c r="J321" s="56" t="str">
        <x:v>否</x:v>
      </x:c>
      <x:c r="K321" s="56" t="str">
        <x:v>否</x:v>
      </x:c>
      <x:c r="L321" s="56" t="str">
        <x:v>按结构化事件证据给予0/部分/满分；不能由总结反推已完成</x:v>
      </x:c>
      <x:c r="M321" s="56" t="str"/>
      <x:c r="N321" s="56" t="n">
        <x:f>SUMIFS($G$4:$G$1673,$A$4:$A$1673,A321)</x:f>
        <x:v>360</x:v>
      </x:c>
      <x:c r="O321" s="56" t="str">
        <x:f>IF(N321=360,"通过","失败")</x:f>
        <x:v>通过</x:v>
      </x:c>
      <x:c r="P321" s="56" t="str"/>
      <x:c r="Q321" s="59" t="str">
        <x:v>待确认</x:v>
      </x:c>
    </x:row>
    <x:row r="322">
      <x:c r="A322" s="56" t="str">
        <x:v>P008</x:v>
      </x:c>
      <x:c r="B322" s="56" t="str">
        <x:v>P008</x:v>
      </x:c>
      <x:c r="C322" s="56" t="str">
        <x:v>followup</x:v>
      </x:c>
      <x:c r="D322" s="56" t="n">
        <x:v>40</x:v>
      </x:c>
      <x:c r="E322" s="56" t="str">
        <x:v>followup.plan</x:v>
      </x:c>
      <x:c r="F322" s="56" t="str">
        <x:v>随访复查</x:v>
      </x:c>
      <x:c r="G322" s="56" t="n">
        <x:v>10</x:v>
      </x:c>
      <x:c r="H322" s="56" t="str">
        <x:v>普通得分项</x:v>
      </x:c>
      <x:c r="I322" s="56" t="str">
        <x:v>否</x:v>
      </x:c>
      <x:c r="J322" s="56" t="str">
        <x:v>否</x:v>
      </x:c>
      <x:c r="K322" s="56" t="str">
        <x:v>否</x:v>
      </x:c>
      <x:c r="L322" s="56" t="str">
        <x:v>按结构化事件证据给予0/部分/满分；不能由总结反推已完成</x:v>
      </x:c>
      <x:c r="M322" s="56" t="str"/>
      <x:c r="N322" s="56" t="n">
        <x:f>SUMIFS($G$4:$G$1673,$A$4:$A$1673,A322)</x:f>
        <x:v>360</x:v>
      </x:c>
      <x:c r="O322" s="56" t="str">
        <x:f>IF(N322=360,"通过","失败")</x:f>
        <x:v>通过</x:v>
      </x:c>
      <x:c r="P322" s="56" t="str"/>
      <x:c r="Q322" s="59" t="str">
        <x:v>待确认</x:v>
      </x:c>
    </x:row>
    <x:row r="323">
      <x:c r="A323" s="56" t="str">
        <x:v>P008</x:v>
      </x:c>
      <x:c r="B323" s="56" t="str">
        <x:v>P008</x:v>
      </x:c>
      <x:c r="C323" s="56" t="str">
        <x:v>followup</x:v>
      </x:c>
      <x:c r="D323" s="56" t="n">
        <x:v>40</x:v>
      </x:c>
      <x:c r="E323" s="56" t="str">
        <x:v>followup.education</x:v>
      </x:c>
      <x:c r="F323" s="56" t="str">
        <x:v>患者教育</x:v>
      </x:c>
      <x:c r="G323" s="56" t="n">
        <x:v>10</x:v>
      </x:c>
      <x:c r="H323" s="56" t="str">
        <x:v>普通得分项</x:v>
      </x:c>
      <x:c r="I323" s="56" t="str">
        <x:v>否</x:v>
      </x:c>
      <x:c r="J323" s="56" t="str">
        <x:v>否</x:v>
      </x:c>
      <x:c r="K323" s="56" t="str">
        <x:v>否</x:v>
      </x:c>
      <x:c r="L323" s="56" t="str">
        <x:v>按结构化事件证据给予0/部分/满分；不能由总结反推已完成</x:v>
      </x:c>
      <x:c r="M323" s="56" t="str"/>
      <x:c r="N323" s="56" t="n">
        <x:f>SUMIFS($G$4:$G$1673,$A$4:$A$1673,A323)</x:f>
        <x:v>360</x:v>
      </x:c>
      <x:c r="O323" s="56" t="str">
        <x:f>IF(N323=360,"通过","失败")</x:f>
        <x:v>通过</x:v>
      </x:c>
      <x:c r="P323" s="56" t="str"/>
      <x:c r="Q323" s="59" t="str">
        <x:v>待确认</x:v>
      </x:c>
    </x:row>
    <x:row r="324">
      <x:c r="A324" s="56" t="str">
        <x:v>P008</x:v>
      </x:c>
      <x:c r="B324" s="56" t="str">
        <x:v>P008</x:v>
      </x:c>
      <x:c r="C324" s="56" t="str">
        <x:v>followup</x:v>
      </x:c>
      <x:c r="D324" s="56" t="n">
        <x:v>40</x:v>
      </x:c>
      <x:c r="E324" s="56" t="str">
        <x:v>followup.reflection</x:v>
      </x:c>
      <x:c r="F324" s="56" t="str">
        <x:v>学习反思质量</x:v>
      </x:c>
      <x:c r="G324" s="56" t="n">
        <x:v>10</x:v>
      </x:c>
      <x:c r="H324" s="56" t="str">
        <x:v>普通得分项</x:v>
      </x:c>
      <x:c r="I324" s="56" t="str">
        <x:v>否</x:v>
      </x:c>
      <x:c r="J324" s="56" t="str">
        <x:v>否</x:v>
      </x:c>
      <x:c r="K324" s="56" t="str">
        <x:v>否</x:v>
      </x:c>
      <x:c r="L324" s="56" t="str">
        <x:v>按结构化事件证据给予0/部分/满分；不能由总结反推已完成</x:v>
      </x:c>
      <x:c r="M324" s="56" t="str"/>
      <x:c r="N324" s="56" t="n">
        <x:f>SUMIFS($G$4:$G$1673,$A$4:$A$1673,A324)</x:f>
        <x:v>360</x:v>
      </x:c>
      <x:c r="O324" s="56" t="str">
        <x:f>IF(N324=360,"通过","失败")</x:f>
        <x:v>通过</x:v>
      </x:c>
      <x:c r="P324" s="56" t="str"/>
      <x:c r="Q324" s="59" t="str">
        <x:v>待确认</x:v>
      </x:c>
    </x:row>
    <x:row r="325">
      <x:c r="A325" s="56" t="str">
        <x:v>P008</x:v>
      </x:c>
      <x:c r="B325" s="56" t="str">
        <x:v>P008</x:v>
      </x:c>
      <x:c r="C325" s="56" t="str">
        <x:v>followup</x:v>
      </x:c>
      <x:c r="D325" s="56" t="n">
        <x:v>40</x:v>
      </x:c>
      <x:c r="E325" s="56" t="str">
        <x:v>followup.efficiency</x:v>
      </x:c>
      <x:c r="F325" s="56" t="str">
        <x:v>操作效率</x:v>
      </x:c>
      <x:c r="G325" s="56" t="n">
        <x:v>10</x:v>
      </x:c>
      <x:c r="H325" s="56" t="str">
        <x:v>普通得分项</x:v>
      </x:c>
      <x:c r="I325" s="56" t="str">
        <x:v>否</x:v>
      </x:c>
      <x:c r="J325" s="56" t="str">
        <x:v>否</x:v>
      </x:c>
      <x:c r="K325" s="56" t="str">
        <x:v>否</x:v>
      </x:c>
      <x:c r="L325" s="56" t="str">
        <x:v>按结构化事件证据给予0/部分/满分；不能由总结反推已完成</x:v>
      </x:c>
      <x:c r="M325" s="56" t="str"/>
      <x:c r="N325" s="56" t="n">
        <x:f>SUMIFS($G$4:$G$1673,$A$4:$A$1673,A325)</x:f>
        <x:v>360</x:v>
      </x:c>
      <x:c r="O325" s="56" t="str">
        <x:f>IF(N325=360,"通过","失败")</x:f>
        <x:v>通过</x:v>
      </x:c>
      <x:c r="P325" s="56" t="str"/>
      <x:c r="Q325" s="59" t="str">
        <x:v>待确认</x:v>
      </x:c>
    </x:row>
    <x:row r="326">
      <x:c r="A326" s="56" t="str">
        <x:v>P009</x:v>
      </x:c>
      <x:c r="B326" s="56" t="str">
        <x:v>P009</x:v>
      </x:c>
      <x:c r="C326" s="56" t="str">
        <x:v>history</x:v>
      </x:c>
      <x:c r="D326" s="56" t="n">
        <x:v>50</x:v>
      </x:c>
      <x:c r="E326" s="56" t="str">
        <x:v>history.hematuria_visibility</x:v>
      </x:c>
      <x:c r="F326" s="56" t="str">
        <x:v>hematuria_visibility</x:v>
      </x:c>
      <x:c r="G326" s="56" t="n">
        <x:v>5</x:v>
      </x:c>
      <x:c r="H326" s="56" t="str">
        <x:v>普通得分项</x:v>
      </x:c>
      <x:c r="I326" s="56" t="str">
        <x:v>否</x:v>
      </x:c>
      <x:c r="J326" s="56" t="str">
        <x:v>否</x:v>
      </x:c>
      <x:c r="K326" s="56" t="str">
        <x:v>否</x:v>
      </x:c>
      <x:c r="L326" s="56" t="str">
        <x:v>按结构化事件证据给予0/部分/满分；不能由总结反推已完成</x:v>
      </x:c>
      <x:c r="M326" s="56" t="str"/>
      <x:c r="N326" s="56" t="n">
        <x:f>SUMIFS($G$4:$G$1673,$A$4:$A$1673,A326)</x:f>
        <x:v>360</x:v>
      </x:c>
      <x:c r="O326" s="56" t="str">
        <x:f>IF(N326=360,"通过","失败")</x:f>
        <x:v>通过</x:v>
      </x:c>
      <x:c r="P326" s="56" t="str"/>
      <x:c r="Q326" s="59" t="str">
        <x:v>待确认</x:v>
      </x:c>
    </x:row>
    <x:row r="327">
      <x:c r="A327" s="56" t="str">
        <x:v>P009</x:v>
      </x:c>
      <x:c r="B327" s="56" t="str">
        <x:v>P009</x:v>
      </x:c>
      <x:c r="C327" s="56" t="str">
        <x:v>history</x:v>
      </x:c>
      <x:c r="D327" s="56" t="n">
        <x:v>50</x:v>
      </x:c>
      <x:c r="E327" s="56" t="str">
        <x:v>history.hematuria_onset</x:v>
      </x:c>
      <x:c r="F327" s="56" t="str">
        <x:v>hematuria_onset</x:v>
      </x:c>
      <x:c r="G327" s="56" t="n">
        <x:v>5</x:v>
      </x:c>
      <x:c r="H327" s="56" t="str">
        <x:v>普通得分项</x:v>
      </x:c>
      <x:c r="I327" s="56" t="str">
        <x:v>否</x:v>
      </x:c>
      <x:c r="J327" s="56" t="str">
        <x:v>否</x:v>
      </x:c>
      <x:c r="K327" s="56" t="str">
        <x:v>否</x:v>
      </x:c>
      <x:c r="L327" s="56" t="str">
        <x:v>按结构化事件证据给予0/部分/满分；不能由总结反推已完成</x:v>
      </x:c>
      <x:c r="M327" s="56" t="str"/>
      <x:c r="N327" s="56" t="n">
        <x:f>SUMIFS($G$4:$G$1673,$A$4:$A$1673,A327)</x:f>
        <x:v>360</x:v>
      </x:c>
      <x:c r="O327" s="56" t="str">
        <x:f>IF(N327=360,"通过","失败")</x:f>
        <x:v>通过</x:v>
      </x:c>
      <x:c r="P327" s="56" t="str"/>
      <x:c r="Q327" s="59" t="str">
        <x:v>待确认</x:v>
      </x:c>
    </x:row>
    <x:row r="328">
      <x:c r="A328" s="56" t="str">
        <x:v>P009</x:v>
      </x:c>
      <x:c r="B328" s="56" t="str">
        <x:v>P009</x:v>
      </x:c>
      <x:c r="C328" s="56" t="str">
        <x:v>history</x:v>
      </x:c>
      <x:c r="D328" s="56" t="n">
        <x:v>50</x:v>
      </x:c>
      <x:c r="E328" s="56" t="str">
        <x:v>history.hematuria_frequency</x:v>
      </x:c>
      <x:c r="F328" s="56" t="str">
        <x:v>hematuria_frequency</x:v>
      </x:c>
      <x:c r="G328" s="56" t="n">
        <x:v>4</x:v>
      </x:c>
      <x:c r="H328" s="56" t="str">
        <x:v>普通得分项</x:v>
      </x:c>
      <x:c r="I328" s="56" t="str">
        <x:v>否</x:v>
      </x:c>
      <x:c r="J328" s="56" t="str">
        <x:v>否</x:v>
      </x:c>
      <x:c r="K328" s="56" t="str">
        <x:v>否</x:v>
      </x:c>
      <x:c r="L328" s="56" t="str">
        <x:v>按结构化事件证据给予0/部分/满分；不能由总结反推已完成</x:v>
      </x:c>
      <x:c r="M328" s="56" t="str"/>
      <x:c r="N328" s="56" t="n">
        <x:f>SUMIFS($G$4:$G$1673,$A$4:$A$1673,A328)</x:f>
        <x:v>360</x:v>
      </x:c>
      <x:c r="O328" s="56" t="str">
        <x:f>IF(N328=360,"通过","失败")</x:f>
        <x:v>通过</x:v>
      </x:c>
      <x:c r="P328" s="56" t="str"/>
      <x:c r="Q328" s="59" t="str">
        <x:v>待确认</x:v>
      </x:c>
    </x:row>
    <x:row r="329">
      <x:c r="A329" s="56" t="str">
        <x:v>P009</x:v>
      </x:c>
      <x:c r="B329" s="56" t="str">
        <x:v>P009</x:v>
      </x:c>
      <x:c r="C329" s="56" t="str">
        <x:v>history</x:v>
      </x:c>
      <x:c r="D329" s="56" t="n">
        <x:v>50</x:v>
      </x:c>
      <x:c r="E329" s="56" t="str">
        <x:v>history.hematuria_phase</x:v>
      </x:c>
      <x:c r="F329" s="56" t="str">
        <x:v>hematuria_phase</x:v>
      </x:c>
      <x:c r="G329" s="56" t="n">
        <x:v>4</x:v>
      </x:c>
      <x:c r="H329" s="56" t="str">
        <x:v>普通得分项</x:v>
      </x:c>
      <x:c r="I329" s="56" t="str">
        <x:v>否</x:v>
      </x:c>
      <x:c r="J329" s="56" t="str">
        <x:v>否</x:v>
      </x:c>
      <x:c r="K329" s="56" t="str">
        <x:v>否</x:v>
      </x:c>
      <x:c r="L329" s="56" t="str">
        <x:v>按结构化事件证据给予0/部分/满分；不能由总结反推已完成</x:v>
      </x:c>
      <x:c r="M329" s="56" t="str"/>
      <x:c r="N329" s="56" t="n">
        <x:f>SUMIFS($G$4:$G$1673,$A$4:$A$1673,A329)</x:f>
        <x:v>360</x:v>
      </x:c>
      <x:c r="O329" s="56" t="str">
        <x:f>IF(N329=360,"通过","失败")</x:f>
        <x:v>通过</x:v>
      </x:c>
      <x:c r="P329" s="56" t="str"/>
      <x:c r="Q329" s="59" t="str">
        <x:v>待确认</x:v>
      </x:c>
    </x:row>
    <x:row r="330">
      <x:c r="A330" s="56" t="str">
        <x:v>P009</x:v>
      </x:c>
      <x:c r="B330" s="56" t="str">
        <x:v>P009</x:v>
      </x:c>
      <x:c r="C330" s="56" t="str">
        <x:v>history</x:v>
      </x:c>
      <x:c r="D330" s="56" t="n">
        <x:v>50</x:v>
      </x:c>
      <x:c r="E330" s="56" t="str">
        <x:v>history.urine_color</x:v>
      </x:c>
      <x:c r="F330" s="56" t="str">
        <x:v>urine_color</x:v>
      </x:c>
      <x:c r="G330" s="56" t="n">
        <x:v>4</x:v>
      </x:c>
      <x:c r="H330" s="56" t="str">
        <x:v>普通得分项</x:v>
      </x:c>
      <x:c r="I330" s="56" t="str">
        <x:v>否</x:v>
      </x:c>
      <x:c r="J330" s="56" t="str">
        <x:v>否</x:v>
      </x:c>
      <x:c r="K330" s="56" t="str">
        <x:v>否</x:v>
      </x:c>
      <x:c r="L330" s="56" t="str">
        <x:v>按结构化事件证据给予0/部分/满分；不能由总结反推已完成</x:v>
      </x:c>
      <x:c r="M330" s="56" t="str"/>
      <x:c r="N330" s="56" t="n">
        <x:f>SUMIFS($G$4:$G$1673,$A$4:$A$1673,A330)</x:f>
        <x:v>360</x:v>
      </x:c>
      <x:c r="O330" s="56" t="str">
        <x:f>IF(N330=360,"通过","失败")</x:f>
        <x:v>通过</x:v>
      </x:c>
      <x:c r="P330" s="56" t="str"/>
      <x:c r="Q330" s="59" t="str">
        <x:v>待确认</x:v>
      </x:c>
    </x:row>
    <x:row r="331">
      <x:c r="A331" s="56" t="str">
        <x:v>P009</x:v>
      </x:c>
      <x:c r="B331" s="56" t="str">
        <x:v>P009</x:v>
      </x:c>
      <x:c r="C331" s="56" t="str">
        <x:v>history</x:v>
      </x:c>
      <x:c r="D331" s="56" t="n">
        <x:v>50</x:v>
      </x:c>
      <x:c r="E331" s="56" t="str">
        <x:v>history.clots</x:v>
      </x:c>
      <x:c r="F331" s="56" t="str">
        <x:v>clots</x:v>
      </x:c>
      <x:c r="G331" s="56" t="n">
        <x:v>4</x:v>
      </x:c>
      <x:c r="H331" s="56" t="str">
        <x:v>普通得分项</x:v>
      </x:c>
      <x:c r="I331" s="56" t="str">
        <x:v>否</x:v>
      </x:c>
      <x:c r="J331" s="56" t="str">
        <x:v>否</x:v>
      </x:c>
      <x:c r="K331" s="56" t="str">
        <x:v>否</x:v>
      </x:c>
      <x:c r="L331" s="56" t="str">
        <x:v>按结构化事件证据给予0/部分/满分；不能由总结反推已完成</x:v>
      </x:c>
      <x:c r="M331" s="56" t="str"/>
      <x:c r="N331" s="56" t="n">
        <x:f>SUMIFS($G$4:$G$1673,$A$4:$A$1673,A331)</x:f>
        <x:v>360</x:v>
      </x:c>
      <x:c r="O331" s="56" t="str">
        <x:f>IF(N331=360,"通过","失败")</x:f>
        <x:v>通过</x:v>
      </x:c>
      <x:c r="P331" s="56" t="str"/>
      <x:c r="Q331" s="59" t="str">
        <x:v>待确认</x:v>
      </x:c>
    </x:row>
    <x:row r="332">
      <x:c r="A332" s="56" t="str">
        <x:v>P009</x:v>
      </x:c>
      <x:c r="B332" s="56" t="str">
        <x:v>P009</x:v>
      </x:c>
      <x:c r="C332" s="56" t="str">
        <x:v>history</x:v>
      </x:c>
      <x:c r="D332" s="56" t="n">
        <x:v>50</x:v>
      </x:c>
      <x:c r="E332" s="56" t="str">
        <x:v>history.pain</x:v>
      </x:c>
      <x:c r="F332" s="56" t="str">
        <x:v>pain</x:v>
      </x:c>
      <x:c r="G332" s="56" t="n">
        <x:v>4</x:v>
      </x:c>
      <x:c r="H332" s="56" t="str">
        <x:v>普通得分项</x:v>
      </x:c>
      <x:c r="I332" s="56" t="str">
        <x:v>否</x:v>
      </x:c>
      <x:c r="J332" s="56" t="str">
        <x:v>否</x:v>
      </x:c>
      <x:c r="K332" s="56" t="str">
        <x:v>否</x:v>
      </x:c>
      <x:c r="L332" s="56" t="str">
        <x:v>按结构化事件证据给予0/部分/满分；不能由总结反推已完成</x:v>
      </x:c>
      <x:c r="M332" s="56" t="str"/>
      <x:c r="N332" s="56" t="n">
        <x:f>SUMIFS($G$4:$G$1673,$A$4:$A$1673,A332)</x:f>
        <x:v>360</x:v>
      </x:c>
      <x:c r="O332" s="56" t="str">
        <x:f>IF(N332=360,"通过","失败")</x:f>
        <x:v>通过</x:v>
      </x:c>
      <x:c r="P332" s="56" t="str"/>
      <x:c r="Q332" s="59" t="str">
        <x:v>待确认</x:v>
      </x:c>
    </x:row>
    <x:row r="333">
      <x:c r="A333" s="56" t="str">
        <x:v>P009</x:v>
      </x:c>
      <x:c r="B333" s="56" t="str">
        <x:v>P009</x:v>
      </x:c>
      <x:c r="C333" s="56" t="str">
        <x:v>history</x:v>
      </x:c>
      <x:c r="D333" s="56" t="n">
        <x:v>50</x:v>
      </x:c>
      <x:c r="E333" s="56" t="str">
        <x:v>history.dysuria</x:v>
      </x:c>
      <x:c r="F333" s="56" t="str">
        <x:v>dysuria</x:v>
      </x:c>
      <x:c r="G333" s="56" t="n">
        <x:v>4</x:v>
      </x:c>
      <x:c r="H333" s="56" t="str">
        <x:v>普通得分项</x:v>
      </x:c>
      <x:c r="I333" s="56" t="str">
        <x:v>否</x:v>
      </x:c>
      <x:c r="J333" s="56" t="str">
        <x:v>否</x:v>
      </x:c>
      <x:c r="K333" s="56" t="str">
        <x:v>否</x:v>
      </x:c>
      <x:c r="L333" s="56" t="str">
        <x:v>按结构化事件证据给予0/部分/满分；不能由总结反推已完成</x:v>
      </x:c>
      <x:c r="M333" s="56" t="str"/>
      <x:c r="N333" s="56" t="n">
        <x:f>SUMIFS($G$4:$G$1673,$A$4:$A$1673,A333)</x:f>
        <x:v>360</x:v>
      </x:c>
      <x:c r="O333" s="56" t="str">
        <x:f>IF(N333=360,"通过","失败")</x:f>
        <x:v>通过</x:v>
      </x:c>
      <x:c r="P333" s="56" t="str"/>
      <x:c r="Q333" s="59" t="str">
        <x:v>待确认</x:v>
      </x:c>
    </x:row>
    <x:row r="334">
      <x:c r="A334" s="56" t="str">
        <x:v>P009</x:v>
      </x:c>
      <x:c r="B334" s="56" t="str">
        <x:v>P009</x:v>
      </x:c>
      <x:c r="C334" s="56" t="str">
        <x:v>history</x:v>
      </x:c>
      <x:c r="D334" s="56" t="n">
        <x:v>50</x:v>
      </x:c>
      <x:c r="E334" s="56" t="str">
        <x:v>history.urinary_frequency</x:v>
      </x:c>
      <x:c r="F334" s="56" t="str">
        <x:v>urinary_frequency</x:v>
      </x:c>
      <x:c r="G334" s="56" t="n">
        <x:v>4</x:v>
      </x:c>
      <x:c r="H334" s="56" t="str">
        <x:v>普通得分项</x:v>
      </x:c>
      <x:c r="I334" s="56" t="str">
        <x:v>否</x:v>
      </x:c>
      <x:c r="J334" s="56" t="str">
        <x:v>否</x:v>
      </x:c>
      <x:c r="K334" s="56" t="str">
        <x:v>否</x:v>
      </x:c>
      <x:c r="L334" s="56" t="str">
        <x:v>按结构化事件证据给予0/部分/满分；不能由总结反推已完成</x:v>
      </x:c>
      <x:c r="M334" s="56" t="str"/>
      <x:c r="N334" s="56" t="n">
        <x:f>SUMIFS($G$4:$G$1673,$A$4:$A$1673,A334)</x:f>
        <x:v>360</x:v>
      </x:c>
      <x:c r="O334" s="56" t="str">
        <x:f>IF(N334=360,"通过","失败")</x:f>
        <x:v>通过</x:v>
      </x:c>
      <x:c r="P334" s="56" t="str"/>
      <x:c r="Q334" s="59" t="str">
        <x:v>待确认</x:v>
      </x:c>
    </x:row>
    <x:row r="335">
      <x:c r="A335" s="56" t="str">
        <x:v>P009</x:v>
      </x:c>
      <x:c r="B335" s="56" t="str">
        <x:v>P009</x:v>
      </x:c>
      <x:c r="C335" s="56" t="str">
        <x:v>history</x:v>
      </x:c>
      <x:c r="D335" s="56" t="n">
        <x:v>50</x:v>
      </x:c>
      <x:c r="E335" s="56" t="str">
        <x:v>history.urinary_urgency</x:v>
      </x:c>
      <x:c r="F335" s="56" t="str">
        <x:v>urinary_urgency</x:v>
      </x:c>
      <x:c r="G335" s="56" t="n">
        <x:v>4</x:v>
      </x:c>
      <x:c r="H335" s="56" t="str">
        <x:v>普通得分项</x:v>
      </x:c>
      <x:c r="I335" s="56" t="str">
        <x:v>否</x:v>
      </x:c>
      <x:c r="J335" s="56" t="str">
        <x:v>否</x:v>
      </x:c>
      <x:c r="K335" s="56" t="str">
        <x:v>否</x:v>
      </x:c>
      <x:c r="L335" s="56" t="str">
        <x:v>按结构化事件证据给予0/部分/满分；不能由总结反推已完成</x:v>
      </x:c>
      <x:c r="M335" s="56" t="str"/>
      <x:c r="N335" s="56" t="n">
        <x:f>SUMIFS($G$4:$G$1673,$A$4:$A$1673,A335)</x:f>
        <x:v>360</x:v>
      </x:c>
      <x:c r="O335" s="56" t="str">
        <x:f>IF(N335=360,"通过","失败")</x:f>
        <x:v>通过</x:v>
      </x:c>
      <x:c r="P335" s="56" t="str"/>
      <x:c r="Q335" s="59" t="str">
        <x:v>待确认</x:v>
      </x:c>
    </x:row>
    <x:row r="336">
      <x:c r="A336" s="56" t="str">
        <x:v>P009</x:v>
      </x:c>
      <x:c r="B336" s="56" t="str">
        <x:v>P009</x:v>
      </x:c>
      <x:c r="C336" s="56" t="str">
        <x:v>history</x:v>
      </x:c>
      <x:c r="D336" s="56" t="n">
        <x:v>50</x:v>
      </x:c>
      <x:c r="E336" s="56" t="str">
        <x:v>history.flank_pain</x:v>
      </x:c>
      <x:c r="F336" s="56" t="str">
        <x:v>flank_pain</x:v>
      </x:c>
      <x:c r="G336" s="56" t="n">
        <x:v>4</x:v>
      </x:c>
      <x:c r="H336" s="56" t="str">
        <x:v>普通得分项</x:v>
      </x:c>
      <x:c r="I336" s="56" t="str">
        <x:v>否</x:v>
      </x:c>
      <x:c r="J336" s="56" t="str">
        <x:v>否</x:v>
      </x:c>
      <x:c r="K336" s="56" t="str">
        <x:v>否</x:v>
      </x:c>
      <x:c r="L336" s="56" t="str">
        <x:v>按结构化事件证据给予0/部分/满分；不能由总结反推已完成</x:v>
      </x:c>
      <x:c r="M336" s="56" t="str"/>
      <x:c r="N336" s="56" t="n">
        <x:f>SUMIFS($G$4:$G$1673,$A$4:$A$1673,A336)</x:f>
        <x:v>360</x:v>
      </x:c>
      <x:c r="O336" s="56" t="str">
        <x:f>IF(N336=360,"通过","失败")</x:f>
        <x:v>通过</x:v>
      </x:c>
      <x:c r="P336" s="56" t="str"/>
      <x:c r="Q336" s="59" t="str">
        <x:v>待确认</x:v>
      </x:c>
    </x:row>
    <x:row r="337">
      <x:c r="A337" s="56" t="str">
        <x:v>P009</x:v>
      </x:c>
      <x:c r="B337" s="56" t="str">
        <x:v>P009</x:v>
      </x:c>
      <x:c r="C337" s="56" t="str">
        <x:v>history</x:v>
      </x:c>
      <x:c r="D337" s="56" t="n">
        <x:v>50</x:v>
      </x:c>
      <x:c r="E337" s="56" t="str">
        <x:v>history.fever_chills</x:v>
      </x:c>
      <x:c r="F337" s="56" t="str">
        <x:v>fever_chills</x:v>
      </x:c>
      <x:c r="G337" s="56" t="n">
        <x:v>4</x:v>
      </x:c>
      <x:c r="H337" s="56" t="str">
        <x:v>普通得分项</x:v>
      </x:c>
      <x:c r="I337" s="56" t="str">
        <x:v>否</x:v>
      </x:c>
      <x:c r="J337" s="56" t="str">
        <x:v>否</x:v>
      </x:c>
      <x:c r="K337" s="56" t="str">
        <x:v>否</x:v>
      </x:c>
      <x:c r="L337" s="56" t="str">
        <x:v>按结构化事件证据给予0/部分/满分；不能由总结反推已完成</x:v>
      </x:c>
      <x:c r="M337" s="56" t="str"/>
      <x:c r="N337" s="56" t="n">
        <x:f>SUMIFS($G$4:$G$1673,$A$4:$A$1673,A337)</x:f>
        <x:v>360</x:v>
      </x:c>
      <x:c r="O337" s="56" t="str">
        <x:f>IF(N337=360,"通过","失败")</x:f>
        <x:v>通过</x:v>
      </x:c>
      <x:c r="P337" s="56" t="str"/>
      <x:c r="Q337" s="59" t="str">
        <x:v>待确认</x:v>
      </x:c>
    </x:row>
    <x:row r="338">
      <x:c r="A338" s="56" t="str">
        <x:v>P009</x:v>
      </x:c>
      <x:c r="B338" s="56" t="str">
        <x:v>P009</x:v>
      </x:c>
      <x:c r="C338" s="56" t="str">
        <x:v>risk</x:v>
      </x:c>
      <x:c r="D338" s="56" t="n">
        <x:v>40</x:v>
      </x:c>
      <x:c r="E338" s="56" t="str">
        <x:v>risk.uti_history</x:v>
      </x:c>
      <x:c r="F338" s="56" t="str">
        <x:v>uti_history</x:v>
      </x:c>
      <x:c r="G338" s="56" t="n">
        <x:v>10</x:v>
      </x:c>
      <x:c r="H338" s="56" t="str">
        <x:v>普通得分项</x:v>
      </x:c>
      <x:c r="I338" s="56" t="str">
        <x:v>否</x:v>
      </x:c>
      <x:c r="J338" s="56" t="str">
        <x:v>否</x:v>
      </x:c>
      <x:c r="K338" s="56" t="str">
        <x:v>否</x:v>
      </x:c>
      <x:c r="L338" s="56" t="str">
        <x:v>按结构化事件证据给予0/部分/满分；不能由总结反推已完成</x:v>
      </x:c>
      <x:c r="M338" s="56" t="str"/>
      <x:c r="N338" s="56" t="n">
        <x:f>SUMIFS($G$4:$G$1673,$A$4:$A$1673,A338)</x:f>
        <x:v>360</x:v>
      </x:c>
      <x:c r="O338" s="56" t="str">
        <x:f>IF(N338=360,"通过","失败")</x:f>
        <x:v>通过</x:v>
      </x:c>
      <x:c r="P338" s="56" t="str"/>
      <x:c r="Q338" s="59" t="str">
        <x:v>待确认</x:v>
      </x:c>
    </x:row>
    <x:row r="339">
      <x:c r="A339" s="56" t="str">
        <x:v>P009</x:v>
      </x:c>
      <x:c r="B339" s="56" t="str">
        <x:v>P009</x:v>
      </x:c>
      <x:c r="C339" s="56" t="str">
        <x:v>risk</x:v>
      </x:c>
      <x:c r="D339" s="56" t="n">
        <x:v>40</x:v>
      </x:c>
      <x:c r="E339" s="56" t="str">
        <x:v>risk.stone_history</x:v>
      </x:c>
      <x:c r="F339" s="56" t="str">
        <x:v>stone_history</x:v>
      </x:c>
      <x:c r="G339" s="56" t="n">
        <x:v>10</x:v>
      </x:c>
      <x:c r="H339" s="56" t="str">
        <x:v>普通得分项</x:v>
      </x:c>
      <x:c r="I339" s="56" t="str">
        <x:v>否</x:v>
      </x:c>
      <x:c r="J339" s="56" t="str">
        <x:v>否</x:v>
      </x:c>
      <x:c r="K339" s="56" t="str">
        <x:v>否</x:v>
      </x:c>
      <x:c r="L339" s="56" t="str">
        <x:v>按结构化事件证据给予0/部分/满分；不能由总结反推已完成</x:v>
      </x:c>
      <x:c r="M339" s="56" t="str"/>
      <x:c r="N339" s="56" t="n">
        <x:f>SUMIFS($G$4:$G$1673,$A$4:$A$1673,A339)</x:f>
        <x:v>360</x:v>
      </x:c>
      <x:c r="O339" s="56" t="str">
        <x:f>IF(N339=360,"通过","失败")</x:f>
        <x:v>通过</x:v>
      </x:c>
      <x:c r="P339" s="56" t="str"/>
      <x:c r="Q339" s="59" t="str">
        <x:v>待确认</x:v>
      </x:c>
    </x:row>
    <x:row r="340">
      <x:c r="A340" s="56" t="str">
        <x:v>P009</x:v>
      </x:c>
      <x:c r="B340" s="56" t="str">
        <x:v>P009</x:v>
      </x:c>
      <x:c r="C340" s="56" t="str">
        <x:v>risk</x:v>
      </x:c>
      <x:c r="D340" s="56" t="n">
        <x:v>40</x:v>
      </x:c>
      <x:c r="E340" s="56" t="str">
        <x:v>risk.urinary_procedure_history</x:v>
      </x:c>
      <x:c r="F340" s="56" t="str">
        <x:v>urinary_procedure_history</x:v>
      </x:c>
      <x:c r="G340" s="56" t="n">
        <x:v>10</x:v>
      </x:c>
      <x:c r="H340" s="56" t="str">
        <x:v>普通得分项</x:v>
      </x:c>
      <x:c r="I340" s="56" t="str">
        <x:v>否</x:v>
      </x:c>
      <x:c r="J340" s="56" t="str">
        <x:v>否</x:v>
      </x:c>
      <x:c r="K340" s="56" t="str">
        <x:v>否</x:v>
      </x:c>
      <x:c r="L340" s="56" t="str">
        <x:v>按结构化事件证据给予0/部分/满分；不能由总结反推已完成</x:v>
      </x:c>
      <x:c r="M340" s="56" t="str"/>
      <x:c r="N340" s="56" t="n">
        <x:f>SUMIFS($G$4:$G$1673,$A$4:$A$1673,A340)</x:f>
        <x:v>360</x:v>
      </x:c>
      <x:c r="O340" s="56" t="str">
        <x:f>IF(N340=360,"通过","失败")</x:f>
        <x:v>通过</x:v>
      </x:c>
      <x:c r="P340" s="56" t="str"/>
      <x:c r="Q340" s="59" t="str">
        <x:v>待确认</x:v>
      </x:c>
    </x:row>
    <x:row r="341">
      <x:c r="A341" s="56" t="str">
        <x:v>P009</x:v>
      </x:c>
      <x:c r="B341" s="56" t="str">
        <x:v>P009</x:v>
      </x:c>
      <x:c r="C341" s="56" t="str">
        <x:v>risk</x:v>
      </x:c>
      <x:c r="D341" s="56" t="n">
        <x:v>40</x:v>
      </x:c>
      <x:c r="E341" s="56" t="str">
        <x:v>risk.gynecologic_contamination</x:v>
      </x:c>
      <x:c r="F341" s="56" t="str">
        <x:v>gynecologic_contamination</x:v>
      </x:c>
      <x:c r="G341" s="56" t="n">
        <x:v>10</x:v>
      </x:c>
      <x:c r="H341" s="56" t="str">
        <x:v>普通得分项</x:v>
      </x:c>
      <x:c r="I341" s="56" t="str">
        <x:v>否</x:v>
      </x:c>
      <x:c r="J341" s="56" t="str">
        <x:v>否</x:v>
      </x:c>
      <x:c r="K341" s="56" t="str">
        <x:v>否</x:v>
      </x:c>
      <x:c r="L341" s="56" t="str">
        <x:v>按结构化事件证据给予0/部分/满分；不能由总结反推已完成</x:v>
      </x:c>
      <x:c r="M341" s="56" t="str"/>
      <x:c r="N341" s="56" t="n">
        <x:f>SUMIFS($G$4:$G$1673,$A$4:$A$1673,A341)</x:f>
        <x:v>360</x:v>
      </x:c>
      <x:c r="O341" s="56" t="str">
        <x:f>IF(N341=360,"通过","失败")</x:f>
        <x:v>通过</x:v>
      </x:c>
      <x:c r="P341" s="56" t="str"/>
      <x:c r="Q341" s="59" t="str">
        <x:v>待确认</x:v>
      </x:c>
    </x:row>
    <x:row r="342">
      <x:c r="A342" s="56" t="str">
        <x:v>P009</x:v>
      </x:c>
      <x:c r="B342" s="56" t="str">
        <x:v>P009</x:v>
      </x:c>
      <x:c r="C342" s="56" t="str">
        <x:v>exam</x:v>
      </x:c>
      <x:c r="D342" s="56" t="n">
        <x:v>35</x:v>
      </x:c>
      <x:c r="E342" s="56" t="str">
        <x:v>exam.temperature</x:v>
      </x:c>
      <x:c r="F342" s="56" t="str">
        <x:v>体温</x:v>
      </x:c>
      <x:c r="G342" s="56" t="n">
        <x:v>12</x:v>
      </x:c>
      <x:c r="H342" s="56" t="str">
        <x:v>普通得分项</x:v>
      </x:c>
      <x:c r="I342" s="56" t="str">
        <x:v>否</x:v>
      </x:c>
      <x:c r="J342" s="56" t="str">
        <x:v>否</x:v>
      </x:c>
      <x:c r="K342" s="56" t="str">
        <x:v>否</x:v>
      </x:c>
      <x:c r="L342" s="56" t="str">
        <x:v>按结构化事件证据给予0/部分/满分；不能由总结反推已完成</x:v>
      </x:c>
      <x:c r="M342" s="56" t="str"/>
      <x:c r="N342" s="56" t="n">
        <x:f>SUMIFS($G$4:$G$1673,$A$4:$A$1673,A342)</x:f>
        <x:v>360</x:v>
      </x:c>
      <x:c r="O342" s="56" t="str">
        <x:f>IF(N342=360,"通过","失败")</x:f>
        <x:v>通过</x:v>
      </x:c>
      <x:c r="P342" s="56" t="str"/>
      <x:c r="Q342" s="59" t="str">
        <x:v>待确认</x:v>
      </x:c>
    </x:row>
    <x:row r="343">
      <x:c r="A343" s="56" t="str">
        <x:v>P009</x:v>
      </x:c>
      <x:c r="B343" s="56" t="str">
        <x:v>P009</x:v>
      </x:c>
      <x:c r="C343" s="56" t="str">
        <x:v>exam</x:v>
      </x:c>
      <x:c r="D343" s="56" t="n">
        <x:v>35</x:v>
      </x:c>
      <x:c r="E343" s="56" t="str">
        <x:v>exam.blood_pressure</x:v>
      </x:c>
      <x:c r="F343" s="56" t="str">
        <x:v>血压</x:v>
      </x:c>
      <x:c r="G343" s="56" t="n">
        <x:v>12</x:v>
      </x:c>
      <x:c r="H343" s="56" t="str">
        <x:v>普通得分项</x:v>
      </x:c>
      <x:c r="I343" s="56" t="str">
        <x:v>否</x:v>
      </x:c>
      <x:c r="J343" s="56" t="str">
        <x:v>否</x:v>
      </x:c>
      <x:c r="K343" s="56" t="str">
        <x:v>否</x:v>
      </x:c>
      <x:c r="L343" s="56" t="str">
        <x:v>按结构化事件证据给予0/部分/满分；不能由总结反推已完成</x:v>
      </x:c>
      <x:c r="M343" s="56" t="str"/>
      <x:c r="N343" s="56" t="n">
        <x:f>SUMIFS($G$4:$G$1673,$A$4:$A$1673,A343)</x:f>
        <x:v>360</x:v>
      </x:c>
      <x:c r="O343" s="56" t="str">
        <x:f>IF(N343=360,"通过","失败")</x:f>
        <x:v>通过</x:v>
      </x:c>
      <x:c r="P343" s="56" t="str"/>
      <x:c r="Q343" s="59" t="str">
        <x:v>待确认</x:v>
      </x:c>
    </x:row>
    <x:row r="344">
      <x:c r="A344" s="56" t="str">
        <x:v>P009</x:v>
      </x:c>
      <x:c r="B344" s="56" t="str">
        <x:v>P009</x:v>
      </x:c>
      <x:c r="C344" s="56" t="str">
        <x:v>exam</x:v>
      </x:c>
      <x:c r="D344" s="56" t="n">
        <x:v>35</x:v>
      </x:c>
      <x:c r="E344" s="56" t="str">
        <x:v>exam.targeted</x:v>
      </x:c>
      <x:c r="F344" s="56" t="str">
        <x:v>病例针对性查体</x:v>
      </x:c>
      <x:c r="G344" s="56" t="n">
        <x:v>11</x:v>
      </x:c>
      <x:c r="H344" s="56" t="str">
        <x:v>普通得分项</x:v>
      </x:c>
      <x:c r="I344" s="56" t="str">
        <x:v>否</x:v>
      </x:c>
      <x:c r="J344" s="56" t="str">
        <x:v>否</x:v>
      </x:c>
      <x:c r="K344" s="56" t="str">
        <x:v>否</x:v>
      </x:c>
      <x:c r="L344" s="56" t="str">
        <x:v>按结构化事件证据给予0/部分/满分；不能由总结反推已完成</x:v>
      </x:c>
      <x:c r="M344" s="56" t="str"/>
      <x:c r="N344" s="56" t="n">
        <x:f>SUMIFS($G$4:$G$1673,$A$4:$A$1673,A344)</x:f>
        <x:v>360</x:v>
      </x:c>
      <x:c r="O344" s="56" t="str">
        <x:f>IF(N344=360,"通过","失败")</x:f>
        <x:v>通过</x:v>
      </x:c>
      <x:c r="P344" s="56" t="str"/>
      <x:c r="Q344" s="59" t="str">
        <x:v>待确认</x:v>
      </x:c>
    </x:row>
    <x:row r="345">
      <x:c r="A345" s="56" t="str">
        <x:v>P009</x:v>
      </x:c>
      <x:c r="B345" s="56" t="str">
        <x:v>P009</x:v>
      </x:c>
      <x:c r="C345" s="56" t="str">
        <x:v>diagnosis</x:v>
      </x:c>
      <x:c r="D345" s="56" t="n">
        <x:v>45</x:v>
      </x:c>
      <x:c r="E345" s="56" t="str">
        <x:v>diagnosis.primary</x:v>
      </x:c>
      <x:c r="F345" s="56" t="str">
        <x:v>最可能诊断及依据</x:v>
      </x:c>
      <x:c r="G345" s="56" t="n">
        <x:v>15</x:v>
      </x:c>
      <x:c r="H345" s="56" t="str">
        <x:v>普通得分项</x:v>
      </x:c>
      <x:c r="I345" s="56" t="str">
        <x:v>否</x:v>
      </x:c>
      <x:c r="J345" s="56" t="str">
        <x:v>否</x:v>
      </x:c>
      <x:c r="K345" s="56" t="str">
        <x:v>否</x:v>
      </x:c>
      <x:c r="L345" s="56" t="str">
        <x:v>按结构化事件证据给予0/部分/满分；不能由总结反推已完成</x:v>
      </x:c>
      <x:c r="M345" s="56" t="str"/>
      <x:c r="N345" s="56" t="n">
        <x:f>SUMIFS($G$4:$G$1673,$A$4:$A$1673,A345)</x:f>
        <x:v>360</x:v>
      </x:c>
      <x:c r="O345" s="56" t="str">
        <x:f>IF(N345=360,"通过","失败")</x:f>
        <x:v>通过</x:v>
      </x:c>
      <x:c r="P345" s="56" t="str"/>
      <x:c r="Q345" s="59" t="str">
        <x:v>待确认</x:v>
      </x:c>
    </x:row>
    <x:row r="346">
      <x:c r="A346" s="56" t="str">
        <x:v>P009</x:v>
      </x:c>
      <x:c r="B346" s="56" t="str">
        <x:v>P009</x:v>
      </x:c>
      <x:c r="C346" s="56" t="str">
        <x:v>diagnosis</x:v>
      </x:c>
      <x:c r="D346" s="56" t="n">
        <x:v>45</x:v>
      </x:c>
      <x:c r="E346" s="56" t="str">
        <x:v>diagnosis.differentials</x:v>
      </x:c>
      <x:c r="F346" s="56" t="str">
        <x:v>至少3项鉴别及支持/反对点</x:v>
      </x:c>
      <x:c r="G346" s="56" t="n">
        <x:v>15</x:v>
      </x:c>
      <x:c r="H346" s="56" t="str">
        <x:v>普通得分项</x:v>
      </x:c>
      <x:c r="I346" s="56" t="str">
        <x:v>否</x:v>
      </x:c>
      <x:c r="J346" s="56" t="str">
        <x:v>否</x:v>
      </x:c>
      <x:c r="K346" s="56" t="str">
        <x:v>否</x:v>
      </x:c>
      <x:c r="L346" s="56" t="str">
        <x:v>按结构化事件证据给予0/部分/满分；不能由总结反推已完成</x:v>
      </x:c>
      <x:c r="M346" s="56" t="str"/>
      <x:c r="N346" s="56" t="n">
        <x:f>SUMIFS($G$4:$G$1673,$A$4:$A$1673,A346)</x:f>
        <x:v>360</x:v>
      </x:c>
      <x:c r="O346" s="56" t="str">
        <x:f>IF(N346=360,"通过","失败")</x:f>
        <x:v>通过</x:v>
      </x:c>
      <x:c r="P346" s="56" t="str"/>
      <x:c r="Q346" s="59" t="str">
        <x:v>待确认</x:v>
      </x:c>
    </x:row>
    <x:row r="347">
      <x:c r="A347" s="56" t="str">
        <x:v>P009</x:v>
      </x:c>
      <x:c r="B347" s="56" t="str">
        <x:v>P009</x:v>
      </x:c>
      <x:c r="C347" s="56" t="str">
        <x:v>diagnosis</x:v>
      </x:c>
      <x:c r="D347" s="56" t="n">
        <x:v>45</x:v>
      </x:c>
      <x:c r="E347" s="56" t="str">
        <x:v>diagnosis.confirmation</x:v>
      </x:c>
      <x:c r="F347" s="56" t="str">
        <x:v>确认计划</x:v>
      </x:c>
      <x:c r="G347" s="56" t="n">
        <x:v>15</x:v>
      </x:c>
      <x:c r="H347" s="56" t="str">
        <x:v>普通得分项</x:v>
      </x:c>
      <x:c r="I347" s="56" t="str">
        <x:v>否</x:v>
      </x:c>
      <x:c r="J347" s="56" t="str">
        <x:v>否</x:v>
      </x:c>
      <x:c r="K347" s="56" t="str">
        <x:v>否</x:v>
      </x:c>
      <x:c r="L347" s="56" t="str">
        <x:v>按结构化事件证据给予0/部分/满分；不能由总结反推已完成</x:v>
      </x:c>
      <x:c r="M347" s="56" t="str"/>
      <x:c r="N347" s="56" t="n">
        <x:f>SUMIFS($G$4:$G$1673,$A$4:$A$1673,A347)</x:f>
        <x:v>360</x:v>
      </x:c>
      <x:c r="O347" s="56" t="str">
        <x:f>IF(N347=360,"通过","失败")</x:f>
        <x:v>通过</x:v>
      </x:c>
      <x:c r="P347" s="56" t="str"/>
      <x:c r="Q347" s="59" t="str">
        <x:v>待确认</x:v>
      </x:c>
    </x:row>
    <x:row r="348">
      <x:c r="A348" s="56" t="str">
        <x:v>P009</x:v>
      </x:c>
      <x:c r="B348" s="56" t="str">
        <x:v>P009</x:v>
      </x:c>
      <x:c r="C348" s="56" t="str">
        <x:v>orders</x:v>
      </x:c>
      <x:c r="D348" s="56" t="n">
        <x:v>55</x:v>
      </x:c>
      <x:c r="E348" s="56" t="str">
        <x:v>orders.LAB-UR-001</x:v>
      </x:c>
      <x:c r="F348" s="56" t="str">
        <x:v>LAB-UR-001</x:v>
      </x:c>
      <x:c r="G348" s="56" t="n">
        <x:v>10</x:v>
      </x:c>
      <x:c r="H348" s="56" t="str">
        <x:v>病例特异得分项</x:v>
      </x:c>
      <x:c r="I348" s="56" t="str">
        <x:v>否</x:v>
      </x:c>
      <x:c r="J348" s="56" t="str">
        <x:v>否</x:v>
      </x:c>
      <x:c r="K348" s="56" t="str">
        <x:v>否</x:v>
      </x:c>
      <x:c r="L348" s="56" t="str">
        <x:v>按结构化事件证据给予0/部分/满分；不能由总结反推已完成</x:v>
      </x:c>
      <x:c r="M348" s="56" t="str"/>
      <x:c r="N348" s="56" t="n">
        <x:f>SUMIFS($G$4:$G$1673,$A$4:$A$1673,A348)</x:f>
        <x:v>360</x:v>
      </x:c>
      <x:c r="O348" s="56" t="str">
        <x:f>IF(N348=360,"通过","失败")</x:f>
        <x:v>通过</x:v>
      </x:c>
      <x:c r="P348" s="56" t="str"/>
      <x:c r="Q348" s="59" t="str">
        <x:v>待确认</x:v>
      </x:c>
    </x:row>
    <x:row r="349">
      <x:c r="A349" s="56" t="str">
        <x:v>P009</x:v>
      </x:c>
      <x:c r="B349" s="56" t="str">
        <x:v>P009</x:v>
      </x:c>
      <x:c r="C349" s="56" t="str">
        <x:v>orders</x:v>
      </x:c>
      <x:c r="D349" s="56" t="n">
        <x:v>55</x:v>
      </x:c>
      <x:c r="E349" s="56" t="str">
        <x:v>orders.LAB-UR-002</x:v>
      </x:c>
      <x:c r="F349" s="56" t="str">
        <x:v>LAB-UR-002</x:v>
      </x:c>
      <x:c r="G349" s="56" t="n">
        <x:v>9</x:v>
      </x:c>
      <x:c r="H349" s="56" t="str">
        <x:v>病例特异得分项</x:v>
      </x:c>
      <x:c r="I349" s="56" t="str">
        <x:v>否</x:v>
      </x:c>
      <x:c r="J349" s="56" t="str">
        <x:v>否</x:v>
      </x:c>
      <x:c r="K349" s="56" t="str">
        <x:v>否</x:v>
      </x:c>
      <x:c r="L349" s="56" t="str">
        <x:v>按结构化事件证据给予0/部分/满分；不能由总结反推已完成</x:v>
      </x:c>
      <x:c r="M349" s="56" t="str"/>
      <x:c r="N349" s="56" t="n">
        <x:f>SUMIFS($G$4:$G$1673,$A$4:$A$1673,A349)</x:f>
        <x:v>360</x:v>
      </x:c>
      <x:c r="O349" s="56" t="str">
        <x:f>IF(N349=360,"通过","失败")</x:f>
        <x:v>通过</x:v>
      </x:c>
      <x:c r="P349" s="56" t="str"/>
      <x:c r="Q349" s="59" t="str">
        <x:v>待确认</x:v>
      </x:c>
    </x:row>
    <x:row r="350">
      <x:c r="A350" s="56" t="str">
        <x:v>P009</x:v>
      </x:c>
      <x:c r="B350" s="56" t="str">
        <x:v>P009</x:v>
      </x:c>
      <x:c r="C350" s="56" t="str">
        <x:v>orders</x:v>
      </x:c>
      <x:c r="D350" s="56" t="n">
        <x:v>55</x:v>
      </x:c>
      <x:c r="E350" s="56" t="str">
        <x:v>orders.LAB-UR-008</x:v>
      </x:c>
      <x:c r="F350" s="56" t="str">
        <x:v>LAB-UR-008</x:v>
      </x:c>
      <x:c r="G350" s="56" t="n">
        <x:v>9</x:v>
      </x:c>
      <x:c r="H350" s="56" t="str">
        <x:v>病例特异得分项</x:v>
      </x:c>
      <x:c r="I350" s="56" t="str">
        <x:v>否</x:v>
      </x:c>
      <x:c r="J350" s="56" t="str">
        <x:v>否</x:v>
      </x:c>
      <x:c r="K350" s="56" t="str">
        <x:v>否</x:v>
      </x:c>
      <x:c r="L350" s="56" t="str">
        <x:v>按结构化事件证据给予0/部分/满分；不能由总结反推已完成</x:v>
      </x:c>
      <x:c r="M350" s="56" t="str"/>
      <x:c r="N350" s="56" t="n">
        <x:f>SUMIFS($G$4:$G$1673,$A$4:$A$1673,A350)</x:f>
        <x:v>360</x:v>
      </x:c>
      <x:c r="O350" s="56" t="str">
        <x:f>IF(N350=360,"通过","失败")</x:f>
        <x:v>通过</x:v>
      </x:c>
      <x:c r="P350" s="56" t="str"/>
      <x:c r="Q350" s="59" t="str">
        <x:v>待确认</x:v>
      </x:c>
    </x:row>
    <x:row r="351">
      <x:c r="A351" s="56" t="str">
        <x:v>P009</x:v>
      </x:c>
      <x:c r="B351" s="56" t="str">
        <x:v>P009</x:v>
      </x:c>
      <x:c r="C351" s="56" t="str">
        <x:v>orders</x:v>
      </x:c>
      <x:c r="D351" s="56" t="n">
        <x:v>55</x:v>
      </x:c>
      <x:c r="E351" s="56" t="str">
        <x:v>orders.LAB-BL-001</x:v>
      </x:c>
      <x:c r="F351" s="56" t="str">
        <x:v>LAB-BL-001</x:v>
      </x:c>
      <x:c r="G351" s="56" t="n">
        <x:v>9</x:v>
      </x:c>
      <x:c r="H351" s="56" t="str">
        <x:v>病例特异得分项</x:v>
      </x:c>
      <x:c r="I351" s="56" t="str">
        <x:v>否</x:v>
      </x:c>
      <x:c r="J351" s="56" t="str">
        <x:v>否</x:v>
      </x:c>
      <x:c r="K351" s="56" t="str">
        <x:v>否</x:v>
      </x:c>
      <x:c r="L351" s="56" t="str">
        <x:v>按结构化事件证据给予0/部分/满分；不能由总结反推已完成</x:v>
      </x:c>
      <x:c r="M351" s="56" t="str"/>
      <x:c r="N351" s="56" t="n">
        <x:f>SUMIFS($G$4:$G$1673,$A$4:$A$1673,A351)</x:f>
        <x:v>360</x:v>
      </x:c>
      <x:c r="O351" s="56" t="str">
        <x:f>IF(N351=360,"通过","失败")</x:f>
        <x:v>通过</x:v>
      </x:c>
      <x:c r="P351" s="56" t="str"/>
      <x:c r="Q351" s="59" t="str">
        <x:v>待确认</x:v>
      </x:c>
    </x:row>
    <x:row r="352">
      <x:c r="A352" s="56" t="str">
        <x:v>P009</x:v>
      </x:c>
      <x:c r="B352" s="56" t="str">
        <x:v>P009</x:v>
      </x:c>
      <x:c r="C352" s="56" t="str">
        <x:v>orders</x:v>
      </x:c>
      <x:c r="D352" s="56" t="n">
        <x:v>55</x:v>
      </x:c>
      <x:c r="E352" s="56" t="str">
        <x:v>orders.LAB-BL-002</x:v>
      </x:c>
      <x:c r="F352" s="56" t="str">
        <x:v>LAB-BL-002</x:v>
      </x:c>
      <x:c r="G352" s="56" t="n">
        <x:v>9</x:v>
      </x:c>
      <x:c r="H352" s="56" t="str">
        <x:v>病例特异得分项</x:v>
      </x:c>
      <x:c r="I352" s="56" t="str">
        <x:v>否</x:v>
      </x:c>
      <x:c r="J352" s="56" t="str">
        <x:v>否</x:v>
      </x:c>
      <x:c r="K352" s="56" t="str">
        <x:v>否</x:v>
      </x:c>
      <x:c r="L352" s="56" t="str">
        <x:v>按结构化事件证据给予0/部分/满分；不能由总结反推已完成</x:v>
      </x:c>
      <x:c r="M352" s="56" t="str"/>
      <x:c r="N352" s="56" t="n">
        <x:f>SUMIFS($G$4:$G$1673,$A$4:$A$1673,A352)</x:f>
        <x:v>360</x:v>
      </x:c>
      <x:c r="O352" s="56" t="str">
        <x:f>IF(N352=360,"通过","失败")</x:f>
        <x:v>通过</x:v>
      </x:c>
      <x:c r="P352" s="56" t="str"/>
      <x:c r="Q352" s="59" t="str">
        <x:v>待确认</x:v>
      </x:c>
    </x:row>
    <x:row r="353">
      <x:c r="A353" s="56" t="str">
        <x:v>P009</x:v>
      </x:c>
      <x:c r="B353" s="56" t="str">
        <x:v>P009</x:v>
      </x:c>
      <x:c r="C353" s="56" t="str">
        <x:v>orders</x:v>
      </x:c>
      <x:c r="D353" s="56" t="n">
        <x:v>55</x:v>
      </x:c>
      <x:c r="E353" s="56" t="str">
        <x:v>orders.LAB-BL-003</x:v>
      </x:c>
      <x:c r="F353" s="56" t="str">
        <x:v>LAB-BL-003</x:v>
      </x:c>
      <x:c r="G353" s="56" t="n">
        <x:v>9</x:v>
      </x:c>
      <x:c r="H353" s="56" t="str">
        <x:v>病例特异得分项</x:v>
      </x:c>
      <x:c r="I353" s="56" t="str">
        <x:v>否</x:v>
      </x:c>
      <x:c r="J353" s="56" t="str">
        <x:v>否</x:v>
      </x:c>
      <x:c r="K353" s="56" t="str">
        <x:v>否</x:v>
      </x:c>
      <x:c r="L353" s="56" t="str">
        <x:v>按结构化事件证据给予0/部分/满分；不能由总结反推已完成</x:v>
      </x:c>
      <x:c r="M353" s="56" t="str"/>
      <x:c r="N353" s="56" t="n">
        <x:f>SUMIFS($G$4:$G$1673,$A$4:$A$1673,A353)</x:f>
        <x:v>360</x:v>
      </x:c>
      <x:c r="O353" s="56" t="str">
        <x:f>IF(N353=360,"通过","失败")</x:f>
        <x:v>通过</x:v>
      </x:c>
      <x:c r="P353" s="56" t="str"/>
      <x:c r="Q353" s="59" t="str">
        <x:v>待确认</x:v>
      </x:c>
    </x:row>
    <x:row r="354">
      <x:c r="A354" s="56" t="str">
        <x:v>P009</x:v>
      </x:c>
      <x:c r="B354" s="56" t="str">
        <x:v>P009</x:v>
      </x:c>
      <x:c r="C354" s="56" t="str">
        <x:v>mdt</x:v>
      </x:c>
      <x:c r="D354" s="56" t="n">
        <x:v>45</x:v>
      </x:c>
      <x:c r="E354" s="56" t="str">
        <x:v>mdt.department</x:v>
      </x:c>
      <x:c r="F354" s="56" t="str">
        <x:v>department</x:v>
      </x:c>
      <x:c r="G354" s="56" t="n">
        <x:v>12</x:v>
      </x:c>
      <x:c r="H354" s="56" t="str">
        <x:v>病例特异得分项</x:v>
      </x:c>
      <x:c r="I354" s="56" t="str">
        <x:v>否</x:v>
      </x:c>
      <x:c r="J354" s="56" t="str">
        <x:v>否</x:v>
      </x:c>
      <x:c r="K354" s="56" t="str">
        <x:v>否</x:v>
      </x:c>
      <x:c r="L354" s="56" t="str">
        <x:v>按结构化事件证据给予0/部分/满分；不能由总结反推已完成</x:v>
      </x:c>
      <x:c r="M354" s="56" t="str"/>
      <x:c r="N354" s="56" t="n">
        <x:f>SUMIFS($G$4:$G$1673,$A$4:$A$1673,A354)</x:f>
        <x:v>360</x:v>
      </x:c>
      <x:c r="O354" s="56" t="str">
        <x:f>IF(N354=360,"通过","失败")</x:f>
        <x:v>通过</x:v>
      </x:c>
      <x:c r="P354" s="56" t="str"/>
      <x:c r="Q354" s="59" t="str">
        <x:v>待确认</x:v>
      </x:c>
    </x:row>
    <x:row r="355">
      <x:c r="A355" s="56" t="str">
        <x:v>P009</x:v>
      </x:c>
      <x:c r="B355" s="56" t="str">
        <x:v>P009</x:v>
      </x:c>
      <x:c r="C355" s="56" t="str">
        <x:v>mdt</x:v>
      </x:c>
      <x:c r="D355" s="56" t="n">
        <x:v>45</x:v>
      </x:c>
      <x:c r="E355" s="56" t="str">
        <x:v>mdt.trigger</x:v>
      </x:c>
      <x:c r="F355" s="56" t="str">
        <x:v>trigger</x:v>
      </x:c>
      <x:c r="G355" s="56" t="n">
        <x:v>11</x:v>
      </x:c>
      <x:c r="H355" s="56" t="str">
        <x:v>病例特异得分项</x:v>
      </x:c>
      <x:c r="I355" s="56" t="str">
        <x:v>否</x:v>
      </x:c>
      <x:c r="J355" s="56" t="str">
        <x:v>否</x:v>
      </x:c>
      <x:c r="K355" s="56" t="str">
        <x:v>否</x:v>
      </x:c>
      <x:c r="L355" s="56" t="str">
        <x:v>按结构化事件证据给予0/部分/满分；不能由总结反推已完成</x:v>
      </x:c>
      <x:c r="M355" s="56" t="str"/>
      <x:c r="N355" s="56" t="n">
        <x:f>SUMIFS($G$4:$G$1673,$A$4:$A$1673,A355)</x:f>
        <x:v>360</x:v>
      </x:c>
      <x:c r="O355" s="56" t="str">
        <x:f>IF(N355=360,"通过","失败")</x:f>
        <x:v>通过</x:v>
      </x:c>
      <x:c r="P355" s="56" t="str"/>
      <x:c r="Q355" s="59" t="str">
        <x:v>待确认</x:v>
      </x:c>
    </x:row>
    <x:row r="356">
      <x:c r="A356" s="56" t="str">
        <x:v>P009</x:v>
      </x:c>
      <x:c r="B356" s="56" t="str">
        <x:v>P009</x:v>
      </x:c>
      <x:c r="C356" s="56" t="str">
        <x:v>mdt</x:v>
      </x:c>
      <x:c r="D356" s="56" t="n">
        <x:v>45</x:v>
      </x:c>
      <x:c r="E356" s="56" t="str">
        <x:v>mdt.question</x:v>
      </x:c>
      <x:c r="F356" s="56" t="str">
        <x:v>question</x:v>
      </x:c>
      <x:c r="G356" s="56" t="n">
        <x:v>11</x:v>
      </x:c>
      <x:c r="H356" s="56" t="str">
        <x:v>病例特异得分项</x:v>
      </x:c>
      <x:c r="I356" s="56" t="str">
        <x:v>否</x:v>
      </x:c>
      <x:c r="J356" s="56" t="str">
        <x:v>否</x:v>
      </x:c>
      <x:c r="K356" s="56" t="str">
        <x:v>否</x:v>
      </x:c>
      <x:c r="L356" s="56" t="str">
        <x:v>按结构化事件证据给予0/部分/满分；不能由总结反推已完成</x:v>
      </x:c>
      <x:c r="M356" s="56" t="str"/>
      <x:c r="N356" s="56" t="n">
        <x:f>SUMIFS($G$4:$G$1673,$A$4:$A$1673,A356)</x:f>
        <x:v>360</x:v>
      </x:c>
      <x:c r="O356" s="56" t="str">
        <x:f>IF(N356=360,"通过","失败")</x:f>
        <x:v>通过</x:v>
      </x:c>
      <x:c r="P356" s="56" t="str"/>
      <x:c r="Q356" s="59" t="str">
        <x:v>待确认</x:v>
      </x:c>
    </x:row>
    <x:row r="357">
      <x:c r="A357" s="56" t="str">
        <x:v>P009</x:v>
      </x:c>
      <x:c r="B357" s="56" t="str">
        <x:v>P009</x:v>
      </x:c>
      <x:c r="C357" s="56" t="str">
        <x:v>mdt</x:v>
      </x:c>
      <x:c r="D357" s="56" t="n">
        <x:v>45</x:v>
      </x:c>
      <x:c r="E357" s="56" t="str">
        <x:v>mdt.evidence</x:v>
      </x:c>
      <x:c r="F357" s="56" t="str">
        <x:v>evidence</x:v>
      </x:c>
      <x:c r="G357" s="56" t="n">
        <x:v>11</x:v>
      </x:c>
      <x:c r="H357" s="56" t="str">
        <x:v>病例特异得分项</x:v>
      </x:c>
      <x:c r="I357" s="56" t="str">
        <x:v>否</x:v>
      </x:c>
      <x:c r="J357" s="56" t="str">
        <x:v>否</x:v>
      </x:c>
      <x:c r="K357" s="56" t="str">
        <x:v>否</x:v>
      </x:c>
      <x:c r="L357" s="56" t="str">
        <x:v>按结构化事件证据给予0/部分/满分；不能由总结反推已完成</x:v>
      </x:c>
      <x:c r="M357" s="56" t="str"/>
      <x:c r="N357" s="56" t="n">
        <x:f>SUMIFS($G$4:$G$1673,$A$4:$A$1673,A357)</x:f>
        <x:v>360</x:v>
      </x:c>
      <x:c r="O357" s="56" t="str">
        <x:f>IF(N357=360,"通过","失败")</x:f>
        <x:v>通过</x:v>
      </x:c>
      <x:c r="P357" s="56" t="str"/>
      <x:c r="Q357" s="59" t="str">
        <x:v>待确认</x:v>
      </x:c>
    </x:row>
    <x:row r="358">
      <x:c r="A358" s="56" t="str">
        <x:v>P009</x:v>
      </x:c>
      <x:c r="B358" s="56" t="str">
        <x:v>P009</x:v>
      </x:c>
      <x:c r="C358" s="56" t="str">
        <x:v>treatment</x:v>
      </x:c>
      <x:c r="D358" s="56" t="n">
        <x:v>50</x:v>
      </x:c>
      <x:c r="E358" s="56" t="str">
        <x:v>treatment.immediate</x:v>
      </x:c>
      <x:c r="F358" s="56" t="str">
        <x:v>immediate</x:v>
      </x:c>
      <x:c r="G358" s="56" t="n">
        <x:v>13</x:v>
      </x:c>
      <x:c r="H358" s="56" t="str">
        <x:v>病例特异得分项</x:v>
      </x:c>
      <x:c r="I358" s="56" t="str">
        <x:v>否</x:v>
      </x:c>
      <x:c r="J358" s="56" t="str">
        <x:v>否</x:v>
      </x:c>
      <x:c r="K358" s="56" t="str">
        <x:v>否</x:v>
      </x:c>
      <x:c r="L358" s="56" t="str">
        <x:v>按结构化事件证据给予0/部分/满分；不能由总结反推已完成</x:v>
      </x:c>
      <x:c r="M358" s="56" t="str"/>
      <x:c r="N358" s="56" t="n">
        <x:f>SUMIFS($G$4:$G$1673,$A$4:$A$1673,A358)</x:f>
        <x:v>360</x:v>
      </x:c>
      <x:c r="O358" s="56" t="str">
        <x:f>IF(N358=360,"通过","失败")</x:f>
        <x:v>通过</x:v>
      </x:c>
      <x:c r="P358" s="56" t="str"/>
      <x:c r="Q358" s="59" t="str">
        <x:v>待确认</x:v>
      </x:c>
    </x:row>
    <x:row r="359">
      <x:c r="A359" s="56" t="str">
        <x:v>P009</x:v>
      </x:c>
      <x:c r="B359" s="56" t="str">
        <x:v>P009</x:v>
      </x:c>
      <x:c r="C359" s="56" t="str">
        <x:v>treatment</x:v>
      </x:c>
      <x:c r="D359" s="56" t="n">
        <x:v>50</x:v>
      </x:c>
      <x:c r="E359" s="56" t="str">
        <x:v>treatment.etiologic</x:v>
      </x:c>
      <x:c r="F359" s="56" t="str">
        <x:v>etiologic</x:v>
      </x:c>
      <x:c r="G359" s="56" t="n">
        <x:v>13</x:v>
      </x:c>
      <x:c r="H359" s="56" t="str">
        <x:v>病例特异得分项</x:v>
      </x:c>
      <x:c r="I359" s="56" t="str">
        <x:v>否</x:v>
      </x:c>
      <x:c r="J359" s="56" t="str">
        <x:v>否</x:v>
      </x:c>
      <x:c r="K359" s="56" t="str">
        <x:v>否</x:v>
      </x:c>
      <x:c r="L359" s="56" t="str">
        <x:v>按结构化事件证据给予0/部分/满分；不能由总结反推已完成</x:v>
      </x:c>
      <x:c r="M359" s="56" t="str"/>
      <x:c r="N359" s="56" t="n">
        <x:f>SUMIFS($G$4:$G$1673,$A$4:$A$1673,A359)</x:f>
        <x:v>360</x:v>
      </x:c>
      <x:c r="O359" s="56" t="str">
        <x:f>IF(N359=360,"通过","失败")</x:f>
        <x:v>通过</x:v>
      </x:c>
      <x:c r="P359" s="56" t="str"/>
      <x:c r="Q359" s="59" t="str">
        <x:v>待确认</x:v>
      </x:c>
    </x:row>
    <x:row r="360">
      <x:c r="A360" s="56" t="str">
        <x:v>P009</x:v>
      </x:c>
      <x:c r="B360" s="56" t="str">
        <x:v>P009</x:v>
      </x:c>
      <x:c r="C360" s="56" t="str">
        <x:v>treatment</x:v>
      </x:c>
      <x:c r="D360" s="56" t="n">
        <x:v>50</x:v>
      </x:c>
      <x:c r="E360" s="56" t="str">
        <x:v>treatment.definitive</x:v>
      </x:c>
      <x:c r="F360" s="56" t="str">
        <x:v>definitive</x:v>
      </x:c>
      <x:c r="G360" s="56" t="n">
        <x:v>12</x:v>
      </x:c>
      <x:c r="H360" s="56" t="str">
        <x:v>病例特异得分项</x:v>
      </x:c>
      <x:c r="I360" s="56" t="str">
        <x:v>否</x:v>
      </x:c>
      <x:c r="J360" s="56" t="str">
        <x:v>否</x:v>
      </x:c>
      <x:c r="K360" s="56" t="str">
        <x:v>否</x:v>
      </x:c>
      <x:c r="L360" s="56" t="str">
        <x:v>按结构化事件证据给予0/部分/满分；不能由总结反推已完成</x:v>
      </x:c>
      <x:c r="M360" s="56" t="str"/>
      <x:c r="N360" s="56" t="n">
        <x:f>SUMIFS($G$4:$G$1673,$A$4:$A$1673,A360)</x:f>
        <x:v>360</x:v>
      </x:c>
      <x:c r="O360" s="56" t="str">
        <x:f>IF(N360=360,"通过","失败")</x:f>
        <x:v>通过</x:v>
      </x:c>
      <x:c r="P360" s="56" t="str"/>
      <x:c r="Q360" s="59" t="str">
        <x:v>待确认</x:v>
      </x:c>
    </x:row>
    <x:row r="361">
      <x:c r="A361" s="56" t="str">
        <x:v>P009</x:v>
      </x:c>
      <x:c r="B361" s="56" t="str">
        <x:v>P009</x:v>
      </x:c>
      <x:c r="C361" s="56" t="str">
        <x:v>treatment</x:v>
      </x:c>
      <x:c r="D361" s="56" t="n">
        <x:v>50</x:v>
      </x:c>
      <x:c r="E361" s="56" t="str">
        <x:v>treatment.perioperative</x:v>
      </x:c>
      <x:c r="F361" s="56" t="str">
        <x:v>perioperative</x:v>
      </x:c>
      <x:c r="G361" s="56" t="n">
        <x:v>12</x:v>
      </x:c>
      <x:c r="H361" s="56" t="str">
        <x:v>病例特异得分项</x:v>
      </x:c>
      <x:c r="I361" s="56" t="str">
        <x:v>否</x:v>
      </x:c>
      <x:c r="J361" s="56" t="str">
        <x:v>否</x:v>
      </x:c>
      <x:c r="K361" s="56" t="str">
        <x:v>否</x:v>
      </x:c>
      <x:c r="L361" s="56" t="str">
        <x:v>按结构化事件证据给予0/部分/满分；不能由总结反推已完成</x:v>
      </x:c>
      <x:c r="M361" s="56" t="str"/>
      <x:c r="N361" s="56" t="n">
        <x:f>SUMIFS($G$4:$G$1673,$A$4:$A$1673,A361)</x:f>
        <x:v>360</x:v>
      </x:c>
      <x:c r="O361" s="56" t="str">
        <x:f>IF(N361=360,"通过","失败")</x:f>
        <x:v>通过</x:v>
      </x:c>
      <x:c r="P361" s="56" t="str"/>
      <x:c r="Q361" s="59" t="str">
        <x:v>待确认</x:v>
      </x:c>
    </x:row>
    <x:row r="362">
      <x:c r="A362" s="56" t="str">
        <x:v>P009</x:v>
      </x:c>
      <x:c r="B362" s="56" t="str">
        <x:v>P009</x:v>
      </x:c>
      <x:c r="C362" s="56" t="str">
        <x:v>followup</x:v>
      </x:c>
      <x:c r="D362" s="56" t="n">
        <x:v>40</x:v>
      </x:c>
      <x:c r="E362" s="56" t="str">
        <x:v>followup.plan</x:v>
      </x:c>
      <x:c r="F362" s="56" t="str">
        <x:v>随访复查</x:v>
      </x:c>
      <x:c r="G362" s="56" t="n">
        <x:v>10</x:v>
      </x:c>
      <x:c r="H362" s="56" t="str">
        <x:v>普通得分项</x:v>
      </x:c>
      <x:c r="I362" s="56" t="str">
        <x:v>否</x:v>
      </x:c>
      <x:c r="J362" s="56" t="str">
        <x:v>否</x:v>
      </x:c>
      <x:c r="K362" s="56" t="str">
        <x:v>否</x:v>
      </x:c>
      <x:c r="L362" s="56" t="str">
        <x:v>按结构化事件证据给予0/部分/满分；不能由总结反推已完成</x:v>
      </x:c>
      <x:c r="M362" s="56" t="str"/>
      <x:c r="N362" s="56" t="n">
        <x:f>SUMIFS($G$4:$G$1673,$A$4:$A$1673,A362)</x:f>
        <x:v>360</x:v>
      </x:c>
      <x:c r="O362" s="56" t="str">
        <x:f>IF(N362=360,"通过","失败")</x:f>
        <x:v>通过</x:v>
      </x:c>
      <x:c r="P362" s="56" t="str"/>
      <x:c r="Q362" s="59" t="str">
        <x:v>待确认</x:v>
      </x:c>
    </x:row>
    <x:row r="363">
      <x:c r="A363" s="56" t="str">
        <x:v>P009</x:v>
      </x:c>
      <x:c r="B363" s="56" t="str">
        <x:v>P009</x:v>
      </x:c>
      <x:c r="C363" s="56" t="str">
        <x:v>followup</x:v>
      </x:c>
      <x:c r="D363" s="56" t="n">
        <x:v>40</x:v>
      </x:c>
      <x:c r="E363" s="56" t="str">
        <x:v>followup.education</x:v>
      </x:c>
      <x:c r="F363" s="56" t="str">
        <x:v>患者教育</x:v>
      </x:c>
      <x:c r="G363" s="56" t="n">
        <x:v>10</x:v>
      </x:c>
      <x:c r="H363" s="56" t="str">
        <x:v>普通得分项</x:v>
      </x:c>
      <x:c r="I363" s="56" t="str">
        <x:v>否</x:v>
      </x:c>
      <x:c r="J363" s="56" t="str">
        <x:v>否</x:v>
      </x:c>
      <x:c r="K363" s="56" t="str">
        <x:v>否</x:v>
      </x:c>
      <x:c r="L363" s="56" t="str">
        <x:v>按结构化事件证据给予0/部分/满分；不能由总结反推已完成</x:v>
      </x:c>
      <x:c r="M363" s="56" t="str"/>
      <x:c r="N363" s="56" t="n">
        <x:f>SUMIFS($G$4:$G$1673,$A$4:$A$1673,A363)</x:f>
        <x:v>360</x:v>
      </x:c>
      <x:c r="O363" s="56" t="str">
        <x:f>IF(N363=360,"通过","失败")</x:f>
        <x:v>通过</x:v>
      </x:c>
      <x:c r="P363" s="56" t="str"/>
      <x:c r="Q363" s="59" t="str">
        <x:v>待确认</x:v>
      </x:c>
    </x:row>
    <x:row r="364">
      <x:c r="A364" s="56" t="str">
        <x:v>P009</x:v>
      </x:c>
      <x:c r="B364" s="56" t="str">
        <x:v>P009</x:v>
      </x:c>
      <x:c r="C364" s="56" t="str">
        <x:v>followup</x:v>
      </x:c>
      <x:c r="D364" s="56" t="n">
        <x:v>40</x:v>
      </x:c>
      <x:c r="E364" s="56" t="str">
        <x:v>followup.reflection</x:v>
      </x:c>
      <x:c r="F364" s="56" t="str">
        <x:v>学习反思质量</x:v>
      </x:c>
      <x:c r="G364" s="56" t="n">
        <x:v>10</x:v>
      </x:c>
      <x:c r="H364" s="56" t="str">
        <x:v>普通得分项</x:v>
      </x:c>
      <x:c r="I364" s="56" t="str">
        <x:v>否</x:v>
      </x:c>
      <x:c r="J364" s="56" t="str">
        <x:v>否</x:v>
      </x:c>
      <x:c r="K364" s="56" t="str">
        <x:v>否</x:v>
      </x:c>
      <x:c r="L364" s="56" t="str">
        <x:v>按结构化事件证据给予0/部分/满分；不能由总结反推已完成</x:v>
      </x:c>
      <x:c r="M364" s="56" t="str"/>
      <x:c r="N364" s="56" t="n">
        <x:f>SUMIFS($G$4:$G$1673,$A$4:$A$1673,A364)</x:f>
        <x:v>360</x:v>
      </x:c>
      <x:c r="O364" s="56" t="str">
        <x:f>IF(N364=360,"通过","失败")</x:f>
        <x:v>通过</x:v>
      </x:c>
      <x:c r="P364" s="56" t="str"/>
      <x:c r="Q364" s="59" t="str">
        <x:v>待确认</x:v>
      </x:c>
    </x:row>
    <x:row r="365">
      <x:c r="A365" s="56" t="str">
        <x:v>P009</x:v>
      </x:c>
      <x:c r="B365" s="56" t="str">
        <x:v>P009</x:v>
      </x:c>
      <x:c r="C365" s="56" t="str">
        <x:v>followup</x:v>
      </x:c>
      <x:c r="D365" s="56" t="n">
        <x:v>40</x:v>
      </x:c>
      <x:c r="E365" s="56" t="str">
        <x:v>followup.efficiency</x:v>
      </x:c>
      <x:c r="F365" s="56" t="str">
        <x:v>操作效率</x:v>
      </x:c>
      <x:c r="G365" s="56" t="n">
        <x:v>10</x:v>
      </x:c>
      <x:c r="H365" s="56" t="str">
        <x:v>普通得分项</x:v>
      </x:c>
      <x:c r="I365" s="56" t="str">
        <x:v>否</x:v>
      </x:c>
      <x:c r="J365" s="56" t="str">
        <x:v>否</x:v>
      </x:c>
      <x:c r="K365" s="56" t="str">
        <x:v>否</x:v>
      </x:c>
      <x:c r="L365" s="56" t="str">
        <x:v>按结构化事件证据给予0/部分/满分；不能由总结反推已完成</x:v>
      </x:c>
      <x:c r="M365" s="56" t="str"/>
      <x:c r="N365" s="56" t="n">
        <x:f>SUMIFS($G$4:$G$1673,$A$4:$A$1673,A365)</x:f>
        <x:v>360</x:v>
      </x:c>
      <x:c r="O365" s="56" t="str">
        <x:f>IF(N365=360,"通过","失败")</x:f>
        <x:v>通过</x:v>
      </x:c>
      <x:c r="P365" s="56" t="str"/>
      <x:c r="Q365" s="59" t="str">
        <x:v>待确认</x:v>
      </x:c>
    </x:row>
    <x:row r="366">
      <x:c r="A366" s="56" t="str">
        <x:v>P010</x:v>
      </x:c>
      <x:c r="B366" s="56" t="str">
        <x:v>P010</x:v>
      </x:c>
      <x:c r="C366" s="56" t="str">
        <x:v>history</x:v>
      </x:c>
      <x:c r="D366" s="56" t="n">
        <x:v>50</x:v>
      </x:c>
      <x:c r="E366" s="56" t="str">
        <x:v>history.hematuria_visibility</x:v>
      </x:c>
      <x:c r="F366" s="56" t="str">
        <x:v>hematuria_visibility</x:v>
      </x:c>
      <x:c r="G366" s="56" t="n">
        <x:v>5</x:v>
      </x:c>
      <x:c r="H366" s="56" t="str">
        <x:v>普通得分项</x:v>
      </x:c>
      <x:c r="I366" s="56" t="str">
        <x:v>否</x:v>
      </x:c>
      <x:c r="J366" s="56" t="str">
        <x:v>否</x:v>
      </x:c>
      <x:c r="K366" s="56" t="str">
        <x:v>否</x:v>
      </x:c>
      <x:c r="L366" s="56" t="str">
        <x:v>按结构化事件证据给予0/部分/满分；不能由总结反推已完成</x:v>
      </x:c>
      <x:c r="M366" s="56" t="str"/>
      <x:c r="N366" s="56" t="n">
        <x:f>SUMIFS($G$4:$G$1673,$A$4:$A$1673,A366)</x:f>
        <x:v>360</x:v>
      </x:c>
      <x:c r="O366" s="56" t="str">
        <x:f>IF(N366=360,"通过","失败")</x:f>
        <x:v>通过</x:v>
      </x:c>
      <x:c r="P366" s="56" t="str"/>
      <x:c r="Q366" s="59" t="str">
        <x:v>待确认</x:v>
      </x:c>
    </x:row>
    <x:row r="367">
      <x:c r="A367" s="56" t="str">
        <x:v>P010</x:v>
      </x:c>
      <x:c r="B367" s="56" t="str">
        <x:v>P010</x:v>
      </x:c>
      <x:c r="C367" s="56" t="str">
        <x:v>history</x:v>
      </x:c>
      <x:c r="D367" s="56" t="n">
        <x:v>50</x:v>
      </x:c>
      <x:c r="E367" s="56" t="str">
        <x:v>history.hematuria_onset</x:v>
      </x:c>
      <x:c r="F367" s="56" t="str">
        <x:v>hematuria_onset</x:v>
      </x:c>
      <x:c r="G367" s="56" t="n">
        <x:v>5</x:v>
      </x:c>
      <x:c r="H367" s="56" t="str">
        <x:v>普通得分项</x:v>
      </x:c>
      <x:c r="I367" s="56" t="str">
        <x:v>否</x:v>
      </x:c>
      <x:c r="J367" s="56" t="str">
        <x:v>否</x:v>
      </x:c>
      <x:c r="K367" s="56" t="str">
        <x:v>否</x:v>
      </x:c>
      <x:c r="L367" s="56" t="str">
        <x:v>按结构化事件证据给予0/部分/满分；不能由总结反推已完成</x:v>
      </x:c>
      <x:c r="M367" s="56" t="str"/>
      <x:c r="N367" s="56" t="n">
        <x:f>SUMIFS($G$4:$G$1673,$A$4:$A$1673,A367)</x:f>
        <x:v>360</x:v>
      </x:c>
      <x:c r="O367" s="56" t="str">
        <x:f>IF(N367=360,"通过","失败")</x:f>
        <x:v>通过</x:v>
      </x:c>
      <x:c r="P367" s="56" t="str"/>
      <x:c r="Q367" s="59" t="str">
        <x:v>待确认</x:v>
      </x:c>
    </x:row>
    <x:row r="368">
      <x:c r="A368" s="56" t="str">
        <x:v>P010</x:v>
      </x:c>
      <x:c r="B368" s="56" t="str">
        <x:v>P010</x:v>
      </x:c>
      <x:c r="C368" s="56" t="str">
        <x:v>history</x:v>
      </x:c>
      <x:c r="D368" s="56" t="n">
        <x:v>50</x:v>
      </x:c>
      <x:c r="E368" s="56" t="str">
        <x:v>history.hematuria_frequency</x:v>
      </x:c>
      <x:c r="F368" s="56" t="str">
        <x:v>hematuria_frequency</x:v>
      </x:c>
      <x:c r="G368" s="56" t="n">
        <x:v>4</x:v>
      </x:c>
      <x:c r="H368" s="56" t="str">
        <x:v>普通得分项</x:v>
      </x:c>
      <x:c r="I368" s="56" t="str">
        <x:v>否</x:v>
      </x:c>
      <x:c r="J368" s="56" t="str">
        <x:v>否</x:v>
      </x:c>
      <x:c r="K368" s="56" t="str">
        <x:v>否</x:v>
      </x:c>
      <x:c r="L368" s="56" t="str">
        <x:v>按结构化事件证据给予0/部分/满分；不能由总结反推已完成</x:v>
      </x:c>
      <x:c r="M368" s="56" t="str"/>
      <x:c r="N368" s="56" t="n">
        <x:f>SUMIFS($G$4:$G$1673,$A$4:$A$1673,A368)</x:f>
        <x:v>360</x:v>
      </x:c>
      <x:c r="O368" s="56" t="str">
        <x:f>IF(N368=360,"通过","失败")</x:f>
        <x:v>通过</x:v>
      </x:c>
      <x:c r="P368" s="56" t="str"/>
      <x:c r="Q368" s="59" t="str">
        <x:v>待确认</x:v>
      </x:c>
    </x:row>
    <x:row r="369">
      <x:c r="A369" s="56" t="str">
        <x:v>P010</x:v>
      </x:c>
      <x:c r="B369" s="56" t="str">
        <x:v>P010</x:v>
      </x:c>
      <x:c r="C369" s="56" t="str">
        <x:v>history</x:v>
      </x:c>
      <x:c r="D369" s="56" t="n">
        <x:v>50</x:v>
      </x:c>
      <x:c r="E369" s="56" t="str">
        <x:v>history.hematuria_phase</x:v>
      </x:c>
      <x:c r="F369" s="56" t="str">
        <x:v>hematuria_phase</x:v>
      </x:c>
      <x:c r="G369" s="56" t="n">
        <x:v>4</x:v>
      </x:c>
      <x:c r="H369" s="56" t="str">
        <x:v>普通得分项</x:v>
      </x:c>
      <x:c r="I369" s="56" t="str">
        <x:v>否</x:v>
      </x:c>
      <x:c r="J369" s="56" t="str">
        <x:v>否</x:v>
      </x:c>
      <x:c r="K369" s="56" t="str">
        <x:v>否</x:v>
      </x:c>
      <x:c r="L369" s="56" t="str">
        <x:v>按结构化事件证据给予0/部分/满分；不能由总结反推已完成</x:v>
      </x:c>
      <x:c r="M369" s="56" t="str"/>
      <x:c r="N369" s="56" t="n">
        <x:f>SUMIFS($G$4:$G$1673,$A$4:$A$1673,A369)</x:f>
        <x:v>360</x:v>
      </x:c>
      <x:c r="O369" s="56" t="str">
        <x:f>IF(N369=360,"通过","失败")</x:f>
        <x:v>通过</x:v>
      </x:c>
      <x:c r="P369" s="56" t="str"/>
      <x:c r="Q369" s="59" t="str">
        <x:v>待确认</x:v>
      </x:c>
    </x:row>
    <x:row r="370">
      <x:c r="A370" s="56" t="str">
        <x:v>P010</x:v>
      </x:c>
      <x:c r="B370" s="56" t="str">
        <x:v>P010</x:v>
      </x:c>
      <x:c r="C370" s="56" t="str">
        <x:v>history</x:v>
      </x:c>
      <x:c r="D370" s="56" t="n">
        <x:v>50</x:v>
      </x:c>
      <x:c r="E370" s="56" t="str">
        <x:v>history.urine_color</x:v>
      </x:c>
      <x:c r="F370" s="56" t="str">
        <x:v>urine_color</x:v>
      </x:c>
      <x:c r="G370" s="56" t="n">
        <x:v>4</x:v>
      </x:c>
      <x:c r="H370" s="56" t="str">
        <x:v>普通得分项</x:v>
      </x:c>
      <x:c r="I370" s="56" t="str">
        <x:v>否</x:v>
      </x:c>
      <x:c r="J370" s="56" t="str">
        <x:v>否</x:v>
      </x:c>
      <x:c r="K370" s="56" t="str">
        <x:v>否</x:v>
      </x:c>
      <x:c r="L370" s="56" t="str">
        <x:v>按结构化事件证据给予0/部分/满分；不能由总结反推已完成</x:v>
      </x:c>
      <x:c r="M370" s="56" t="str"/>
      <x:c r="N370" s="56" t="n">
        <x:f>SUMIFS($G$4:$G$1673,$A$4:$A$1673,A370)</x:f>
        <x:v>360</x:v>
      </x:c>
      <x:c r="O370" s="56" t="str">
        <x:f>IF(N370=360,"通过","失败")</x:f>
        <x:v>通过</x:v>
      </x:c>
      <x:c r="P370" s="56" t="str"/>
      <x:c r="Q370" s="59" t="str">
        <x:v>待确认</x:v>
      </x:c>
    </x:row>
    <x:row r="371">
      <x:c r="A371" s="56" t="str">
        <x:v>P010</x:v>
      </x:c>
      <x:c r="B371" s="56" t="str">
        <x:v>P010</x:v>
      </x:c>
      <x:c r="C371" s="56" t="str">
        <x:v>history</x:v>
      </x:c>
      <x:c r="D371" s="56" t="n">
        <x:v>50</x:v>
      </x:c>
      <x:c r="E371" s="56" t="str">
        <x:v>history.clots</x:v>
      </x:c>
      <x:c r="F371" s="56" t="str">
        <x:v>clots</x:v>
      </x:c>
      <x:c r="G371" s="56" t="n">
        <x:v>4</x:v>
      </x:c>
      <x:c r="H371" s="56" t="str">
        <x:v>普通得分项</x:v>
      </x:c>
      <x:c r="I371" s="56" t="str">
        <x:v>否</x:v>
      </x:c>
      <x:c r="J371" s="56" t="str">
        <x:v>否</x:v>
      </x:c>
      <x:c r="K371" s="56" t="str">
        <x:v>否</x:v>
      </x:c>
      <x:c r="L371" s="56" t="str">
        <x:v>按结构化事件证据给予0/部分/满分；不能由总结反推已完成</x:v>
      </x:c>
      <x:c r="M371" s="56" t="str"/>
      <x:c r="N371" s="56" t="n">
        <x:f>SUMIFS($G$4:$G$1673,$A$4:$A$1673,A371)</x:f>
        <x:v>360</x:v>
      </x:c>
      <x:c r="O371" s="56" t="str">
        <x:f>IF(N371=360,"通过","失败")</x:f>
        <x:v>通过</x:v>
      </x:c>
      <x:c r="P371" s="56" t="str"/>
      <x:c r="Q371" s="59" t="str">
        <x:v>待确认</x:v>
      </x:c>
    </x:row>
    <x:row r="372">
      <x:c r="A372" s="56" t="str">
        <x:v>P010</x:v>
      </x:c>
      <x:c r="B372" s="56" t="str">
        <x:v>P010</x:v>
      </x:c>
      <x:c r="C372" s="56" t="str">
        <x:v>history</x:v>
      </x:c>
      <x:c r="D372" s="56" t="n">
        <x:v>50</x:v>
      </x:c>
      <x:c r="E372" s="56" t="str">
        <x:v>history.pain</x:v>
      </x:c>
      <x:c r="F372" s="56" t="str">
        <x:v>pain</x:v>
      </x:c>
      <x:c r="G372" s="56" t="n">
        <x:v>4</x:v>
      </x:c>
      <x:c r="H372" s="56" t="str">
        <x:v>普通得分项</x:v>
      </x:c>
      <x:c r="I372" s="56" t="str">
        <x:v>否</x:v>
      </x:c>
      <x:c r="J372" s="56" t="str">
        <x:v>否</x:v>
      </x:c>
      <x:c r="K372" s="56" t="str">
        <x:v>否</x:v>
      </x:c>
      <x:c r="L372" s="56" t="str">
        <x:v>按结构化事件证据给予0/部分/满分；不能由总结反推已完成</x:v>
      </x:c>
      <x:c r="M372" s="56" t="str"/>
      <x:c r="N372" s="56" t="n">
        <x:f>SUMIFS($G$4:$G$1673,$A$4:$A$1673,A372)</x:f>
        <x:v>360</x:v>
      </x:c>
      <x:c r="O372" s="56" t="str">
        <x:f>IF(N372=360,"通过","失败")</x:f>
        <x:v>通过</x:v>
      </x:c>
      <x:c r="P372" s="56" t="str"/>
      <x:c r="Q372" s="59" t="str">
        <x:v>待确认</x:v>
      </x:c>
    </x:row>
    <x:row r="373">
      <x:c r="A373" s="56" t="str">
        <x:v>P010</x:v>
      </x:c>
      <x:c r="B373" s="56" t="str">
        <x:v>P010</x:v>
      </x:c>
      <x:c r="C373" s="56" t="str">
        <x:v>history</x:v>
      </x:c>
      <x:c r="D373" s="56" t="n">
        <x:v>50</x:v>
      </x:c>
      <x:c r="E373" s="56" t="str">
        <x:v>history.dysuria</x:v>
      </x:c>
      <x:c r="F373" s="56" t="str">
        <x:v>dysuria</x:v>
      </x:c>
      <x:c r="G373" s="56" t="n">
        <x:v>4</x:v>
      </x:c>
      <x:c r="H373" s="56" t="str">
        <x:v>普通得分项</x:v>
      </x:c>
      <x:c r="I373" s="56" t="str">
        <x:v>否</x:v>
      </x:c>
      <x:c r="J373" s="56" t="str">
        <x:v>否</x:v>
      </x:c>
      <x:c r="K373" s="56" t="str">
        <x:v>否</x:v>
      </x:c>
      <x:c r="L373" s="56" t="str">
        <x:v>按结构化事件证据给予0/部分/满分；不能由总结反推已完成</x:v>
      </x:c>
      <x:c r="M373" s="56" t="str"/>
      <x:c r="N373" s="56" t="n">
        <x:f>SUMIFS($G$4:$G$1673,$A$4:$A$1673,A373)</x:f>
        <x:v>360</x:v>
      </x:c>
      <x:c r="O373" s="56" t="str">
        <x:f>IF(N373=360,"通过","失败")</x:f>
        <x:v>通过</x:v>
      </x:c>
      <x:c r="P373" s="56" t="str"/>
      <x:c r="Q373" s="59" t="str">
        <x:v>待确认</x:v>
      </x:c>
    </x:row>
    <x:row r="374">
      <x:c r="A374" s="56" t="str">
        <x:v>P010</x:v>
      </x:c>
      <x:c r="B374" s="56" t="str">
        <x:v>P010</x:v>
      </x:c>
      <x:c r="C374" s="56" t="str">
        <x:v>history</x:v>
      </x:c>
      <x:c r="D374" s="56" t="n">
        <x:v>50</x:v>
      </x:c>
      <x:c r="E374" s="56" t="str">
        <x:v>history.urinary_frequency</x:v>
      </x:c>
      <x:c r="F374" s="56" t="str">
        <x:v>urinary_frequency</x:v>
      </x:c>
      <x:c r="G374" s="56" t="n">
        <x:v>4</x:v>
      </x:c>
      <x:c r="H374" s="56" t="str">
        <x:v>普通得分项</x:v>
      </x:c>
      <x:c r="I374" s="56" t="str">
        <x:v>否</x:v>
      </x:c>
      <x:c r="J374" s="56" t="str">
        <x:v>否</x:v>
      </x:c>
      <x:c r="K374" s="56" t="str">
        <x:v>否</x:v>
      </x:c>
      <x:c r="L374" s="56" t="str">
        <x:v>按结构化事件证据给予0/部分/满分；不能由总结反推已完成</x:v>
      </x:c>
      <x:c r="M374" s="56" t="str"/>
      <x:c r="N374" s="56" t="n">
        <x:f>SUMIFS($G$4:$G$1673,$A$4:$A$1673,A374)</x:f>
        <x:v>360</x:v>
      </x:c>
      <x:c r="O374" s="56" t="str">
        <x:f>IF(N374=360,"通过","失败")</x:f>
        <x:v>通过</x:v>
      </x:c>
      <x:c r="P374" s="56" t="str"/>
      <x:c r="Q374" s="59" t="str">
        <x:v>待确认</x:v>
      </x:c>
    </x:row>
    <x:row r="375">
      <x:c r="A375" s="56" t="str">
        <x:v>P010</x:v>
      </x:c>
      <x:c r="B375" s="56" t="str">
        <x:v>P010</x:v>
      </x:c>
      <x:c r="C375" s="56" t="str">
        <x:v>history</x:v>
      </x:c>
      <x:c r="D375" s="56" t="n">
        <x:v>50</x:v>
      </x:c>
      <x:c r="E375" s="56" t="str">
        <x:v>history.urinary_urgency</x:v>
      </x:c>
      <x:c r="F375" s="56" t="str">
        <x:v>urinary_urgency</x:v>
      </x:c>
      <x:c r="G375" s="56" t="n">
        <x:v>4</x:v>
      </x:c>
      <x:c r="H375" s="56" t="str">
        <x:v>普通得分项</x:v>
      </x:c>
      <x:c r="I375" s="56" t="str">
        <x:v>否</x:v>
      </x:c>
      <x:c r="J375" s="56" t="str">
        <x:v>否</x:v>
      </x:c>
      <x:c r="K375" s="56" t="str">
        <x:v>否</x:v>
      </x:c>
      <x:c r="L375" s="56" t="str">
        <x:v>按结构化事件证据给予0/部分/满分；不能由总结反推已完成</x:v>
      </x:c>
      <x:c r="M375" s="56" t="str"/>
      <x:c r="N375" s="56" t="n">
        <x:f>SUMIFS($G$4:$G$1673,$A$4:$A$1673,A375)</x:f>
        <x:v>360</x:v>
      </x:c>
      <x:c r="O375" s="56" t="str">
        <x:f>IF(N375=360,"通过","失败")</x:f>
        <x:v>通过</x:v>
      </x:c>
      <x:c r="P375" s="56" t="str"/>
      <x:c r="Q375" s="59" t="str">
        <x:v>待确认</x:v>
      </x:c>
    </x:row>
    <x:row r="376">
      <x:c r="A376" s="56" t="str">
        <x:v>P010</x:v>
      </x:c>
      <x:c r="B376" s="56" t="str">
        <x:v>P010</x:v>
      </x:c>
      <x:c r="C376" s="56" t="str">
        <x:v>history</x:v>
      </x:c>
      <x:c r="D376" s="56" t="n">
        <x:v>50</x:v>
      </x:c>
      <x:c r="E376" s="56" t="str">
        <x:v>history.flank_pain</x:v>
      </x:c>
      <x:c r="F376" s="56" t="str">
        <x:v>flank_pain</x:v>
      </x:c>
      <x:c r="G376" s="56" t="n">
        <x:v>4</x:v>
      </x:c>
      <x:c r="H376" s="56" t="str">
        <x:v>普通得分项</x:v>
      </x:c>
      <x:c r="I376" s="56" t="str">
        <x:v>否</x:v>
      </x:c>
      <x:c r="J376" s="56" t="str">
        <x:v>否</x:v>
      </x:c>
      <x:c r="K376" s="56" t="str">
        <x:v>否</x:v>
      </x:c>
      <x:c r="L376" s="56" t="str">
        <x:v>按结构化事件证据给予0/部分/满分；不能由总结反推已完成</x:v>
      </x:c>
      <x:c r="M376" s="56" t="str"/>
      <x:c r="N376" s="56" t="n">
        <x:f>SUMIFS($G$4:$G$1673,$A$4:$A$1673,A376)</x:f>
        <x:v>360</x:v>
      </x:c>
      <x:c r="O376" s="56" t="str">
        <x:f>IF(N376=360,"通过","失败")</x:f>
        <x:v>通过</x:v>
      </x:c>
      <x:c r="P376" s="56" t="str"/>
      <x:c r="Q376" s="59" t="str">
        <x:v>待确认</x:v>
      </x:c>
    </x:row>
    <x:row r="377">
      <x:c r="A377" s="56" t="str">
        <x:v>P010</x:v>
      </x:c>
      <x:c r="B377" s="56" t="str">
        <x:v>P010</x:v>
      </x:c>
      <x:c r="C377" s="56" t="str">
        <x:v>history</x:v>
      </x:c>
      <x:c r="D377" s="56" t="n">
        <x:v>50</x:v>
      </x:c>
      <x:c r="E377" s="56" t="str">
        <x:v>history.fever_chills</x:v>
      </x:c>
      <x:c r="F377" s="56" t="str">
        <x:v>fever_chills</x:v>
      </x:c>
      <x:c r="G377" s="56" t="n">
        <x:v>4</x:v>
      </x:c>
      <x:c r="H377" s="56" t="str">
        <x:v>普通得分项</x:v>
      </x:c>
      <x:c r="I377" s="56" t="str">
        <x:v>否</x:v>
      </x:c>
      <x:c r="J377" s="56" t="str">
        <x:v>否</x:v>
      </x:c>
      <x:c r="K377" s="56" t="str">
        <x:v>否</x:v>
      </x:c>
      <x:c r="L377" s="56" t="str">
        <x:v>按结构化事件证据给予0/部分/满分；不能由总结反推已完成</x:v>
      </x:c>
      <x:c r="M377" s="56" t="str"/>
      <x:c r="N377" s="56" t="n">
        <x:f>SUMIFS($G$4:$G$1673,$A$4:$A$1673,A377)</x:f>
        <x:v>360</x:v>
      </x:c>
      <x:c r="O377" s="56" t="str">
        <x:f>IF(N377=360,"通过","失败")</x:f>
        <x:v>通过</x:v>
      </x:c>
      <x:c r="P377" s="56" t="str"/>
      <x:c r="Q377" s="59" t="str">
        <x:v>待确认</x:v>
      </x:c>
    </x:row>
    <x:row r="378">
      <x:c r="A378" s="56" t="str">
        <x:v>P010</x:v>
      </x:c>
      <x:c r="B378" s="56" t="str">
        <x:v>P010</x:v>
      </x:c>
      <x:c r="C378" s="56" t="str">
        <x:v>risk</x:v>
      </x:c>
      <x:c r="D378" s="56" t="n">
        <x:v>40</x:v>
      </x:c>
      <x:c r="E378" s="56" t="str">
        <x:v>risk.stone_history</x:v>
      </x:c>
      <x:c r="F378" s="56" t="str">
        <x:v>stone_history</x:v>
      </x:c>
      <x:c r="G378" s="56" t="n">
        <x:v>10</x:v>
      </x:c>
      <x:c r="H378" s="56" t="str">
        <x:v>普通得分项</x:v>
      </x:c>
      <x:c r="I378" s="56" t="str">
        <x:v>否</x:v>
      </x:c>
      <x:c r="J378" s="56" t="str">
        <x:v>否</x:v>
      </x:c>
      <x:c r="K378" s="56" t="str">
        <x:v>否</x:v>
      </x:c>
      <x:c r="L378" s="56" t="str">
        <x:v>按结构化事件证据给予0/部分/满分；不能由总结反推已完成</x:v>
      </x:c>
      <x:c r="M378" s="56" t="str"/>
      <x:c r="N378" s="56" t="n">
        <x:f>SUMIFS($G$4:$G$1673,$A$4:$A$1673,A378)</x:f>
        <x:v>360</x:v>
      </x:c>
      <x:c r="O378" s="56" t="str">
        <x:f>IF(N378=360,"通过","失败")</x:f>
        <x:v>通过</x:v>
      </x:c>
      <x:c r="P378" s="56" t="str"/>
      <x:c r="Q378" s="59" t="str">
        <x:v>待确认</x:v>
      </x:c>
    </x:row>
    <x:row r="379">
      <x:c r="A379" s="56" t="str">
        <x:v>P010</x:v>
      </x:c>
      <x:c r="B379" s="56" t="str">
        <x:v>P010</x:v>
      </x:c>
      <x:c r="C379" s="56" t="str">
        <x:v>risk</x:v>
      </x:c>
      <x:c r="D379" s="56" t="n">
        <x:v>40</x:v>
      </x:c>
      <x:c r="E379" s="56" t="str">
        <x:v>risk.triggers</x:v>
      </x:c>
      <x:c r="F379" s="56" t="str">
        <x:v>triggers</x:v>
      </x:c>
      <x:c r="G379" s="56" t="n">
        <x:v>10</x:v>
      </x:c>
      <x:c r="H379" s="56" t="str">
        <x:v>普通得分项</x:v>
      </x:c>
      <x:c r="I379" s="56" t="str">
        <x:v>否</x:v>
      </x:c>
      <x:c r="J379" s="56" t="str">
        <x:v>否</x:v>
      </x:c>
      <x:c r="K379" s="56" t="str">
        <x:v>否</x:v>
      </x:c>
      <x:c r="L379" s="56" t="str">
        <x:v>按结构化事件证据给予0/部分/满分；不能由总结反推已完成</x:v>
      </x:c>
      <x:c r="M379" s="56" t="str"/>
      <x:c r="N379" s="56" t="n">
        <x:f>SUMIFS($G$4:$G$1673,$A$4:$A$1673,A379)</x:f>
        <x:v>360</x:v>
      </x:c>
      <x:c r="O379" s="56" t="str">
        <x:f>IF(N379=360,"通过","失败")</x:f>
        <x:v>通过</x:v>
      </x:c>
      <x:c r="P379" s="56" t="str"/>
      <x:c r="Q379" s="59" t="str">
        <x:v>待确认</x:v>
      </x:c>
    </x:row>
    <x:row r="380">
      <x:c r="A380" s="56" t="str">
        <x:v>P010</x:v>
      </x:c>
      <x:c r="B380" s="56" t="str">
        <x:v>P010</x:v>
      </x:c>
      <x:c r="C380" s="56" t="str">
        <x:v>risk</x:v>
      </x:c>
      <x:c r="D380" s="56" t="n">
        <x:v>40</x:v>
      </x:c>
      <x:c r="E380" s="56" t="str">
        <x:v>risk.uti_history</x:v>
      </x:c>
      <x:c r="F380" s="56" t="str">
        <x:v>uti_history</x:v>
      </x:c>
      <x:c r="G380" s="56" t="n">
        <x:v>10</x:v>
      </x:c>
      <x:c r="H380" s="56" t="str">
        <x:v>普通得分项</x:v>
      </x:c>
      <x:c r="I380" s="56" t="str">
        <x:v>否</x:v>
      </x:c>
      <x:c r="J380" s="56" t="str">
        <x:v>否</x:v>
      </x:c>
      <x:c r="K380" s="56" t="str">
        <x:v>否</x:v>
      </x:c>
      <x:c r="L380" s="56" t="str">
        <x:v>按结构化事件证据给予0/部分/满分；不能由总结反推已完成</x:v>
      </x:c>
      <x:c r="M380" s="56" t="str"/>
      <x:c r="N380" s="56" t="n">
        <x:f>SUMIFS($G$4:$G$1673,$A$4:$A$1673,A380)</x:f>
        <x:v>360</x:v>
      </x:c>
      <x:c r="O380" s="56" t="str">
        <x:f>IF(N380=360,"通过","失败")</x:f>
        <x:v>通过</x:v>
      </x:c>
      <x:c r="P380" s="56" t="str"/>
      <x:c r="Q380" s="59" t="str">
        <x:v>待确认</x:v>
      </x:c>
    </x:row>
    <x:row r="381">
      <x:c r="A381" s="56" t="str">
        <x:v>P010</x:v>
      </x:c>
      <x:c r="B381" s="56" t="str">
        <x:v>P010</x:v>
      </x:c>
      <x:c r="C381" s="56" t="str">
        <x:v>risk</x:v>
      </x:c>
      <x:c r="D381" s="56" t="n">
        <x:v>40</x:v>
      </x:c>
      <x:c r="E381" s="56" t="str">
        <x:v>risk.retention</x:v>
      </x:c>
      <x:c r="F381" s="56" t="str">
        <x:v>retention</x:v>
      </x:c>
      <x:c r="G381" s="56" t="n">
        <x:v>10</x:v>
      </x:c>
      <x:c r="H381" s="56" t="str">
        <x:v>普通得分项</x:v>
      </x:c>
      <x:c r="I381" s="56" t="str">
        <x:v>否</x:v>
      </x:c>
      <x:c r="J381" s="56" t="str">
        <x:v>否</x:v>
      </x:c>
      <x:c r="K381" s="56" t="str">
        <x:v>否</x:v>
      </x:c>
      <x:c r="L381" s="56" t="str">
        <x:v>按结构化事件证据给予0/部分/满分；不能由总结反推已完成</x:v>
      </x:c>
      <x:c r="M381" s="56" t="str"/>
      <x:c r="N381" s="56" t="n">
        <x:f>SUMIFS($G$4:$G$1673,$A$4:$A$1673,A381)</x:f>
        <x:v>360</x:v>
      </x:c>
      <x:c r="O381" s="56" t="str">
        <x:f>IF(N381=360,"通过","失败")</x:f>
        <x:v>通过</x:v>
      </x:c>
      <x:c r="P381" s="56" t="str"/>
      <x:c r="Q381" s="59" t="str">
        <x:v>待确认</x:v>
      </x:c>
    </x:row>
    <x:row r="382">
      <x:c r="A382" s="56" t="str">
        <x:v>P010</x:v>
      </x:c>
      <x:c r="B382" s="56" t="str">
        <x:v>P010</x:v>
      </x:c>
      <x:c r="C382" s="56" t="str">
        <x:v>exam</x:v>
      </x:c>
      <x:c r="D382" s="56" t="n">
        <x:v>35</x:v>
      </x:c>
      <x:c r="E382" s="56" t="str">
        <x:v>exam.temperature</x:v>
      </x:c>
      <x:c r="F382" s="56" t="str">
        <x:v>体温</x:v>
      </x:c>
      <x:c r="G382" s="56" t="n">
        <x:v>12</x:v>
      </x:c>
      <x:c r="H382" s="56" t="str">
        <x:v>普通得分项</x:v>
      </x:c>
      <x:c r="I382" s="56" t="str">
        <x:v>否</x:v>
      </x:c>
      <x:c r="J382" s="56" t="str">
        <x:v>否</x:v>
      </x:c>
      <x:c r="K382" s="56" t="str">
        <x:v>否</x:v>
      </x:c>
      <x:c r="L382" s="56" t="str">
        <x:v>按结构化事件证据给予0/部分/满分；不能由总结反推已完成</x:v>
      </x:c>
      <x:c r="M382" s="56" t="str"/>
      <x:c r="N382" s="56" t="n">
        <x:f>SUMIFS($G$4:$G$1673,$A$4:$A$1673,A382)</x:f>
        <x:v>360</x:v>
      </x:c>
      <x:c r="O382" s="56" t="str">
        <x:f>IF(N382=360,"通过","失败")</x:f>
        <x:v>通过</x:v>
      </x:c>
      <x:c r="P382" s="56" t="str"/>
      <x:c r="Q382" s="59" t="str">
        <x:v>待确认</x:v>
      </x:c>
    </x:row>
    <x:row r="383">
      <x:c r="A383" s="56" t="str">
        <x:v>P010</x:v>
      </x:c>
      <x:c r="B383" s="56" t="str">
        <x:v>P010</x:v>
      </x:c>
      <x:c r="C383" s="56" t="str">
        <x:v>exam</x:v>
      </x:c>
      <x:c r="D383" s="56" t="n">
        <x:v>35</x:v>
      </x:c>
      <x:c r="E383" s="56" t="str">
        <x:v>exam.blood_pressure</x:v>
      </x:c>
      <x:c r="F383" s="56" t="str">
        <x:v>血压</x:v>
      </x:c>
      <x:c r="G383" s="56" t="n">
        <x:v>12</x:v>
      </x:c>
      <x:c r="H383" s="56" t="str">
        <x:v>普通得分项</x:v>
      </x:c>
      <x:c r="I383" s="56" t="str">
        <x:v>否</x:v>
      </x:c>
      <x:c r="J383" s="56" t="str">
        <x:v>否</x:v>
      </x:c>
      <x:c r="K383" s="56" t="str">
        <x:v>否</x:v>
      </x:c>
      <x:c r="L383" s="56" t="str">
        <x:v>按结构化事件证据给予0/部分/满分；不能由总结反推已完成</x:v>
      </x:c>
      <x:c r="M383" s="56" t="str"/>
      <x:c r="N383" s="56" t="n">
        <x:f>SUMIFS($G$4:$G$1673,$A$4:$A$1673,A383)</x:f>
        <x:v>360</x:v>
      </x:c>
      <x:c r="O383" s="56" t="str">
        <x:f>IF(N383=360,"通过","失败")</x:f>
        <x:v>通过</x:v>
      </x:c>
      <x:c r="P383" s="56" t="str"/>
      <x:c r="Q383" s="59" t="str">
        <x:v>待确认</x:v>
      </x:c>
    </x:row>
    <x:row r="384">
      <x:c r="A384" s="56" t="str">
        <x:v>P010</x:v>
      </x:c>
      <x:c r="B384" s="56" t="str">
        <x:v>P010</x:v>
      </x:c>
      <x:c r="C384" s="56" t="str">
        <x:v>exam</x:v>
      </x:c>
      <x:c r="D384" s="56" t="n">
        <x:v>35</x:v>
      </x:c>
      <x:c r="E384" s="56" t="str">
        <x:v>exam.targeted</x:v>
      </x:c>
      <x:c r="F384" s="56" t="str">
        <x:v>病例针对性查体</x:v>
      </x:c>
      <x:c r="G384" s="56" t="n">
        <x:v>11</x:v>
      </x:c>
      <x:c r="H384" s="56" t="str">
        <x:v>普通得分项</x:v>
      </x:c>
      <x:c r="I384" s="56" t="str">
        <x:v>否</x:v>
      </x:c>
      <x:c r="J384" s="56" t="str">
        <x:v>否</x:v>
      </x:c>
      <x:c r="K384" s="56" t="str">
        <x:v>否</x:v>
      </x:c>
      <x:c r="L384" s="56" t="str">
        <x:v>按结构化事件证据给予0/部分/满分；不能由总结反推已完成</x:v>
      </x:c>
      <x:c r="M384" s="56" t="str"/>
      <x:c r="N384" s="56" t="n">
        <x:f>SUMIFS($G$4:$G$1673,$A$4:$A$1673,A384)</x:f>
        <x:v>360</x:v>
      </x:c>
      <x:c r="O384" s="56" t="str">
        <x:f>IF(N384=360,"通过","失败")</x:f>
        <x:v>通过</x:v>
      </x:c>
      <x:c r="P384" s="56" t="str"/>
      <x:c r="Q384" s="59" t="str">
        <x:v>待确认</x:v>
      </x:c>
    </x:row>
    <x:row r="385">
      <x:c r="A385" s="56" t="str">
        <x:v>P010</x:v>
      </x:c>
      <x:c r="B385" s="56" t="str">
        <x:v>P010</x:v>
      </x:c>
      <x:c r="C385" s="56" t="str">
        <x:v>diagnosis</x:v>
      </x:c>
      <x:c r="D385" s="56" t="n">
        <x:v>45</x:v>
      </x:c>
      <x:c r="E385" s="56" t="str">
        <x:v>diagnosis.primary</x:v>
      </x:c>
      <x:c r="F385" s="56" t="str">
        <x:v>最可能诊断及依据</x:v>
      </x:c>
      <x:c r="G385" s="56" t="n">
        <x:v>15</x:v>
      </x:c>
      <x:c r="H385" s="56" t="str">
        <x:v>普通得分项</x:v>
      </x:c>
      <x:c r="I385" s="56" t="str">
        <x:v>否</x:v>
      </x:c>
      <x:c r="J385" s="56" t="str">
        <x:v>否</x:v>
      </x:c>
      <x:c r="K385" s="56" t="str">
        <x:v>否</x:v>
      </x:c>
      <x:c r="L385" s="56" t="str">
        <x:v>按结构化事件证据给予0/部分/满分；不能由总结反推已完成</x:v>
      </x:c>
      <x:c r="M385" s="56" t="str"/>
      <x:c r="N385" s="56" t="n">
        <x:f>SUMIFS($G$4:$G$1673,$A$4:$A$1673,A385)</x:f>
        <x:v>360</x:v>
      </x:c>
      <x:c r="O385" s="56" t="str">
        <x:f>IF(N385=360,"通过","失败")</x:f>
        <x:v>通过</x:v>
      </x:c>
      <x:c r="P385" s="56" t="str"/>
      <x:c r="Q385" s="59" t="str">
        <x:v>待确认</x:v>
      </x:c>
    </x:row>
    <x:row r="386">
      <x:c r="A386" s="56" t="str">
        <x:v>P010</x:v>
      </x:c>
      <x:c r="B386" s="56" t="str">
        <x:v>P010</x:v>
      </x:c>
      <x:c r="C386" s="56" t="str">
        <x:v>diagnosis</x:v>
      </x:c>
      <x:c r="D386" s="56" t="n">
        <x:v>45</x:v>
      </x:c>
      <x:c r="E386" s="56" t="str">
        <x:v>diagnosis.differentials</x:v>
      </x:c>
      <x:c r="F386" s="56" t="str">
        <x:v>至少3项鉴别及支持/反对点</x:v>
      </x:c>
      <x:c r="G386" s="56" t="n">
        <x:v>15</x:v>
      </x:c>
      <x:c r="H386" s="56" t="str">
        <x:v>普通得分项</x:v>
      </x:c>
      <x:c r="I386" s="56" t="str">
        <x:v>否</x:v>
      </x:c>
      <x:c r="J386" s="56" t="str">
        <x:v>否</x:v>
      </x:c>
      <x:c r="K386" s="56" t="str">
        <x:v>否</x:v>
      </x:c>
      <x:c r="L386" s="56" t="str">
        <x:v>按结构化事件证据给予0/部分/满分；不能由总结反推已完成</x:v>
      </x:c>
      <x:c r="M386" s="56" t="str"/>
      <x:c r="N386" s="56" t="n">
        <x:f>SUMIFS($G$4:$G$1673,$A$4:$A$1673,A386)</x:f>
        <x:v>360</x:v>
      </x:c>
      <x:c r="O386" s="56" t="str">
        <x:f>IF(N386=360,"通过","失败")</x:f>
        <x:v>通过</x:v>
      </x:c>
      <x:c r="P386" s="56" t="str"/>
      <x:c r="Q386" s="59" t="str">
        <x:v>待确认</x:v>
      </x:c>
    </x:row>
    <x:row r="387">
      <x:c r="A387" s="56" t="str">
        <x:v>P010</x:v>
      </x:c>
      <x:c r="B387" s="56" t="str">
        <x:v>P010</x:v>
      </x:c>
      <x:c r="C387" s="56" t="str">
        <x:v>diagnosis</x:v>
      </x:c>
      <x:c r="D387" s="56" t="n">
        <x:v>45</x:v>
      </x:c>
      <x:c r="E387" s="56" t="str">
        <x:v>diagnosis.confirmation</x:v>
      </x:c>
      <x:c r="F387" s="56" t="str">
        <x:v>确认计划</x:v>
      </x:c>
      <x:c r="G387" s="56" t="n">
        <x:v>15</x:v>
      </x:c>
      <x:c r="H387" s="56" t="str">
        <x:v>普通得分项</x:v>
      </x:c>
      <x:c r="I387" s="56" t="str">
        <x:v>否</x:v>
      </x:c>
      <x:c r="J387" s="56" t="str">
        <x:v>否</x:v>
      </x:c>
      <x:c r="K387" s="56" t="str">
        <x:v>否</x:v>
      </x:c>
      <x:c r="L387" s="56" t="str">
        <x:v>按结构化事件证据给予0/部分/满分；不能由总结反推已完成</x:v>
      </x:c>
      <x:c r="M387" s="56" t="str"/>
      <x:c r="N387" s="56" t="n">
        <x:f>SUMIFS($G$4:$G$1673,$A$4:$A$1673,A387)</x:f>
        <x:v>360</x:v>
      </x:c>
      <x:c r="O387" s="56" t="str">
        <x:f>IF(N387=360,"通过","失败")</x:f>
        <x:v>通过</x:v>
      </x:c>
      <x:c r="P387" s="56" t="str"/>
      <x:c r="Q387" s="59" t="str">
        <x:v>待确认</x:v>
      </x:c>
    </x:row>
    <x:row r="388">
      <x:c r="A388" s="56" t="str">
        <x:v>P010</x:v>
      </x:c>
      <x:c r="B388" s="56" t="str">
        <x:v>P010</x:v>
      </x:c>
      <x:c r="C388" s="56" t="str">
        <x:v>orders</x:v>
      </x:c>
      <x:c r="D388" s="56" t="n">
        <x:v>55</x:v>
      </x:c>
      <x:c r="E388" s="56" t="str">
        <x:v>orders.LAB-UR-001</x:v>
      </x:c>
      <x:c r="F388" s="56" t="str">
        <x:v>LAB-UR-001</x:v>
      </x:c>
      <x:c r="G388" s="56" t="n">
        <x:v>11</x:v>
      </x:c>
      <x:c r="H388" s="56" t="str">
        <x:v>病例特异得分项</x:v>
      </x:c>
      <x:c r="I388" s="56" t="str">
        <x:v>否</x:v>
      </x:c>
      <x:c r="J388" s="56" t="str">
        <x:v>否</x:v>
      </x:c>
      <x:c r="K388" s="56" t="str">
        <x:v>否</x:v>
      </x:c>
      <x:c r="L388" s="56" t="str">
        <x:v>按结构化事件证据给予0/部分/满分；不能由总结反推已完成</x:v>
      </x:c>
      <x:c r="M388" s="56" t="str"/>
      <x:c r="N388" s="56" t="n">
        <x:f>SUMIFS($G$4:$G$1673,$A$4:$A$1673,A388)</x:f>
        <x:v>360</x:v>
      </x:c>
      <x:c r="O388" s="56" t="str">
        <x:f>IF(N388=360,"通过","失败")</x:f>
        <x:v>通过</x:v>
      </x:c>
      <x:c r="P388" s="56" t="str"/>
      <x:c r="Q388" s="59" t="str">
        <x:v>待确认</x:v>
      </x:c>
    </x:row>
    <x:row r="389">
      <x:c r="A389" s="56" t="str">
        <x:v>P010</x:v>
      </x:c>
      <x:c r="B389" s="56" t="str">
        <x:v>P010</x:v>
      </x:c>
      <x:c r="C389" s="56" t="str">
        <x:v>orders</x:v>
      </x:c>
      <x:c r="D389" s="56" t="n">
        <x:v>55</x:v>
      </x:c>
      <x:c r="E389" s="56" t="str">
        <x:v>orders.LAB-UR-002</x:v>
      </x:c>
      <x:c r="F389" s="56" t="str">
        <x:v>LAB-UR-002</x:v>
      </x:c>
      <x:c r="G389" s="56" t="n">
        <x:v>11</x:v>
      </x:c>
      <x:c r="H389" s="56" t="str">
        <x:v>病例特异得分项</x:v>
      </x:c>
      <x:c r="I389" s="56" t="str">
        <x:v>否</x:v>
      </x:c>
      <x:c r="J389" s="56" t="str">
        <x:v>否</x:v>
      </x:c>
      <x:c r="K389" s="56" t="str">
        <x:v>否</x:v>
      </x:c>
      <x:c r="L389" s="56" t="str">
        <x:v>按结构化事件证据给予0/部分/满分；不能由总结反推已完成</x:v>
      </x:c>
      <x:c r="M389" s="56" t="str"/>
      <x:c r="N389" s="56" t="n">
        <x:f>SUMIFS($G$4:$G$1673,$A$4:$A$1673,A389)</x:f>
        <x:v>360</x:v>
      </x:c>
      <x:c r="O389" s="56" t="str">
        <x:f>IF(N389=360,"通过","失败")</x:f>
        <x:v>通过</x:v>
      </x:c>
      <x:c r="P389" s="56" t="str"/>
      <x:c r="Q389" s="59" t="str">
        <x:v>待确认</x:v>
      </x:c>
    </x:row>
    <x:row r="390">
      <x:c r="A390" s="56" t="str">
        <x:v>P010</x:v>
      </x:c>
      <x:c r="B390" s="56" t="str">
        <x:v>P010</x:v>
      </x:c>
      <x:c r="C390" s="56" t="str">
        <x:v>orders</x:v>
      </x:c>
      <x:c r="D390" s="56" t="n">
        <x:v>55</x:v>
      </x:c>
      <x:c r="E390" s="56" t="str">
        <x:v>orders.LAB-BL-003</x:v>
      </x:c>
      <x:c r="F390" s="56" t="str">
        <x:v>LAB-BL-003</x:v>
      </x:c>
      <x:c r="G390" s="56" t="n">
        <x:v>11</x:v>
      </x:c>
      <x:c r="H390" s="56" t="str">
        <x:v>病例特异得分项</x:v>
      </x:c>
      <x:c r="I390" s="56" t="str">
        <x:v>否</x:v>
      </x:c>
      <x:c r="J390" s="56" t="str">
        <x:v>否</x:v>
      </x:c>
      <x:c r="K390" s="56" t="str">
        <x:v>否</x:v>
      </x:c>
      <x:c r="L390" s="56" t="str">
        <x:v>按结构化事件证据给予0/部分/满分；不能由总结反推已完成</x:v>
      </x:c>
      <x:c r="M390" s="56" t="str"/>
      <x:c r="N390" s="56" t="n">
        <x:f>SUMIFS($G$4:$G$1673,$A$4:$A$1673,A390)</x:f>
        <x:v>360</x:v>
      </x:c>
      <x:c r="O390" s="56" t="str">
        <x:f>IF(N390=360,"通过","失败")</x:f>
        <x:v>通过</x:v>
      </x:c>
      <x:c r="P390" s="56" t="str"/>
      <x:c r="Q390" s="59" t="str">
        <x:v>待确认</x:v>
      </x:c>
    </x:row>
    <x:row r="391">
      <x:c r="A391" s="56" t="str">
        <x:v>P010</x:v>
      </x:c>
      <x:c r="B391" s="56" t="str">
        <x:v>P010</x:v>
      </x:c>
      <x:c r="C391" s="56" t="str">
        <x:v>orders</x:v>
      </x:c>
      <x:c r="D391" s="56" t="n">
        <x:v>55</x:v>
      </x:c>
      <x:c r="E391" s="56" t="str">
        <x:v>orders.IMG-CT-001</x:v>
      </x:c>
      <x:c r="F391" s="56" t="str">
        <x:v>IMG-CT-001</x:v>
      </x:c>
      <x:c r="G391" s="56" t="n">
        <x:v>11</x:v>
      </x:c>
      <x:c r="H391" s="56" t="str">
        <x:v>病例特异得分项</x:v>
      </x:c>
      <x:c r="I391" s="56" t="str">
        <x:v>否</x:v>
      </x:c>
      <x:c r="J391" s="56" t="str">
        <x:v>否</x:v>
      </x:c>
      <x:c r="K391" s="56" t="str">
        <x:v>否</x:v>
      </x:c>
      <x:c r="L391" s="56" t="str">
        <x:v>按结构化事件证据给予0/部分/满分；不能由总结反推已完成</x:v>
      </x:c>
      <x:c r="M391" s="56" t="str"/>
      <x:c r="N391" s="56" t="n">
        <x:f>SUMIFS($G$4:$G$1673,$A$4:$A$1673,A391)</x:f>
        <x:v>360</x:v>
      </x:c>
      <x:c r="O391" s="56" t="str">
        <x:f>IF(N391=360,"通过","失败")</x:f>
        <x:v>通过</x:v>
      </x:c>
      <x:c r="P391" s="56" t="str"/>
      <x:c r="Q391" s="59" t="str">
        <x:v>待确认</x:v>
      </x:c>
    </x:row>
    <x:row r="392">
      <x:c r="A392" s="56" t="str">
        <x:v>P010</x:v>
      </x:c>
      <x:c r="B392" s="56" t="str">
        <x:v>P010</x:v>
      </x:c>
      <x:c r="C392" s="56" t="str">
        <x:v>orders</x:v>
      </x:c>
      <x:c r="D392" s="56" t="n">
        <x:v>55</x:v>
      </x:c>
      <x:c r="E392" s="56" t="str">
        <x:v>orders.IMG-US-001</x:v>
      </x:c>
      <x:c r="F392" s="56" t="str">
        <x:v>IMG-US-001</x:v>
      </x:c>
      <x:c r="G392" s="56" t="n">
        <x:v>11</x:v>
      </x:c>
      <x:c r="H392" s="56" t="str">
        <x:v>病例特异得分项</x:v>
      </x:c>
      <x:c r="I392" s="56" t="str">
        <x:v>否</x:v>
      </x:c>
      <x:c r="J392" s="56" t="str">
        <x:v>否</x:v>
      </x:c>
      <x:c r="K392" s="56" t="str">
        <x:v>否</x:v>
      </x:c>
      <x:c r="L392" s="56" t="str">
        <x:v>按结构化事件证据给予0/部分/满分；不能由总结反推已完成</x:v>
      </x:c>
      <x:c r="M392" s="56" t="str"/>
      <x:c r="N392" s="56" t="n">
        <x:f>SUMIFS($G$4:$G$1673,$A$4:$A$1673,A392)</x:f>
        <x:v>360</x:v>
      </x:c>
      <x:c r="O392" s="56" t="str">
        <x:f>IF(N392=360,"通过","失败")</x:f>
        <x:v>通过</x:v>
      </x:c>
      <x:c r="P392" s="56" t="str"/>
      <x:c r="Q392" s="59" t="str">
        <x:v>待确认</x:v>
      </x:c>
    </x:row>
    <x:row r="393">
      <x:c r="A393" s="56" t="str">
        <x:v>P010</x:v>
      </x:c>
      <x:c r="B393" s="56" t="str">
        <x:v>P010</x:v>
      </x:c>
      <x:c r="C393" s="56" t="str">
        <x:v>mdt</x:v>
      </x:c>
      <x:c r="D393" s="56" t="n">
        <x:v>45</x:v>
      </x:c>
      <x:c r="E393" s="56" t="str">
        <x:v>mdt.department</x:v>
      </x:c>
      <x:c r="F393" s="56" t="str">
        <x:v>department</x:v>
      </x:c>
      <x:c r="G393" s="56" t="n">
        <x:v>12</x:v>
      </x:c>
      <x:c r="H393" s="56" t="str">
        <x:v>病例特异得分项</x:v>
      </x:c>
      <x:c r="I393" s="56" t="str">
        <x:v>否</x:v>
      </x:c>
      <x:c r="J393" s="56" t="str">
        <x:v>否</x:v>
      </x:c>
      <x:c r="K393" s="56" t="str">
        <x:v>否</x:v>
      </x:c>
      <x:c r="L393" s="56" t="str">
        <x:v>按结构化事件证据给予0/部分/满分；不能由总结反推已完成</x:v>
      </x:c>
      <x:c r="M393" s="56" t="str"/>
      <x:c r="N393" s="56" t="n">
        <x:f>SUMIFS($G$4:$G$1673,$A$4:$A$1673,A393)</x:f>
        <x:v>360</x:v>
      </x:c>
      <x:c r="O393" s="56" t="str">
        <x:f>IF(N393=360,"通过","失败")</x:f>
        <x:v>通过</x:v>
      </x:c>
      <x:c r="P393" s="56" t="str"/>
      <x:c r="Q393" s="59" t="str">
        <x:v>待确认</x:v>
      </x:c>
    </x:row>
    <x:row r="394">
      <x:c r="A394" s="56" t="str">
        <x:v>P010</x:v>
      </x:c>
      <x:c r="B394" s="56" t="str">
        <x:v>P010</x:v>
      </x:c>
      <x:c r="C394" s="56" t="str">
        <x:v>mdt</x:v>
      </x:c>
      <x:c r="D394" s="56" t="n">
        <x:v>45</x:v>
      </x:c>
      <x:c r="E394" s="56" t="str">
        <x:v>mdt.trigger</x:v>
      </x:c>
      <x:c r="F394" s="56" t="str">
        <x:v>trigger</x:v>
      </x:c>
      <x:c r="G394" s="56" t="n">
        <x:v>11</x:v>
      </x:c>
      <x:c r="H394" s="56" t="str">
        <x:v>病例特异得分项</x:v>
      </x:c>
      <x:c r="I394" s="56" t="str">
        <x:v>否</x:v>
      </x:c>
      <x:c r="J394" s="56" t="str">
        <x:v>否</x:v>
      </x:c>
      <x:c r="K394" s="56" t="str">
        <x:v>否</x:v>
      </x:c>
      <x:c r="L394" s="56" t="str">
        <x:v>按结构化事件证据给予0/部分/满分；不能由总结反推已完成</x:v>
      </x:c>
      <x:c r="M394" s="56" t="str"/>
      <x:c r="N394" s="56" t="n">
        <x:f>SUMIFS($G$4:$G$1673,$A$4:$A$1673,A394)</x:f>
        <x:v>360</x:v>
      </x:c>
      <x:c r="O394" s="56" t="str">
        <x:f>IF(N394=360,"通过","失败")</x:f>
        <x:v>通过</x:v>
      </x:c>
      <x:c r="P394" s="56" t="str"/>
      <x:c r="Q394" s="59" t="str">
        <x:v>待确认</x:v>
      </x:c>
    </x:row>
    <x:row r="395">
      <x:c r="A395" s="56" t="str">
        <x:v>P010</x:v>
      </x:c>
      <x:c r="B395" s="56" t="str">
        <x:v>P010</x:v>
      </x:c>
      <x:c r="C395" s="56" t="str">
        <x:v>mdt</x:v>
      </x:c>
      <x:c r="D395" s="56" t="n">
        <x:v>45</x:v>
      </x:c>
      <x:c r="E395" s="56" t="str">
        <x:v>mdt.question</x:v>
      </x:c>
      <x:c r="F395" s="56" t="str">
        <x:v>question</x:v>
      </x:c>
      <x:c r="G395" s="56" t="n">
        <x:v>11</x:v>
      </x:c>
      <x:c r="H395" s="56" t="str">
        <x:v>病例特异得分项</x:v>
      </x:c>
      <x:c r="I395" s="56" t="str">
        <x:v>否</x:v>
      </x:c>
      <x:c r="J395" s="56" t="str">
        <x:v>否</x:v>
      </x:c>
      <x:c r="K395" s="56" t="str">
        <x:v>否</x:v>
      </x:c>
      <x:c r="L395" s="56" t="str">
        <x:v>按结构化事件证据给予0/部分/满分；不能由总结反推已完成</x:v>
      </x:c>
      <x:c r="M395" s="56" t="str"/>
      <x:c r="N395" s="56" t="n">
        <x:f>SUMIFS($G$4:$G$1673,$A$4:$A$1673,A395)</x:f>
        <x:v>360</x:v>
      </x:c>
      <x:c r="O395" s="56" t="str">
        <x:f>IF(N395=360,"通过","失败")</x:f>
        <x:v>通过</x:v>
      </x:c>
      <x:c r="P395" s="56" t="str"/>
      <x:c r="Q395" s="59" t="str">
        <x:v>待确认</x:v>
      </x:c>
    </x:row>
    <x:row r="396">
      <x:c r="A396" s="56" t="str">
        <x:v>P010</x:v>
      </x:c>
      <x:c r="B396" s="56" t="str">
        <x:v>P010</x:v>
      </x:c>
      <x:c r="C396" s="56" t="str">
        <x:v>mdt</x:v>
      </x:c>
      <x:c r="D396" s="56" t="n">
        <x:v>45</x:v>
      </x:c>
      <x:c r="E396" s="56" t="str">
        <x:v>mdt.evidence</x:v>
      </x:c>
      <x:c r="F396" s="56" t="str">
        <x:v>evidence</x:v>
      </x:c>
      <x:c r="G396" s="56" t="n">
        <x:v>11</x:v>
      </x:c>
      <x:c r="H396" s="56" t="str">
        <x:v>病例特异得分项</x:v>
      </x:c>
      <x:c r="I396" s="56" t="str">
        <x:v>否</x:v>
      </x:c>
      <x:c r="J396" s="56" t="str">
        <x:v>否</x:v>
      </x:c>
      <x:c r="K396" s="56" t="str">
        <x:v>否</x:v>
      </x:c>
      <x:c r="L396" s="56" t="str">
        <x:v>按结构化事件证据给予0/部分/满分；不能由总结反推已完成</x:v>
      </x:c>
      <x:c r="M396" s="56" t="str"/>
      <x:c r="N396" s="56" t="n">
        <x:f>SUMIFS($G$4:$G$1673,$A$4:$A$1673,A396)</x:f>
        <x:v>360</x:v>
      </x:c>
      <x:c r="O396" s="56" t="str">
        <x:f>IF(N396=360,"通过","失败")</x:f>
        <x:v>通过</x:v>
      </x:c>
      <x:c r="P396" s="56" t="str"/>
      <x:c r="Q396" s="59" t="str">
        <x:v>待确认</x:v>
      </x:c>
    </x:row>
    <x:row r="397">
      <x:c r="A397" s="56" t="str">
        <x:v>P010</x:v>
      </x:c>
      <x:c r="B397" s="56" t="str">
        <x:v>P010</x:v>
      </x:c>
      <x:c r="C397" s="56" t="str">
        <x:v>treatment</x:v>
      </x:c>
      <x:c r="D397" s="56" t="n">
        <x:v>50</x:v>
      </x:c>
      <x:c r="E397" s="56" t="str">
        <x:v>treatment.immediate</x:v>
      </x:c>
      <x:c r="F397" s="56" t="str">
        <x:v>immediate</x:v>
      </x:c>
      <x:c r="G397" s="56" t="n">
        <x:v>13</x:v>
      </x:c>
      <x:c r="H397" s="56" t="str">
        <x:v>病例特异得分项</x:v>
      </x:c>
      <x:c r="I397" s="56" t="str">
        <x:v>否</x:v>
      </x:c>
      <x:c r="J397" s="56" t="str">
        <x:v>否</x:v>
      </x:c>
      <x:c r="K397" s="56" t="str">
        <x:v>否</x:v>
      </x:c>
      <x:c r="L397" s="56" t="str">
        <x:v>按结构化事件证据给予0/部分/满分；不能由总结反推已完成</x:v>
      </x:c>
      <x:c r="M397" s="56" t="str"/>
      <x:c r="N397" s="56" t="n">
        <x:f>SUMIFS($G$4:$G$1673,$A$4:$A$1673,A397)</x:f>
        <x:v>360</x:v>
      </x:c>
      <x:c r="O397" s="56" t="str">
        <x:f>IF(N397=360,"通过","失败")</x:f>
        <x:v>通过</x:v>
      </x:c>
      <x:c r="P397" s="56" t="str"/>
      <x:c r="Q397" s="59" t="str">
        <x:v>待确认</x:v>
      </x:c>
    </x:row>
    <x:row r="398">
      <x:c r="A398" s="56" t="str">
        <x:v>P010</x:v>
      </x:c>
      <x:c r="B398" s="56" t="str">
        <x:v>P010</x:v>
      </x:c>
      <x:c r="C398" s="56" t="str">
        <x:v>treatment</x:v>
      </x:c>
      <x:c r="D398" s="56" t="n">
        <x:v>50</x:v>
      </x:c>
      <x:c r="E398" s="56" t="str">
        <x:v>treatment.etiologic</x:v>
      </x:c>
      <x:c r="F398" s="56" t="str">
        <x:v>etiologic</x:v>
      </x:c>
      <x:c r="G398" s="56" t="n">
        <x:v>13</x:v>
      </x:c>
      <x:c r="H398" s="56" t="str">
        <x:v>病例特异得分项</x:v>
      </x:c>
      <x:c r="I398" s="56" t="str">
        <x:v>否</x:v>
      </x:c>
      <x:c r="J398" s="56" t="str">
        <x:v>否</x:v>
      </x:c>
      <x:c r="K398" s="56" t="str">
        <x:v>否</x:v>
      </x:c>
      <x:c r="L398" s="56" t="str">
        <x:v>按结构化事件证据给予0/部分/满分；不能由总结反推已完成</x:v>
      </x:c>
      <x:c r="M398" s="56" t="str"/>
      <x:c r="N398" s="56" t="n">
        <x:f>SUMIFS($G$4:$G$1673,$A$4:$A$1673,A398)</x:f>
        <x:v>360</x:v>
      </x:c>
      <x:c r="O398" s="56" t="str">
        <x:f>IF(N398=360,"通过","失败")</x:f>
        <x:v>通过</x:v>
      </x:c>
      <x:c r="P398" s="56" t="str"/>
      <x:c r="Q398" s="59" t="str">
        <x:v>待确认</x:v>
      </x:c>
    </x:row>
    <x:row r="399">
      <x:c r="A399" s="56" t="str">
        <x:v>P010</x:v>
      </x:c>
      <x:c r="B399" s="56" t="str">
        <x:v>P010</x:v>
      </x:c>
      <x:c r="C399" s="56" t="str">
        <x:v>treatment</x:v>
      </x:c>
      <x:c r="D399" s="56" t="n">
        <x:v>50</x:v>
      </x:c>
      <x:c r="E399" s="56" t="str">
        <x:v>treatment.definitive</x:v>
      </x:c>
      <x:c r="F399" s="56" t="str">
        <x:v>definitive</x:v>
      </x:c>
      <x:c r="G399" s="56" t="n">
        <x:v>12</x:v>
      </x:c>
      <x:c r="H399" s="56" t="str">
        <x:v>病例特异得分项</x:v>
      </x:c>
      <x:c r="I399" s="56" t="str">
        <x:v>否</x:v>
      </x:c>
      <x:c r="J399" s="56" t="str">
        <x:v>否</x:v>
      </x:c>
      <x:c r="K399" s="56" t="str">
        <x:v>否</x:v>
      </x:c>
      <x:c r="L399" s="56" t="str">
        <x:v>按结构化事件证据给予0/部分/满分；不能由总结反推已完成</x:v>
      </x:c>
      <x:c r="M399" s="56" t="str"/>
      <x:c r="N399" s="56" t="n">
        <x:f>SUMIFS($G$4:$G$1673,$A$4:$A$1673,A399)</x:f>
        <x:v>360</x:v>
      </x:c>
      <x:c r="O399" s="56" t="str">
        <x:f>IF(N399=360,"通过","失败")</x:f>
        <x:v>通过</x:v>
      </x:c>
      <x:c r="P399" s="56" t="str"/>
      <x:c r="Q399" s="59" t="str">
        <x:v>待确认</x:v>
      </x:c>
    </x:row>
    <x:row r="400">
      <x:c r="A400" s="56" t="str">
        <x:v>P010</x:v>
      </x:c>
      <x:c r="B400" s="56" t="str">
        <x:v>P010</x:v>
      </x:c>
      <x:c r="C400" s="56" t="str">
        <x:v>treatment</x:v>
      </x:c>
      <x:c r="D400" s="56" t="n">
        <x:v>50</x:v>
      </x:c>
      <x:c r="E400" s="56" t="str">
        <x:v>treatment.perioperative</x:v>
      </x:c>
      <x:c r="F400" s="56" t="str">
        <x:v>perioperative</x:v>
      </x:c>
      <x:c r="G400" s="56" t="n">
        <x:v>12</x:v>
      </x:c>
      <x:c r="H400" s="56" t="str">
        <x:v>病例特异得分项</x:v>
      </x:c>
      <x:c r="I400" s="56" t="str">
        <x:v>否</x:v>
      </x:c>
      <x:c r="J400" s="56" t="str">
        <x:v>否</x:v>
      </x:c>
      <x:c r="K400" s="56" t="str">
        <x:v>否</x:v>
      </x:c>
      <x:c r="L400" s="56" t="str">
        <x:v>按结构化事件证据给予0/部分/满分；不能由总结反推已完成</x:v>
      </x:c>
      <x:c r="M400" s="56" t="str"/>
      <x:c r="N400" s="56" t="n">
        <x:f>SUMIFS($G$4:$G$1673,$A$4:$A$1673,A400)</x:f>
        <x:v>360</x:v>
      </x:c>
      <x:c r="O400" s="56" t="str">
        <x:f>IF(N400=360,"通过","失败")</x:f>
        <x:v>通过</x:v>
      </x:c>
      <x:c r="P400" s="56" t="str"/>
      <x:c r="Q400" s="59" t="str">
        <x:v>待确认</x:v>
      </x:c>
    </x:row>
    <x:row r="401">
      <x:c r="A401" s="56" t="str">
        <x:v>P010</x:v>
      </x:c>
      <x:c r="B401" s="56" t="str">
        <x:v>P010</x:v>
      </x:c>
      <x:c r="C401" s="56" t="str">
        <x:v>followup</x:v>
      </x:c>
      <x:c r="D401" s="56" t="n">
        <x:v>40</x:v>
      </x:c>
      <x:c r="E401" s="56" t="str">
        <x:v>followup.plan</x:v>
      </x:c>
      <x:c r="F401" s="56" t="str">
        <x:v>随访复查</x:v>
      </x:c>
      <x:c r="G401" s="56" t="n">
        <x:v>10</x:v>
      </x:c>
      <x:c r="H401" s="56" t="str">
        <x:v>普通得分项</x:v>
      </x:c>
      <x:c r="I401" s="56" t="str">
        <x:v>否</x:v>
      </x:c>
      <x:c r="J401" s="56" t="str">
        <x:v>否</x:v>
      </x:c>
      <x:c r="K401" s="56" t="str">
        <x:v>否</x:v>
      </x:c>
      <x:c r="L401" s="56" t="str">
        <x:v>按结构化事件证据给予0/部分/满分；不能由总结反推已完成</x:v>
      </x:c>
      <x:c r="M401" s="56" t="str"/>
      <x:c r="N401" s="56" t="n">
        <x:f>SUMIFS($G$4:$G$1673,$A$4:$A$1673,A401)</x:f>
        <x:v>360</x:v>
      </x:c>
      <x:c r="O401" s="56" t="str">
        <x:f>IF(N401=360,"通过","失败")</x:f>
        <x:v>通过</x:v>
      </x:c>
      <x:c r="P401" s="56" t="str"/>
      <x:c r="Q401" s="59" t="str">
        <x:v>待确认</x:v>
      </x:c>
    </x:row>
    <x:row r="402">
      <x:c r="A402" s="56" t="str">
        <x:v>P010</x:v>
      </x:c>
      <x:c r="B402" s="56" t="str">
        <x:v>P010</x:v>
      </x:c>
      <x:c r="C402" s="56" t="str">
        <x:v>followup</x:v>
      </x:c>
      <x:c r="D402" s="56" t="n">
        <x:v>40</x:v>
      </x:c>
      <x:c r="E402" s="56" t="str">
        <x:v>followup.education</x:v>
      </x:c>
      <x:c r="F402" s="56" t="str">
        <x:v>患者教育</x:v>
      </x:c>
      <x:c r="G402" s="56" t="n">
        <x:v>10</x:v>
      </x:c>
      <x:c r="H402" s="56" t="str">
        <x:v>普通得分项</x:v>
      </x:c>
      <x:c r="I402" s="56" t="str">
        <x:v>否</x:v>
      </x:c>
      <x:c r="J402" s="56" t="str">
        <x:v>否</x:v>
      </x:c>
      <x:c r="K402" s="56" t="str">
        <x:v>否</x:v>
      </x:c>
      <x:c r="L402" s="56" t="str">
        <x:v>按结构化事件证据给予0/部分/满分；不能由总结反推已完成</x:v>
      </x:c>
      <x:c r="M402" s="56" t="str"/>
      <x:c r="N402" s="56" t="n">
        <x:f>SUMIFS($G$4:$G$1673,$A$4:$A$1673,A402)</x:f>
        <x:v>360</x:v>
      </x:c>
      <x:c r="O402" s="56" t="str">
        <x:f>IF(N402=360,"通过","失败")</x:f>
        <x:v>通过</x:v>
      </x:c>
      <x:c r="P402" s="56" t="str"/>
      <x:c r="Q402" s="59" t="str">
        <x:v>待确认</x:v>
      </x:c>
    </x:row>
    <x:row r="403">
      <x:c r="A403" s="56" t="str">
        <x:v>P010</x:v>
      </x:c>
      <x:c r="B403" s="56" t="str">
        <x:v>P010</x:v>
      </x:c>
      <x:c r="C403" s="56" t="str">
        <x:v>followup</x:v>
      </x:c>
      <x:c r="D403" s="56" t="n">
        <x:v>40</x:v>
      </x:c>
      <x:c r="E403" s="56" t="str">
        <x:v>followup.reflection</x:v>
      </x:c>
      <x:c r="F403" s="56" t="str">
        <x:v>学习反思质量</x:v>
      </x:c>
      <x:c r="G403" s="56" t="n">
        <x:v>10</x:v>
      </x:c>
      <x:c r="H403" s="56" t="str">
        <x:v>普通得分项</x:v>
      </x:c>
      <x:c r="I403" s="56" t="str">
        <x:v>否</x:v>
      </x:c>
      <x:c r="J403" s="56" t="str">
        <x:v>否</x:v>
      </x:c>
      <x:c r="K403" s="56" t="str">
        <x:v>否</x:v>
      </x:c>
      <x:c r="L403" s="56" t="str">
        <x:v>按结构化事件证据给予0/部分/满分；不能由总结反推已完成</x:v>
      </x:c>
      <x:c r="M403" s="56" t="str"/>
      <x:c r="N403" s="56" t="n">
        <x:f>SUMIFS($G$4:$G$1673,$A$4:$A$1673,A403)</x:f>
        <x:v>360</x:v>
      </x:c>
      <x:c r="O403" s="56" t="str">
        <x:f>IF(N403=360,"通过","失败")</x:f>
        <x:v>通过</x:v>
      </x:c>
      <x:c r="P403" s="56" t="str"/>
      <x:c r="Q403" s="59" t="str">
        <x:v>待确认</x:v>
      </x:c>
    </x:row>
    <x:row r="404">
      <x:c r="A404" s="56" t="str">
        <x:v>P010</x:v>
      </x:c>
      <x:c r="B404" s="56" t="str">
        <x:v>P010</x:v>
      </x:c>
      <x:c r="C404" s="56" t="str">
        <x:v>followup</x:v>
      </x:c>
      <x:c r="D404" s="56" t="n">
        <x:v>40</x:v>
      </x:c>
      <x:c r="E404" s="56" t="str">
        <x:v>followup.efficiency</x:v>
      </x:c>
      <x:c r="F404" s="56" t="str">
        <x:v>操作效率</x:v>
      </x:c>
      <x:c r="G404" s="56" t="n">
        <x:v>10</x:v>
      </x:c>
      <x:c r="H404" s="56" t="str">
        <x:v>普通得分项</x:v>
      </x:c>
      <x:c r="I404" s="56" t="str">
        <x:v>否</x:v>
      </x:c>
      <x:c r="J404" s="56" t="str">
        <x:v>否</x:v>
      </x:c>
      <x:c r="K404" s="56" t="str">
        <x:v>否</x:v>
      </x:c>
      <x:c r="L404" s="56" t="str">
        <x:v>按结构化事件证据给予0/部分/满分；不能由总结反推已完成</x:v>
      </x:c>
      <x:c r="M404" s="56" t="str"/>
      <x:c r="N404" s="56" t="n">
        <x:f>SUMIFS($G$4:$G$1673,$A$4:$A$1673,A404)</x:f>
        <x:v>360</x:v>
      </x:c>
      <x:c r="O404" s="56" t="str">
        <x:f>IF(N404=360,"通过","失败")</x:f>
        <x:v>通过</x:v>
      </x:c>
      <x:c r="P404" s="56" t="str"/>
      <x:c r="Q404" s="59" t="str">
        <x:v>待确认</x:v>
      </x:c>
    </x:row>
    <x:row r="405">
      <x:c r="A405" s="56" t="str">
        <x:v>P011</x:v>
      </x:c>
      <x:c r="B405" s="56" t="str">
        <x:v>P011</x:v>
      </x:c>
      <x:c r="C405" s="56" t="str">
        <x:v>history</x:v>
      </x:c>
      <x:c r="D405" s="56" t="n">
        <x:v>50</x:v>
      </x:c>
      <x:c r="E405" s="56" t="str">
        <x:v>history.hematuria_visibility</x:v>
      </x:c>
      <x:c r="F405" s="56" t="str">
        <x:v>hematuria_visibility</x:v>
      </x:c>
      <x:c r="G405" s="56" t="n">
        <x:v>5</x:v>
      </x:c>
      <x:c r="H405" s="56" t="str">
        <x:v>普通得分项</x:v>
      </x:c>
      <x:c r="I405" s="56" t="str">
        <x:v>否</x:v>
      </x:c>
      <x:c r="J405" s="56" t="str">
        <x:v>否</x:v>
      </x:c>
      <x:c r="K405" s="56" t="str">
        <x:v>否</x:v>
      </x:c>
      <x:c r="L405" s="56" t="str">
        <x:v>按结构化事件证据给予0/部分/满分；不能由总结反推已完成</x:v>
      </x:c>
      <x:c r="M405" s="56" t="str"/>
      <x:c r="N405" s="56" t="n">
        <x:f>SUMIFS($G$4:$G$1673,$A$4:$A$1673,A405)</x:f>
        <x:v>360</x:v>
      </x:c>
      <x:c r="O405" s="56" t="str">
        <x:f>IF(N405=360,"通过","失败")</x:f>
        <x:v>通过</x:v>
      </x:c>
      <x:c r="P405" s="56" t="str"/>
      <x:c r="Q405" s="59" t="str">
        <x:v>待确认</x:v>
      </x:c>
    </x:row>
    <x:row r="406">
      <x:c r="A406" s="56" t="str">
        <x:v>P011</x:v>
      </x:c>
      <x:c r="B406" s="56" t="str">
        <x:v>P011</x:v>
      </x:c>
      <x:c r="C406" s="56" t="str">
        <x:v>history</x:v>
      </x:c>
      <x:c r="D406" s="56" t="n">
        <x:v>50</x:v>
      </x:c>
      <x:c r="E406" s="56" t="str">
        <x:v>history.hematuria_onset</x:v>
      </x:c>
      <x:c r="F406" s="56" t="str">
        <x:v>hematuria_onset</x:v>
      </x:c>
      <x:c r="G406" s="56" t="n">
        <x:v>5</x:v>
      </x:c>
      <x:c r="H406" s="56" t="str">
        <x:v>普通得分项</x:v>
      </x:c>
      <x:c r="I406" s="56" t="str">
        <x:v>否</x:v>
      </x:c>
      <x:c r="J406" s="56" t="str">
        <x:v>否</x:v>
      </x:c>
      <x:c r="K406" s="56" t="str">
        <x:v>否</x:v>
      </x:c>
      <x:c r="L406" s="56" t="str">
        <x:v>按结构化事件证据给予0/部分/满分；不能由总结反推已完成</x:v>
      </x:c>
      <x:c r="M406" s="56" t="str"/>
      <x:c r="N406" s="56" t="n">
        <x:f>SUMIFS($G$4:$G$1673,$A$4:$A$1673,A406)</x:f>
        <x:v>360</x:v>
      </x:c>
      <x:c r="O406" s="56" t="str">
        <x:f>IF(N406=360,"通过","失败")</x:f>
        <x:v>通过</x:v>
      </x:c>
      <x:c r="P406" s="56" t="str"/>
      <x:c r="Q406" s="59" t="str">
        <x:v>待确认</x:v>
      </x:c>
    </x:row>
    <x:row r="407">
      <x:c r="A407" s="56" t="str">
        <x:v>P011</x:v>
      </x:c>
      <x:c r="B407" s="56" t="str">
        <x:v>P011</x:v>
      </x:c>
      <x:c r="C407" s="56" t="str">
        <x:v>history</x:v>
      </x:c>
      <x:c r="D407" s="56" t="n">
        <x:v>50</x:v>
      </x:c>
      <x:c r="E407" s="56" t="str">
        <x:v>history.hematuria_frequency</x:v>
      </x:c>
      <x:c r="F407" s="56" t="str">
        <x:v>hematuria_frequency</x:v>
      </x:c>
      <x:c r="G407" s="56" t="n">
        <x:v>4</x:v>
      </x:c>
      <x:c r="H407" s="56" t="str">
        <x:v>普通得分项</x:v>
      </x:c>
      <x:c r="I407" s="56" t="str">
        <x:v>否</x:v>
      </x:c>
      <x:c r="J407" s="56" t="str">
        <x:v>否</x:v>
      </x:c>
      <x:c r="K407" s="56" t="str">
        <x:v>否</x:v>
      </x:c>
      <x:c r="L407" s="56" t="str">
        <x:v>按结构化事件证据给予0/部分/满分；不能由总结反推已完成</x:v>
      </x:c>
      <x:c r="M407" s="56" t="str"/>
      <x:c r="N407" s="56" t="n">
        <x:f>SUMIFS($G$4:$G$1673,$A$4:$A$1673,A407)</x:f>
        <x:v>360</x:v>
      </x:c>
      <x:c r="O407" s="56" t="str">
        <x:f>IF(N407=360,"通过","失败")</x:f>
        <x:v>通过</x:v>
      </x:c>
      <x:c r="P407" s="56" t="str"/>
      <x:c r="Q407" s="59" t="str">
        <x:v>待确认</x:v>
      </x:c>
    </x:row>
    <x:row r="408">
      <x:c r="A408" s="56" t="str">
        <x:v>P011</x:v>
      </x:c>
      <x:c r="B408" s="56" t="str">
        <x:v>P011</x:v>
      </x:c>
      <x:c r="C408" s="56" t="str">
        <x:v>history</x:v>
      </x:c>
      <x:c r="D408" s="56" t="n">
        <x:v>50</x:v>
      </x:c>
      <x:c r="E408" s="56" t="str">
        <x:v>history.hematuria_phase</x:v>
      </x:c>
      <x:c r="F408" s="56" t="str">
        <x:v>hematuria_phase</x:v>
      </x:c>
      <x:c r="G408" s="56" t="n">
        <x:v>4</x:v>
      </x:c>
      <x:c r="H408" s="56" t="str">
        <x:v>普通得分项</x:v>
      </x:c>
      <x:c r="I408" s="56" t="str">
        <x:v>否</x:v>
      </x:c>
      <x:c r="J408" s="56" t="str">
        <x:v>否</x:v>
      </x:c>
      <x:c r="K408" s="56" t="str">
        <x:v>否</x:v>
      </x:c>
      <x:c r="L408" s="56" t="str">
        <x:v>按结构化事件证据给予0/部分/满分；不能由总结反推已完成</x:v>
      </x:c>
      <x:c r="M408" s="56" t="str"/>
      <x:c r="N408" s="56" t="n">
        <x:f>SUMIFS($G$4:$G$1673,$A$4:$A$1673,A408)</x:f>
        <x:v>360</x:v>
      </x:c>
      <x:c r="O408" s="56" t="str">
        <x:f>IF(N408=360,"通过","失败")</x:f>
        <x:v>通过</x:v>
      </x:c>
      <x:c r="P408" s="56" t="str"/>
      <x:c r="Q408" s="59" t="str">
        <x:v>待确认</x:v>
      </x:c>
    </x:row>
    <x:row r="409">
      <x:c r="A409" s="56" t="str">
        <x:v>P011</x:v>
      </x:c>
      <x:c r="B409" s="56" t="str">
        <x:v>P011</x:v>
      </x:c>
      <x:c r="C409" s="56" t="str">
        <x:v>history</x:v>
      </x:c>
      <x:c r="D409" s="56" t="n">
        <x:v>50</x:v>
      </x:c>
      <x:c r="E409" s="56" t="str">
        <x:v>history.urine_color</x:v>
      </x:c>
      <x:c r="F409" s="56" t="str">
        <x:v>urine_color</x:v>
      </x:c>
      <x:c r="G409" s="56" t="n">
        <x:v>4</x:v>
      </x:c>
      <x:c r="H409" s="56" t="str">
        <x:v>普通得分项</x:v>
      </x:c>
      <x:c r="I409" s="56" t="str">
        <x:v>否</x:v>
      </x:c>
      <x:c r="J409" s="56" t="str">
        <x:v>否</x:v>
      </x:c>
      <x:c r="K409" s="56" t="str">
        <x:v>否</x:v>
      </x:c>
      <x:c r="L409" s="56" t="str">
        <x:v>按结构化事件证据给予0/部分/满分；不能由总结反推已完成</x:v>
      </x:c>
      <x:c r="M409" s="56" t="str"/>
      <x:c r="N409" s="56" t="n">
        <x:f>SUMIFS($G$4:$G$1673,$A$4:$A$1673,A409)</x:f>
        <x:v>360</x:v>
      </x:c>
      <x:c r="O409" s="56" t="str">
        <x:f>IF(N409=360,"通过","失败")</x:f>
        <x:v>通过</x:v>
      </x:c>
      <x:c r="P409" s="56" t="str"/>
      <x:c r="Q409" s="59" t="str">
        <x:v>待确认</x:v>
      </x:c>
    </x:row>
    <x:row r="410">
      <x:c r="A410" s="56" t="str">
        <x:v>P011</x:v>
      </x:c>
      <x:c r="B410" s="56" t="str">
        <x:v>P011</x:v>
      </x:c>
      <x:c r="C410" s="56" t="str">
        <x:v>history</x:v>
      </x:c>
      <x:c r="D410" s="56" t="n">
        <x:v>50</x:v>
      </x:c>
      <x:c r="E410" s="56" t="str">
        <x:v>history.clots</x:v>
      </x:c>
      <x:c r="F410" s="56" t="str">
        <x:v>clots</x:v>
      </x:c>
      <x:c r="G410" s="56" t="n">
        <x:v>4</x:v>
      </x:c>
      <x:c r="H410" s="56" t="str">
        <x:v>普通得分项</x:v>
      </x:c>
      <x:c r="I410" s="56" t="str">
        <x:v>否</x:v>
      </x:c>
      <x:c r="J410" s="56" t="str">
        <x:v>否</x:v>
      </x:c>
      <x:c r="K410" s="56" t="str">
        <x:v>否</x:v>
      </x:c>
      <x:c r="L410" s="56" t="str">
        <x:v>按结构化事件证据给予0/部分/满分；不能由总结反推已完成</x:v>
      </x:c>
      <x:c r="M410" s="56" t="str"/>
      <x:c r="N410" s="56" t="n">
        <x:f>SUMIFS($G$4:$G$1673,$A$4:$A$1673,A410)</x:f>
        <x:v>360</x:v>
      </x:c>
      <x:c r="O410" s="56" t="str">
        <x:f>IF(N410=360,"通过","失败")</x:f>
        <x:v>通过</x:v>
      </x:c>
      <x:c r="P410" s="56" t="str"/>
      <x:c r="Q410" s="59" t="str">
        <x:v>待确认</x:v>
      </x:c>
    </x:row>
    <x:row r="411">
      <x:c r="A411" s="56" t="str">
        <x:v>P011</x:v>
      </x:c>
      <x:c r="B411" s="56" t="str">
        <x:v>P011</x:v>
      </x:c>
      <x:c r="C411" s="56" t="str">
        <x:v>history</x:v>
      </x:c>
      <x:c r="D411" s="56" t="n">
        <x:v>50</x:v>
      </x:c>
      <x:c r="E411" s="56" t="str">
        <x:v>history.pain</x:v>
      </x:c>
      <x:c r="F411" s="56" t="str">
        <x:v>pain</x:v>
      </x:c>
      <x:c r="G411" s="56" t="n">
        <x:v>4</x:v>
      </x:c>
      <x:c r="H411" s="56" t="str">
        <x:v>普通得分项</x:v>
      </x:c>
      <x:c r="I411" s="56" t="str">
        <x:v>否</x:v>
      </x:c>
      <x:c r="J411" s="56" t="str">
        <x:v>否</x:v>
      </x:c>
      <x:c r="K411" s="56" t="str">
        <x:v>否</x:v>
      </x:c>
      <x:c r="L411" s="56" t="str">
        <x:v>按结构化事件证据给予0/部分/满分；不能由总结反推已完成</x:v>
      </x:c>
      <x:c r="M411" s="56" t="str"/>
      <x:c r="N411" s="56" t="n">
        <x:f>SUMIFS($G$4:$G$1673,$A$4:$A$1673,A411)</x:f>
        <x:v>360</x:v>
      </x:c>
      <x:c r="O411" s="56" t="str">
        <x:f>IF(N411=360,"通过","失败")</x:f>
        <x:v>通过</x:v>
      </x:c>
      <x:c r="P411" s="56" t="str"/>
      <x:c r="Q411" s="59" t="str">
        <x:v>待确认</x:v>
      </x:c>
    </x:row>
    <x:row r="412">
      <x:c r="A412" s="56" t="str">
        <x:v>P011</x:v>
      </x:c>
      <x:c r="B412" s="56" t="str">
        <x:v>P011</x:v>
      </x:c>
      <x:c r="C412" s="56" t="str">
        <x:v>history</x:v>
      </x:c>
      <x:c r="D412" s="56" t="n">
        <x:v>50</x:v>
      </x:c>
      <x:c r="E412" s="56" t="str">
        <x:v>history.dysuria</x:v>
      </x:c>
      <x:c r="F412" s="56" t="str">
        <x:v>dysuria</x:v>
      </x:c>
      <x:c r="G412" s="56" t="n">
        <x:v>4</x:v>
      </x:c>
      <x:c r="H412" s="56" t="str">
        <x:v>普通得分项</x:v>
      </x:c>
      <x:c r="I412" s="56" t="str">
        <x:v>否</x:v>
      </x:c>
      <x:c r="J412" s="56" t="str">
        <x:v>否</x:v>
      </x:c>
      <x:c r="K412" s="56" t="str">
        <x:v>否</x:v>
      </x:c>
      <x:c r="L412" s="56" t="str">
        <x:v>按结构化事件证据给予0/部分/满分；不能由总结反推已完成</x:v>
      </x:c>
      <x:c r="M412" s="56" t="str"/>
      <x:c r="N412" s="56" t="n">
        <x:f>SUMIFS($G$4:$G$1673,$A$4:$A$1673,A412)</x:f>
        <x:v>360</x:v>
      </x:c>
      <x:c r="O412" s="56" t="str">
        <x:f>IF(N412=360,"通过","失败")</x:f>
        <x:v>通过</x:v>
      </x:c>
      <x:c r="P412" s="56" t="str"/>
      <x:c r="Q412" s="59" t="str">
        <x:v>待确认</x:v>
      </x:c>
    </x:row>
    <x:row r="413">
      <x:c r="A413" s="56" t="str">
        <x:v>P011</x:v>
      </x:c>
      <x:c r="B413" s="56" t="str">
        <x:v>P011</x:v>
      </x:c>
      <x:c r="C413" s="56" t="str">
        <x:v>history</x:v>
      </x:c>
      <x:c r="D413" s="56" t="n">
        <x:v>50</x:v>
      </x:c>
      <x:c r="E413" s="56" t="str">
        <x:v>history.urinary_frequency</x:v>
      </x:c>
      <x:c r="F413" s="56" t="str">
        <x:v>urinary_frequency</x:v>
      </x:c>
      <x:c r="G413" s="56" t="n">
        <x:v>4</x:v>
      </x:c>
      <x:c r="H413" s="56" t="str">
        <x:v>普通得分项</x:v>
      </x:c>
      <x:c r="I413" s="56" t="str">
        <x:v>否</x:v>
      </x:c>
      <x:c r="J413" s="56" t="str">
        <x:v>否</x:v>
      </x:c>
      <x:c r="K413" s="56" t="str">
        <x:v>否</x:v>
      </x:c>
      <x:c r="L413" s="56" t="str">
        <x:v>按结构化事件证据给予0/部分/满分；不能由总结反推已完成</x:v>
      </x:c>
      <x:c r="M413" s="56" t="str"/>
      <x:c r="N413" s="56" t="n">
        <x:f>SUMIFS($G$4:$G$1673,$A$4:$A$1673,A413)</x:f>
        <x:v>360</x:v>
      </x:c>
      <x:c r="O413" s="56" t="str">
        <x:f>IF(N413=360,"通过","失败")</x:f>
        <x:v>通过</x:v>
      </x:c>
      <x:c r="P413" s="56" t="str"/>
      <x:c r="Q413" s="59" t="str">
        <x:v>待确认</x:v>
      </x:c>
    </x:row>
    <x:row r="414">
      <x:c r="A414" s="56" t="str">
        <x:v>P011</x:v>
      </x:c>
      <x:c r="B414" s="56" t="str">
        <x:v>P011</x:v>
      </x:c>
      <x:c r="C414" s="56" t="str">
        <x:v>history</x:v>
      </x:c>
      <x:c r="D414" s="56" t="n">
        <x:v>50</x:v>
      </x:c>
      <x:c r="E414" s="56" t="str">
        <x:v>history.urinary_urgency</x:v>
      </x:c>
      <x:c r="F414" s="56" t="str">
        <x:v>urinary_urgency</x:v>
      </x:c>
      <x:c r="G414" s="56" t="n">
        <x:v>4</x:v>
      </x:c>
      <x:c r="H414" s="56" t="str">
        <x:v>普通得分项</x:v>
      </x:c>
      <x:c r="I414" s="56" t="str">
        <x:v>否</x:v>
      </x:c>
      <x:c r="J414" s="56" t="str">
        <x:v>否</x:v>
      </x:c>
      <x:c r="K414" s="56" t="str">
        <x:v>否</x:v>
      </x:c>
      <x:c r="L414" s="56" t="str">
        <x:v>按结构化事件证据给予0/部分/满分；不能由总结反推已完成</x:v>
      </x:c>
      <x:c r="M414" s="56" t="str"/>
      <x:c r="N414" s="56" t="n">
        <x:f>SUMIFS($G$4:$G$1673,$A$4:$A$1673,A414)</x:f>
        <x:v>360</x:v>
      </x:c>
      <x:c r="O414" s="56" t="str">
        <x:f>IF(N414=360,"通过","失败")</x:f>
        <x:v>通过</x:v>
      </x:c>
      <x:c r="P414" s="56" t="str"/>
      <x:c r="Q414" s="59" t="str">
        <x:v>待确认</x:v>
      </x:c>
    </x:row>
    <x:row r="415">
      <x:c r="A415" s="56" t="str">
        <x:v>P011</x:v>
      </x:c>
      <x:c r="B415" s="56" t="str">
        <x:v>P011</x:v>
      </x:c>
      <x:c r="C415" s="56" t="str">
        <x:v>history</x:v>
      </x:c>
      <x:c r="D415" s="56" t="n">
        <x:v>50</x:v>
      </x:c>
      <x:c r="E415" s="56" t="str">
        <x:v>history.flank_pain</x:v>
      </x:c>
      <x:c r="F415" s="56" t="str">
        <x:v>flank_pain</x:v>
      </x:c>
      <x:c r="G415" s="56" t="n">
        <x:v>4</x:v>
      </x:c>
      <x:c r="H415" s="56" t="str">
        <x:v>普通得分项</x:v>
      </x:c>
      <x:c r="I415" s="56" t="str">
        <x:v>否</x:v>
      </x:c>
      <x:c r="J415" s="56" t="str">
        <x:v>否</x:v>
      </x:c>
      <x:c r="K415" s="56" t="str">
        <x:v>否</x:v>
      </x:c>
      <x:c r="L415" s="56" t="str">
        <x:v>按结构化事件证据给予0/部分/满分；不能由总结反推已完成</x:v>
      </x:c>
      <x:c r="M415" s="56" t="str"/>
      <x:c r="N415" s="56" t="n">
        <x:f>SUMIFS($G$4:$G$1673,$A$4:$A$1673,A415)</x:f>
        <x:v>360</x:v>
      </x:c>
      <x:c r="O415" s="56" t="str">
        <x:f>IF(N415=360,"通过","失败")</x:f>
        <x:v>通过</x:v>
      </x:c>
      <x:c r="P415" s="56" t="str"/>
      <x:c r="Q415" s="59" t="str">
        <x:v>待确认</x:v>
      </x:c>
    </x:row>
    <x:row r="416">
      <x:c r="A416" s="56" t="str">
        <x:v>P011</x:v>
      </x:c>
      <x:c r="B416" s="56" t="str">
        <x:v>P011</x:v>
      </x:c>
      <x:c r="C416" s="56" t="str">
        <x:v>history</x:v>
      </x:c>
      <x:c r="D416" s="56" t="n">
        <x:v>50</x:v>
      </x:c>
      <x:c r="E416" s="56" t="str">
        <x:v>history.fever_chills</x:v>
      </x:c>
      <x:c r="F416" s="56" t="str">
        <x:v>fever_chills</x:v>
      </x:c>
      <x:c r="G416" s="56" t="n">
        <x:v>4</x:v>
      </x:c>
      <x:c r="H416" s="56" t="str">
        <x:v>普通得分项</x:v>
      </x:c>
      <x:c r="I416" s="56" t="str">
        <x:v>否</x:v>
      </x:c>
      <x:c r="J416" s="56" t="str">
        <x:v>否</x:v>
      </x:c>
      <x:c r="K416" s="56" t="str">
        <x:v>否</x:v>
      </x:c>
      <x:c r="L416" s="56" t="str">
        <x:v>按结构化事件证据给予0/部分/满分；不能由总结反推已完成</x:v>
      </x:c>
      <x:c r="M416" s="56" t="str"/>
      <x:c r="N416" s="56" t="n">
        <x:f>SUMIFS($G$4:$G$1673,$A$4:$A$1673,A416)</x:f>
        <x:v>360</x:v>
      </x:c>
      <x:c r="O416" s="56" t="str">
        <x:f>IF(N416=360,"通过","失败")</x:f>
        <x:v>通过</x:v>
      </x:c>
      <x:c r="P416" s="56" t="str"/>
      <x:c r="Q416" s="59" t="str">
        <x:v>待确认</x:v>
      </x:c>
    </x:row>
    <x:row r="417">
      <x:c r="A417" s="56" t="str">
        <x:v>P011</x:v>
      </x:c>
      <x:c r="B417" s="56" t="str">
        <x:v>P011</x:v>
      </x:c>
      <x:c r="C417" s="56" t="str">
        <x:v>risk</x:v>
      </x:c>
      <x:c r="D417" s="56" t="n">
        <x:v>40</x:v>
      </x:c>
      <x:c r="E417" s="56" t="str">
        <x:v>risk.glomerular_features</x:v>
      </x:c>
      <x:c r="F417" s="56" t="str">
        <x:v>glomerular_features</x:v>
      </x:c>
      <x:c r="G417" s="56" t="n">
        <x:v>8</x:v>
      </x:c>
      <x:c r="H417" s="56" t="str">
        <x:v>普通得分项</x:v>
      </x:c>
      <x:c r="I417" s="56" t="str">
        <x:v>否</x:v>
      </x:c>
      <x:c r="J417" s="56" t="str">
        <x:v>否</x:v>
      </x:c>
      <x:c r="K417" s="56" t="str">
        <x:v>否</x:v>
      </x:c>
      <x:c r="L417" s="56" t="str">
        <x:v>按结构化事件证据给予0/部分/满分；不能由总结反推已完成</x:v>
      </x:c>
      <x:c r="M417" s="56" t="str"/>
      <x:c r="N417" s="56" t="n">
        <x:f>SUMIFS($G$4:$G$1673,$A$4:$A$1673,A417)</x:f>
        <x:v>360</x:v>
      </x:c>
      <x:c r="O417" s="56" t="str">
        <x:f>IF(N417=360,"通过","失败")</x:f>
        <x:v>通过</x:v>
      </x:c>
      <x:c r="P417" s="56" t="str"/>
      <x:c r="Q417" s="59" t="str">
        <x:v>待确认</x:v>
      </x:c>
    </x:row>
    <x:row r="418">
      <x:c r="A418" s="56" t="str">
        <x:v>P011</x:v>
      </x:c>
      <x:c r="B418" s="56" t="str">
        <x:v>P011</x:v>
      </x:c>
      <x:c r="C418" s="56" t="str">
        <x:v>risk</x:v>
      </x:c>
      <x:c r="D418" s="56" t="n">
        <x:v>40</x:v>
      </x:c>
      <x:c r="E418" s="56" t="str">
        <x:v>risk.recent_uri</x:v>
      </x:c>
      <x:c r="F418" s="56" t="str">
        <x:v>recent_uri</x:v>
      </x:c>
      <x:c r="G418" s="56" t="n">
        <x:v>8</x:v>
      </x:c>
      <x:c r="H418" s="56" t="str">
        <x:v>普通得分项</x:v>
      </x:c>
      <x:c r="I418" s="56" t="str">
        <x:v>否</x:v>
      </x:c>
      <x:c r="J418" s="56" t="str">
        <x:v>否</x:v>
      </x:c>
      <x:c r="K418" s="56" t="str">
        <x:v>否</x:v>
      </x:c>
      <x:c r="L418" s="56" t="str">
        <x:v>按结构化事件证据给予0/部分/满分；不能由总结反推已完成</x:v>
      </x:c>
      <x:c r="M418" s="56" t="str"/>
      <x:c r="N418" s="56" t="n">
        <x:f>SUMIFS($G$4:$G$1673,$A$4:$A$1673,A418)</x:f>
        <x:v>360</x:v>
      </x:c>
      <x:c r="O418" s="56" t="str">
        <x:f>IF(N418=360,"通过","失败")</x:f>
        <x:v>通过</x:v>
      </x:c>
      <x:c r="P418" s="56" t="str"/>
      <x:c r="Q418" s="59" t="str">
        <x:v>待确认</x:v>
      </x:c>
    </x:row>
    <x:row r="419">
      <x:c r="A419" s="56" t="str">
        <x:v>P011</x:v>
      </x:c>
      <x:c r="B419" s="56" t="str">
        <x:v>P011</x:v>
      </x:c>
      <x:c r="C419" s="56" t="str">
        <x:v>risk</x:v>
      </x:c>
      <x:c r="D419" s="56" t="n">
        <x:v>40</x:v>
      </x:c>
      <x:c r="E419" s="56" t="str">
        <x:v>risk.family_history</x:v>
      </x:c>
      <x:c r="F419" s="56" t="str">
        <x:v>family_history</x:v>
      </x:c>
      <x:c r="G419" s="56" t="n">
        <x:v>8</x:v>
      </x:c>
      <x:c r="H419" s="56" t="str">
        <x:v>普通得分项</x:v>
      </x:c>
      <x:c r="I419" s="56" t="str">
        <x:v>否</x:v>
      </x:c>
      <x:c r="J419" s="56" t="str">
        <x:v>否</x:v>
      </x:c>
      <x:c r="K419" s="56" t="str">
        <x:v>否</x:v>
      </x:c>
      <x:c r="L419" s="56" t="str">
        <x:v>按结构化事件证据给予0/部分/满分；不能由总结反推已完成</x:v>
      </x:c>
      <x:c r="M419" s="56" t="str"/>
      <x:c r="N419" s="56" t="n">
        <x:f>SUMIFS($G$4:$G$1673,$A$4:$A$1673,A419)</x:f>
        <x:v>360</x:v>
      </x:c>
      <x:c r="O419" s="56" t="str">
        <x:f>IF(N419=360,"通过","失败")</x:f>
        <x:v>通过</x:v>
      </x:c>
      <x:c r="P419" s="56" t="str"/>
      <x:c r="Q419" s="59" t="str">
        <x:v>待确认</x:v>
      </x:c>
    </x:row>
    <x:row r="420">
      <x:c r="A420" s="56" t="str">
        <x:v>P011</x:v>
      </x:c>
      <x:c r="B420" s="56" t="str">
        <x:v>P011</x:v>
      </x:c>
      <x:c r="C420" s="56" t="str">
        <x:v>risk</x:v>
      </x:c>
      <x:c r="D420" s="56" t="n">
        <x:v>40</x:v>
      </x:c>
      <x:c r="E420" s="56" t="str">
        <x:v>risk.bleeding_tendency</x:v>
      </x:c>
      <x:c r="F420" s="56" t="str">
        <x:v>bleeding_tendency</x:v>
      </x:c>
      <x:c r="G420" s="56" t="n">
        <x:v>8</x:v>
      </x:c>
      <x:c r="H420" s="56" t="str">
        <x:v>普通得分项</x:v>
      </x:c>
      <x:c r="I420" s="56" t="str">
        <x:v>否</x:v>
      </x:c>
      <x:c r="J420" s="56" t="str">
        <x:v>否</x:v>
      </x:c>
      <x:c r="K420" s="56" t="str">
        <x:v>否</x:v>
      </x:c>
      <x:c r="L420" s="56" t="str">
        <x:v>按结构化事件证据给予0/部分/满分；不能由总结反推已完成</x:v>
      </x:c>
      <x:c r="M420" s="56" t="str"/>
      <x:c r="N420" s="56" t="n">
        <x:f>SUMIFS($G$4:$G$1673,$A$4:$A$1673,A420)</x:f>
        <x:v>360</x:v>
      </x:c>
      <x:c r="O420" s="56" t="str">
        <x:f>IF(N420=360,"通过","失败")</x:f>
        <x:v>通过</x:v>
      </x:c>
      <x:c r="P420" s="56" t="str"/>
      <x:c r="Q420" s="59" t="str">
        <x:v>待确认</x:v>
      </x:c>
    </x:row>
    <x:row r="421">
      <x:c r="A421" s="56" t="str">
        <x:v>P011</x:v>
      </x:c>
      <x:c r="B421" s="56" t="str">
        <x:v>P011</x:v>
      </x:c>
      <x:c r="C421" s="56" t="str">
        <x:v>risk</x:v>
      </x:c>
      <x:c r="D421" s="56" t="n">
        <x:v>40</x:v>
      </x:c>
      <x:c r="E421" s="56" t="str">
        <x:v>risk.gynecologic_contamination</x:v>
      </x:c>
      <x:c r="F421" s="56" t="str">
        <x:v>gynecologic_contamination</x:v>
      </x:c>
      <x:c r="G421" s="56" t="n">
        <x:v>8</x:v>
      </x:c>
      <x:c r="H421" s="56" t="str">
        <x:v>普通得分项</x:v>
      </x:c>
      <x:c r="I421" s="56" t="str">
        <x:v>否</x:v>
      </x:c>
      <x:c r="J421" s="56" t="str">
        <x:v>否</x:v>
      </x:c>
      <x:c r="K421" s="56" t="str">
        <x:v>否</x:v>
      </x:c>
      <x:c r="L421" s="56" t="str">
        <x:v>按结构化事件证据给予0/部分/满分；不能由总结反推已完成</x:v>
      </x:c>
      <x:c r="M421" s="56" t="str"/>
      <x:c r="N421" s="56" t="n">
        <x:f>SUMIFS($G$4:$G$1673,$A$4:$A$1673,A421)</x:f>
        <x:v>360</x:v>
      </x:c>
      <x:c r="O421" s="56" t="str">
        <x:f>IF(N421=360,"通过","失败")</x:f>
        <x:v>通过</x:v>
      </x:c>
      <x:c r="P421" s="56" t="str"/>
      <x:c r="Q421" s="59" t="str">
        <x:v>待确认</x:v>
      </x:c>
    </x:row>
    <x:row r="422">
      <x:c r="A422" s="56" t="str">
        <x:v>P011</x:v>
      </x:c>
      <x:c r="B422" s="56" t="str">
        <x:v>P011</x:v>
      </x:c>
      <x:c r="C422" s="56" t="str">
        <x:v>exam</x:v>
      </x:c>
      <x:c r="D422" s="56" t="n">
        <x:v>35</x:v>
      </x:c>
      <x:c r="E422" s="56" t="str">
        <x:v>exam.temperature</x:v>
      </x:c>
      <x:c r="F422" s="56" t="str">
        <x:v>体温</x:v>
      </x:c>
      <x:c r="G422" s="56" t="n">
        <x:v>12</x:v>
      </x:c>
      <x:c r="H422" s="56" t="str">
        <x:v>普通得分项</x:v>
      </x:c>
      <x:c r="I422" s="56" t="str">
        <x:v>否</x:v>
      </x:c>
      <x:c r="J422" s="56" t="str">
        <x:v>否</x:v>
      </x:c>
      <x:c r="K422" s="56" t="str">
        <x:v>否</x:v>
      </x:c>
      <x:c r="L422" s="56" t="str">
        <x:v>按结构化事件证据给予0/部分/满分；不能由总结反推已完成</x:v>
      </x:c>
      <x:c r="M422" s="56" t="str"/>
      <x:c r="N422" s="56" t="n">
        <x:f>SUMIFS($G$4:$G$1673,$A$4:$A$1673,A422)</x:f>
        <x:v>360</x:v>
      </x:c>
      <x:c r="O422" s="56" t="str">
        <x:f>IF(N422=360,"通过","失败")</x:f>
        <x:v>通过</x:v>
      </x:c>
      <x:c r="P422" s="56" t="str"/>
      <x:c r="Q422" s="59" t="str">
        <x:v>待确认</x:v>
      </x:c>
    </x:row>
    <x:row r="423">
      <x:c r="A423" s="56" t="str">
        <x:v>P011</x:v>
      </x:c>
      <x:c r="B423" s="56" t="str">
        <x:v>P011</x:v>
      </x:c>
      <x:c r="C423" s="56" t="str">
        <x:v>exam</x:v>
      </x:c>
      <x:c r="D423" s="56" t="n">
        <x:v>35</x:v>
      </x:c>
      <x:c r="E423" s="56" t="str">
        <x:v>exam.blood_pressure</x:v>
      </x:c>
      <x:c r="F423" s="56" t="str">
        <x:v>血压</x:v>
      </x:c>
      <x:c r="G423" s="56" t="n">
        <x:v>12</x:v>
      </x:c>
      <x:c r="H423" s="56" t="str">
        <x:v>普通得分项</x:v>
      </x:c>
      <x:c r="I423" s="56" t="str">
        <x:v>否</x:v>
      </x:c>
      <x:c r="J423" s="56" t="str">
        <x:v>否</x:v>
      </x:c>
      <x:c r="K423" s="56" t="str">
        <x:v>否</x:v>
      </x:c>
      <x:c r="L423" s="56" t="str">
        <x:v>按结构化事件证据给予0/部分/满分；不能由总结反推已完成</x:v>
      </x:c>
      <x:c r="M423" s="56" t="str"/>
      <x:c r="N423" s="56" t="n">
        <x:f>SUMIFS($G$4:$G$1673,$A$4:$A$1673,A423)</x:f>
        <x:v>360</x:v>
      </x:c>
      <x:c r="O423" s="56" t="str">
        <x:f>IF(N423=360,"通过","失败")</x:f>
        <x:v>通过</x:v>
      </x:c>
      <x:c r="P423" s="56" t="str"/>
      <x:c r="Q423" s="59" t="str">
        <x:v>待确认</x:v>
      </x:c>
    </x:row>
    <x:row r="424">
      <x:c r="A424" s="56" t="str">
        <x:v>P011</x:v>
      </x:c>
      <x:c r="B424" s="56" t="str">
        <x:v>P011</x:v>
      </x:c>
      <x:c r="C424" s="56" t="str">
        <x:v>exam</x:v>
      </x:c>
      <x:c r="D424" s="56" t="n">
        <x:v>35</x:v>
      </x:c>
      <x:c r="E424" s="56" t="str">
        <x:v>exam.targeted</x:v>
      </x:c>
      <x:c r="F424" s="56" t="str">
        <x:v>病例针对性查体</x:v>
      </x:c>
      <x:c r="G424" s="56" t="n">
        <x:v>11</x:v>
      </x:c>
      <x:c r="H424" s="56" t="str">
        <x:v>普通得分项</x:v>
      </x:c>
      <x:c r="I424" s="56" t="str">
        <x:v>否</x:v>
      </x:c>
      <x:c r="J424" s="56" t="str">
        <x:v>否</x:v>
      </x:c>
      <x:c r="K424" s="56" t="str">
        <x:v>否</x:v>
      </x:c>
      <x:c r="L424" s="56" t="str">
        <x:v>按结构化事件证据给予0/部分/满分；不能由总结反推已完成</x:v>
      </x:c>
      <x:c r="M424" s="56" t="str"/>
      <x:c r="N424" s="56" t="n">
        <x:f>SUMIFS($G$4:$G$1673,$A$4:$A$1673,A424)</x:f>
        <x:v>360</x:v>
      </x:c>
      <x:c r="O424" s="56" t="str">
        <x:f>IF(N424=360,"通过","失败")</x:f>
        <x:v>通过</x:v>
      </x:c>
      <x:c r="P424" s="56" t="str"/>
      <x:c r="Q424" s="59" t="str">
        <x:v>待确认</x:v>
      </x:c>
    </x:row>
    <x:row r="425">
      <x:c r="A425" s="56" t="str">
        <x:v>P011</x:v>
      </x:c>
      <x:c r="B425" s="56" t="str">
        <x:v>P011</x:v>
      </x:c>
      <x:c r="C425" s="56" t="str">
        <x:v>diagnosis</x:v>
      </x:c>
      <x:c r="D425" s="56" t="n">
        <x:v>45</x:v>
      </x:c>
      <x:c r="E425" s="56" t="str">
        <x:v>diagnosis.primary</x:v>
      </x:c>
      <x:c r="F425" s="56" t="str">
        <x:v>最可能诊断及依据</x:v>
      </x:c>
      <x:c r="G425" s="56" t="n">
        <x:v>15</x:v>
      </x:c>
      <x:c r="H425" s="56" t="str">
        <x:v>普通得分项</x:v>
      </x:c>
      <x:c r="I425" s="56" t="str">
        <x:v>否</x:v>
      </x:c>
      <x:c r="J425" s="56" t="str">
        <x:v>否</x:v>
      </x:c>
      <x:c r="K425" s="56" t="str">
        <x:v>否</x:v>
      </x:c>
      <x:c r="L425" s="56" t="str">
        <x:v>按结构化事件证据给予0/部分/满分；不能由总结反推已完成</x:v>
      </x:c>
      <x:c r="M425" s="56" t="str"/>
      <x:c r="N425" s="56" t="n">
        <x:f>SUMIFS($G$4:$G$1673,$A$4:$A$1673,A425)</x:f>
        <x:v>360</x:v>
      </x:c>
      <x:c r="O425" s="56" t="str">
        <x:f>IF(N425=360,"通过","失败")</x:f>
        <x:v>通过</x:v>
      </x:c>
      <x:c r="P425" s="56" t="str"/>
      <x:c r="Q425" s="59" t="str">
        <x:v>待确认</x:v>
      </x:c>
    </x:row>
    <x:row r="426">
      <x:c r="A426" s="56" t="str">
        <x:v>P011</x:v>
      </x:c>
      <x:c r="B426" s="56" t="str">
        <x:v>P011</x:v>
      </x:c>
      <x:c r="C426" s="56" t="str">
        <x:v>diagnosis</x:v>
      </x:c>
      <x:c r="D426" s="56" t="n">
        <x:v>45</x:v>
      </x:c>
      <x:c r="E426" s="56" t="str">
        <x:v>diagnosis.differentials</x:v>
      </x:c>
      <x:c r="F426" s="56" t="str">
        <x:v>至少3项鉴别及支持/反对点</x:v>
      </x:c>
      <x:c r="G426" s="56" t="n">
        <x:v>15</x:v>
      </x:c>
      <x:c r="H426" s="56" t="str">
        <x:v>普通得分项</x:v>
      </x:c>
      <x:c r="I426" s="56" t="str">
        <x:v>否</x:v>
      </x:c>
      <x:c r="J426" s="56" t="str">
        <x:v>否</x:v>
      </x:c>
      <x:c r="K426" s="56" t="str">
        <x:v>否</x:v>
      </x:c>
      <x:c r="L426" s="56" t="str">
        <x:v>按结构化事件证据给予0/部分/满分；不能由总结反推已完成</x:v>
      </x:c>
      <x:c r="M426" s="56" t="str"/>
      <x:c r="N426" s="56" t="n">
        <x:f>SUMIFS($G$4:$G$1673,$A$4:$A$1673,A426)</x:f>
        <x:v>360</x:v>
      </x:c>
      <x:c r="O426" s="56" t="str">
        <x:f>IF(N426=360,"通过","失败")</x:f>
        <x:v>通过</x:v>
      </x:c>
      <x:c r="P426" s="56" t="str"/>
      <x:c r="Q426" s="59" t="str">
        <x:v>待确认</x:v>
      </x:c>
    </x:row>
    <x:row r="427">
      <x:c r="A427" s="56" t="str">
        <x:v>P011</x:v>
      </x:c>
      <x:c r="B427" s="56" t="str">
        <x:v>P011</x:v>
      </x:c>
      <x:c r="C427" s="56" t="str">
        <x:v>diagnosis</x:v>
      </x:c>
      <x:c r="D427" s="56" t="n">
        <x:v>45</x:v>
      </x:c>
      <x:c r="E427" s="56" t="str">
        <x:v>diagnosis.confirmation</x:v>
      </x:c>
      <x:c r="F427" s="56" t="str">
        <x:v>确认计划</x:v>
      </x:c>
      <x:c r="G427" s="56" t="n">
        <x:v>15</x:v>
      </x:c>
      <x:c r="H427" s="56" t="str">
        <x:v>普通得分项</x:v>
      </x:c>
      <x:c r="I427" s="56" t="str">
        <x:v>否</x:v>
      </x:c>
      <x:c r="J427" s="56" t="str">
        <x:v>否</x:v>
      </x:c>
      <x:c r="K427" s="56" t="str">
        <x:v>否</x:v>
      </x:c>
      <x:c r="L427" s="56" t="str">
        <x:v>按结构化事件证据给予0/部分/满分；不能由总结反推已完成</x:v>
      </x:c>
      <x:c r="M427" s="56" t="str"/>
      <x:c r="N427" s="56" t="n">
        <x:f>SUMIFS($G$4:$G$1673,$A$4:$A$1673,A427)</x:f>
        <x:v>360</x:v>
      </x:c>
      <x:c r="O427" s="56" t="str">
        <x:f>IF(N427=360,"通过","失败")</x:f>
        <x:v>通过</x:v>
      </x:c>
      <x:c r="P427" s="56" t="str"/>
      <x:c r="Q427" s="59" t="str">
        <x:v>待确认</x:v>
      </x:c>
    </x:row>
    <x:row r="428">
      <x:c r="A428" s="56" t="str">
        <x:v>P011</x:v>
      </x:c>
      <x:c r="B428" s="56" t="str">
        <x:v>P011</x:v>
      </x:c>
      <x:c r="C428" s="56" t="str">
        <x:v>orders</x:v>
      </x:c>
      <x:c r="D428" s="56" t="n">
        <x:v>55</x:v>
      </x:c>
      <x:c r="E428" s="56" t="str">
        <x:v>orders.LAB-UR-002</x:v>
      </x:c>
      <x:c r="F428" s="56" t="str">
        <x:v>LAB-UR-002</x:v>
      </x:c>
      <x:c r="G428" s="56" t="n">
        <x:v>10</x:v>
      </x:c>
      <x:c r="H428" s="56" t="str">
        <x:v>病例特异得分项</x:v>
      </x:c>
      <x:c r="I428" s="56" t="str">
        <x:v>否</x:v>
      </x:c>
      <x:c r="J428" s="56" t="str">
        <x:v>否</x:v>
      </x:c>
      <x:c r="K428" s="56" t="str">
        <x:v>否</x:v>
      </x:c>
      <x:c r="L428" s="56" t="str">
        <x:v>按结构化事件证据给予0/部分/满分；不能由总结反推已完成</x:v>
      </x:c>
      <x:c r="M428" s="56" t="str"/>
      <x:c r="N428" s="56" t="n">
        <x:f>SUMIFS($G$4:$G$1673,$A$4:$A$1673,A428)</x:f>
        <x:v>360</x:v>
      </x:c>
      <x:c r="O428" s="56" t="str">
        <x:f>IF(N428=360,"通过","失败")</x:f>
        <x:v>通过</x:v>
      </x:c>
      <x:c r="P428" s="56" t="str"/>
      <x:c r="Q428" s="59" t="str">
        <x:v>待确认</x:v>
      </x:c>
    </x:row>
    <x:row r="429">
      <x:c r="A429" s="56" t="str">
        <x:v>P011</x:v>
      </x:c>
      <x:c r="B429" s="56" t="str">
        <x:v>P011</x:v>
      </x:c>
      <x:c r="C429" s="56" t="str">
        <x:v>orders</x:v>
      </x:c>
      <x:c r="D429" s="56" t="n">
        <x:v>55</x:v>
      </x:c>
      <x:c r="E429" s="56" t="str">
        <x:v>orders.LAB-UR-003</x:v>
      </x:c>
      <x:c r="F429" s="56" t="str">
        <x:v>LAB-UR-003</x:v>
      </x:c>
      <x:c r="G429" s="56" t="n">
        <x:v>9</x:v>
      </x:c>
      <x:c r="H429" s="56" t="str">
        <x:v>病例特异得分项</x:v>
      </x:c>
      <x:c r="I429" s="56" t="str">
        <x:v>否</x:v>
      </x:c>
      <x:c r="J429" s="56" t="str">
        <x:v>否</x:v>
      </x:c>
      <x:c r="K429" s="56" t="str">
        <x:v>否</x:v>
      </x:c>
      <x:c r="L429" s="56" t="str">
        <x:v>按结构化事件证据给予0/部分/满分；不能由总结反推已完成</x:v>
      </x:c>
      <x:c r="M429" s="56" t="str"/>
      <x:c r="N429" s="56" t="n">
        <x:f>SUMIFS($G$4:$G$1673,$A$4:$A$1673,A429)</x:f>
        <x:v>360</x:v>
      </x:c>
      <x:c r="O429" s="56" t="str">
        <x:f>IF(N429=360,"通过","失败")</x:f>
        <x:v>通过</x:v>
      </x:c>
      <x:c r="P429" s="56" t="str"/>
      <x:c r="Q429" s="59" t="str">
        <x:v>待确认</x:v>
      </x:c>
    </x:row>
    <x:row r="430">
      <x:c r="A430" s="56" t="str">
        <x:v>P011</x:v>
      </x:c>
      <x:c r="B430" s="56" t="str">
        <x:v>P011</x:v>
      </x:c>
      <x:c r="C430" s="56" t="str">
        <x:v>orders</x:v>
      </x:c>
      <x:c r="D430" s="56" t="n">
        <x:v>55</x:v>
      </x:c>
      <x:c r="E430" s="56" t="str">
        <x:v>orders.LAB-UR-004</x:v>
      </x:c>
      <x:c r="F430" s="56" t="str">
        <x:v>LAB-UR-004</x:v>
      </x:c>
      <x:c r="G430" s="56" t="n">
        <x:v>9</x:v>
      </x:c>
      <x:c r="H430" s="56" t="str">
        <x:v>病例特异得分项</x:v>
      </x:c>
      <x:c r="I430" s="56" t="str">
        <x:v>否</x:v>
      </x:c>
      <x:c r="J430" s="56" t="str">
        <x:v>否</x:v>
      </x:c>
      <x:c r="K430" s="56" t="str">
        <x:v>否</x:v>
      </x:c>
      <x:c r="L430" s="56" t="str">
        <x:v>按结构化事件证据给予0/部分/满分；不能由总结反推已完成</x:v>
      </x:c>
      <x:c r="M430" s="56" t="str"/>
      <x:c r="N430" s="56" t="n">
        <x:f>SUMIFS($G$4:$G$1673,$A$4:$A$1673,A430)</x:f>
        <x:v>360</x:v>
      </x:c>
      <x:c r="O430" s="56" t="str">
        <x:f>IF(N430=360,"通过","失败")</x:f>
        <x:v>通过</x:v>
      </x:c>
      <x:c r="P430" s="56" t="str"/>
      <x:c r="Q430" s="59" t="str">
        <x:v>待确认</x:v>
      </x:c>
    </x:row>
    <x:row r="431">
      <x:c r="A431" s="56" t="str">
        <x:v>P011</x:v>
      </x:c>
      <x:c r="B431" s="56" t="str">
        <x:v>P011</x:v>
      </x:c>
      <x:c r="C431" s="56" t="str">
        <x:v>orders</x:v>
      </x:c>
      <x:c r="D431" s="56" t="n">
        <x:v>55</x:v>
      </x:c>
      <x:c r="E431" s="56" t="str">
        <x:v>orders.LAB-BL-003</x:v>
      </x:c>
      <x:c r="F431" s="56" t="str">
        <x:v>LAB-BL-003</x:v>
      </x:c>
      <x:c r="G431" s="56" t="n">
        <x:v>9</x:v>
      </x:c>
      <x:c r="H431" s="56" t="str">
        <x:v>病例特异得分项</x:v>
      </x:c>
      <x:c r="I431" s="56" t="str">
        <x:v>否</x:v>
      </x:c>
      <x:c r="J431" s="56" t="str">
        <x:v>否</x:v>
      </x:c>
      <x:c r="K431" s="56" t="str">
        <x:v>否</x:v>
      </x:c>
      <x:c r="L431" s="56" t="str">
        <x:v>按结构化事件证据给予0/部分/满分；不能由总结反推已完成</x:v>
      </x:c>
      <x:c r="M431" s="56" t="str"/>
      <x:c r="N431" s="56" t="n">
        <x:f>SUMIFS($G$4:$G$1673,$A$4:$A$1673,A431)</x:f>
        <x:v>360</x:v>
      </x:c>
      <x:c r="O431" s="56" t="str">
        <x:f>IF(N431=360,"通过","失败")</x:f>
        <x:v>通过</x:v>
      </x:c>
      <x:c r="P431" s="56" t="str"/>
      <x:c r="Q431" s="59" t="str">
        <x:v>待确认</x:v>
      </x:c>
    </x:row>
    <x:row r="432">
      <x:c r="A432" s="56" t="str">
        <x:v>P011</x:v>
      </x:c>
      <x:c r="B432" s="56" t="str">
        <x:v>P011</x:v>
      </x:c>
      <x:c r="C432" s="56" t="str">
        <x:v>orders</x:v>
      </x:c>
      <x:c r="D432" s="56" t="n">
        <x:v>55</x:v>
      </x:c>
      <x:c r="E432" s="56" t="str">
        <x:v>orders.LAB-BL-011</x:v>
      </x:c>
      <x:c r="F432" s="56" t="str">
        <x:v>LAB-BL-011</x:v>
      </x:c>
      <x:c r="G432" s="56" t="n">
        <x:v>9</x:v>
      </x:c>
      <x:c r="H432" s="56" t="str">
        <x:v>病例特异得分项</x:v>
      </x:c>
      <x:c r="I432" s="56" t="str">
        <x:v>否</x:v>
      </x:c>
      <x:c r="J432" s="56" t="str">
        <x:v>否</x:v>
      </x:c>
      <x:c r="K432" s="56" t="str">
        <x:v>否</x:v>
      </x:c>
      <x:c r="L432" s="56" t="str">
        <x:v>按结构化事件证据给予0/部分/满分；不能由总结反推已完成</x:v>
      </x:c>
      <x:c r="M432" s="56" t="str"/>
      <x:c r="N432" s="56" t="n">
        <x:f>SUMIFS($G$4:$G$1673,$A$4:$A$1673,A432)</x:f>
        <x:v>360</x:v>
      </x:c>
      <x:c r="O432" s="56" t="str">
        <x:f>IF(N432=360,"通过","失败")</x:f>
        <x:v>通过</x:v>
      </x:c>
      <x:c r="P432" s="56" t="str"/>
      <x:c r="Q432" s="59" t="str">
        <x:v>待确认</x:v>
      </x:c>
    </x:row>
    <x:row r="433">
      <x:c r="A433" s="56" t="str">
        <x:v>P011</x:v>
      </x:c>
      <x:c r="B433" s="56" t="str">
        <x:v>P011</x:v>
      </x:c>
      <x:c r="C433" s="56" t="str">
        <x:v>orders</x:v>
      </x:c>
      <x:c r="D433" s="56" t="n">
        <x:v>55</x:v>
      </x:c>
      <x:c r="E433" s="56" t="str">
        <x:v>orders.LAB-PATH-003</x:v>
      </x:c>
      <x:c r="F433" s="56" t="str">
        <x:v>LAB-PATH-003</x:v>
      </x:c>
      <x:c r="G433" s="56" t="n">
        <x:v>9</x:v>
      </x:c>
      <x:c r="H433" s="56" t="str">
        <x:v>病例特异得分项</x:v>
      </x:c>
      <x:c r="I433" s="56" t="str">
        <x:v>否</x:v>
      </x:c>
      <x:c r="J433" s="56" t="str">
        <x:v>否</x:v>
      </x:c>
      <x:c r="K433" s="56" t="str">
        <x:v>否</x:v>
      </x:c>
      <x:c r="L433" s="56" t="str">
        <x:v>按结构化事件证据给予0/部分/满分；不能由总结反推已完成</x:v>
      </x:c>
      <x:c r="M433" s="56" t="str"/>
      <x:c r="N433" s="56" t="n">
        <x:f>SUMIFS($G$4:$G$1673,$A$4:$A$1673,A433)</x:f>
        <x:v>360</x:v>
      </x:c>
      <x:c r="O433" s="56" t="str">
        <x:f>IF(N433=360,"通过","失败")</x:f>
        <x:v>通过</x:v>
      </x:c>
      <x:c r="P433" s="56" t="str"/>
      <x:c r="Q433" s="59" t="str">
        <x:v>待确认</x:v>
      </x:c>
    </x:row>
    <x:row r="434">
      <x:c r="A434" s="56" t="str">
        <x:v>P011</x:v>
      </x:c>
      <x:c r="B434" s="56" t="str">
        <x:v>P011</x:v>
      </x:c>
      <x:c r="C434" s="56" t="str">
        <x:v>mdt</x:v>
      </x:c>
      <x:c r="D434" s="56" t="n">
        <x:v>45</x:v>
      </x:c>
      <x:c r="E434" s="56" t="str">
        <x:v>mdt.department</x:v>
      </x:c>
      <x:c r="F434" s="56" t="str">
        <x:v>department</x:v>
      </x:c>
      <x:c r="G434" s="56" t="n">
        <x:v>12</x:v>
      </x:c>
      <x:c r="H434" s="56" t="str">
        <x:v>病例特异得分项</x:v>
      </x:c>
      <x:c r="I434" s="56" t="str">
        <x:v>否</x:v>
      </x:c>
      <x:c r="J434" s="56" t="str">
        <x:v>否</x:v>
      </x:c>
      <x:c r="K434" s="56" t="str">
        <x:v>否</x:v>
      </x:c>
      <x:c r="L434" s="56" t="str">
        <x:v>按结构化事件证据给予0/部分/满分；不能由总结反推已完成</x:v>
      </x:c>
      <x:c r="M434" s="56" t="str"/>
      <x:c r="N434" s="56" t="n">
        <x:f>SUMIFS($G$4:$G$1673,$A$4:$A$1673,A434)</x:f>
        <x:v>360</x:v>
      </x:c>
      <x:c r="O434" s="56" t="str">
        <x:f>IF(N434=360,"通过","失败")</x:f>
        <x:v>通过</x:v>
      </x:c>
      <x:c r="P434" s="56" t="str"/>
      <x:c r="Q434" s="59" t="str">
        <x:v>待确认</x:v>
      </x:c>
    </x:row>
    <x:row r="435">
      <x:c r="A435" s="56" t="str">
        <x:v>P011</x:v>
      </x:c>
      <x:c r="B435" s="56" t="str">
        <x:v>P011</x:v>
      </x:c>
      <x:c r="C435" s="56" t="str">
        <x:v>mdt</x:v>
      </x:c>
      <x:c r="D435" s="56" t="n">
        <x:v>45</x:v>
      </x:c>
      <x:c r="E435" s="56" t="str">
        <x:v>mdt.trigger</x:v>
      </x:c>
      <x:c r="F435" s="56" t="str">
        <x:v>trigger</x:v>
      </x:c>
      <x:c r="G435" s="56" t="n">
        <x:v>11</x:v>
      </x:c>
      <x:c r="H435" s="56" t="str">
        <x:v>病例特异得分项</x:v>
      </x:c>
      <x:c r="I435" s="56" t="str">
        <x:v>否</x:v>
      </x:c>
      <x:c r="J435" s="56" t="str">
        <x:v>否</x:v>
      </x:c>
      <x:c r="K435" s="56" t="str">
        <x:v>否</x:v>
      </x:c>
      <x:c r="L435" s="56" t="str">
        <x:v>按结构化事件证据给予0/部分/满分；不能由总结反推已完成</x:v>
      </x:c>
      <x:c r="M435" s="56" t="str"/>
      <x:c r="N435" s="56" t="n">
        <x:f>SUMIFS($G$4:$G$1673,$A$4:$A$1673,A435)</x:f>
        <x:v>360</x:v>
      </x:c>
      <x:c r="O435" s="56" t="str">
        <x:f>IF(N435=360,"通过","失败")</x:f>
        <x:v>通过</x:v>
      </x:c>
      <x:c r="P435" s="56" t="str"/>
      <x:c r="Q435" s="59" t="str">
        <x:v>待确认</x:v>
      </x:c>
    </x:row>
    <x:row r="436">
      <x:c r="A436" s="56" t="str">
        <x:v>P011</x:v>
      </x:c>
      <x:c r="B436" s="56" t="str">
        <x:v>P011</x:v>
      </x:c>
      <x:c r="C436" s="56" t="str">
        <x:v>mdt</x:v>
      </x:c>
      <x:c r="D436" s="56" t="n">
        <x:v>45</x:v>
      </x:c>
      <x:c r="E436" s="56" t="str">
        <x:v>mdt.question</x:v>
      </x:c>
      <x:c r="F436" s="56" t="str">
        <x:v>question</x:v>
      </x:c>
      <x:c r="G436" s="56" t="n">
        <x:v>11</x:v>
      </x:c>
      <x:c r="H436" s="56" t="str">
        <x:v>病例特异得分项</x:v>
      </x:c>
      <x:c r="I436" s="56" t="str">
        <x:v>否</x:v>
      </x:c>
      <x:c r="J436" s="56" t="str">
        <x:v>否</x:v>
      </x:c>
      <x:c r="K436" s="56" t="str">
        <x:v>否</x:v>
      </x:c>
      <x:c r="L436" s="56" t="str">
        <x:v>按结构化事件证据给予0/部分/满分；不能由总结反推已完成</x:v>
      </x:c>
      <x:c r="M436" s="56" t="str"/>
      <x:c r="N436" s="56" t="n">
        <x:f>SUMIFS($G$4:$G$1673,$A$4:$A$1673,A436)</x:f>
        <x:v>360</x:v>
      </x:c>
      <x:c r="O436" s="56" t="str">
        <x:f>IF(N436=360,"通过","失败")</x:f>
        <x:v>通过</x:v>
      </x:c>
      <x:c r="P436" s="56" t="str"/>
      <x:c r="Q436" s="59" t="str">
        <x:v>待确认</x:v>
      </x:c>
    </x:row>
    <x:row r="437">
      <x:c r="A437" s="56" t="str">
        <x:v>P011</x:v>
      </x:c>
      <x:c r="B437" s="56" t="str">
        <x:v>P011</x:v>
      </x:c>
      <x:c r="C437" s="56" t="str">
        <x:v>mdt</x:v>
      </x:c>
      <x:c r="D437" s="56" t="n">
        <x:v>45</x:v>
      </x:c>
      <x:c r="E437" s="56" t="str">
        <x:v>mdt.evidence</x:v>
      </x:c>
      <x:c r="F437" s="56" t="str">
        <x:v>evidence</x:v>
      </x:c>
      <x:c r="G437" s="56" t="n">
        <x:v>11</x:v>
      </x:c>
      <x:c r="H437" s="56" t="str">
        <x:v>病例特异得分项</x:v>
      </x:c>
      <x:c r="I437" s="56" t="str">
        <x:v>否</x:v>
      </x:c>
      <x:c r="J437" s="56" t="str">
        <x:v>否</x:v>
      </x:c>
      <x:c r="K437" s="56" t="str">
        <x:v>否</x:v>
      </x:c>
      <x:c r="L437" s="56" t="str">
        <x:v>按结构化事件证据给予0/部分/满分；不能由总结反推已完成</x:v>
      </x:c>
      <x:c r="M437" s="56" t="str"/>
      <x:c r="N437" s="56" t="n">
        <x:f>SUMIFS($G$4:$G$1673,$A$4:$A$1673,A437)</x:f>
        <x:v>360</x:v>
      </x:c>
      <x:c r="O437" s="56" t="str">
        <x:f>IF(N437=360,"通过","失败")</x:f>
        <x:v>通过</x:v>
      </x:c>
      <x:c r="P437" s="56" t="str"/>
      <x:c r="Q437" s="59" t="str">
        <x:v>待确认</x:v>
      </x:c>
    </x:row>
    <x:row r="438">
      <x:c r="A438" s="56" t="str">
        <x:v>P011</x:v>
      </x:c>
      <x:c r="B438" s="56" t="str">
        <x:v>P011</x:v>
      </x:c>
      <x:c r="C438" s="56" t="str">
        <x:v>treatment</x:v>
      </x:c>
      <x:c r="D438" s="56" t="n">
        <x:v>50</x:v>
      </x:c>
      <x:c r="E438" s="56" t="str">
        <x:v>treatment.immediate</x:v>
      </x:c>
      <x:c r="F438" s="56" t="str">
        <x:v>immediate</x:v>
      </x:c>
      <x:c r="G438" s="56" t="n">
        <x:v>13</x:v>
      </x:c>
      <x:c r="H438" s="56" t="str">
        <x:v>病例特异得分项</x:v>
      </x:c>
      <x:c r="I438" s="56" t="str">
        <x:v>否</x:v>
      </x:c>
      <x:c r="J438" s="56" t="str">
        <x:v>否</x:v>
      </x:c>
      <x:c r="K438" s="56" t="str">
        <x:v>否</x:v>
      </x:c>
      <x:c r="L438" s="56" t="str">
        <x:v>按结构化事件证据给予0/部分/满分；不能由总结反推已完成</x:v>
      </x:c>
      <x:c r="M438" s="56" t="str"/>
      <x:c r="N438" s="56" t="n">
        <x:f>SUMIFS($G$4:$G$1673,$A$4:$A$1673,A438)</x:f>
        <x:v>360</x:v>
      </x:c>
      <x:c r="O438" s="56" t="str">
        <x:f>IF(N438=360,"通过","失败")</x:f>
        <x:v>通过</x:v>
      </x:c>
      <x:c r="P438" s="56" t="str"/>
      <x:c r="Q438" s="59" t="str">
        <x:v>待确认</x:v>
      </x:c>
    </x:row>
    <x:row r="439">
      <x:c r="A439" s="56" t="str">
        <x:v>P011</x:v>
      </x:c>
      <x:c r="B439" s="56" t="str">
        <x:v>P011</x:v>
      </x:c>
      <x:c r="C439" s="56" t="str">
        <x:v>treatment</x:v>
      </x:c>
      <x:c r="D439" s="56" t="n">
        <x:v>50</x:v>
      </x:c>
      <x:c r="E439" s="56" t="str">
        <x:v>treatment.etiologic</x:v>
      </x:c>
      <x:c r="F439" s="56" t="str">
        <x:v>etiologic</x:v>
      </x:c>
      <x:c r="G439" s="56" t="n">
        <x:v>13</x:v>
      </x:c>
      <x:c r="H439" s="56" t="str">
        <x:v>病例特异得分项</x:v>
      </x:c>
      <x:c r="I439" s="56" t="str">
        <x:v>否</x:v>
      </x:c>
      <x:c r="J439" s="56" t="str">
        <x:v>否</x:v>
      </x:c>
      <x:c r="K439" s="56" t="str">
        <x:v>否</x:v>
      </x:c>
      <x:c r="L439" s="56" t="str">
        <x:v>按结构化事件证据给予0/部分/满分；不能由总结反推已完成</x:v>
      </x:c>
      <x:c r="M439" s="56" t="str"/>
      <x:c r="N439" s="56" t="n">
        <x:f>SUMIFS($G$4:$G$1673,$A$4:$A$1673,A439)</x:f>
        <x:v>360</x:v>
      </x:c>
      <x:c r="O439" s="56" t="str">
        <x:f>IF(N439=360,"通过","失败")</x:f>
        <x:v>通过</x:v>
      </x:c>
      <x:c r="P439" s="56" t="str"/>
      <x:c r="Q439" s="59" t="str">
        <x:v>待确认</x:v>
      </x:c>
    </x:row>
    <x:row r="440">
      <x:c r="A440" s="56" t="str">
        <x:v>P011</x:v>
      </x:c>
      <x:c r="B440" s="56" t="str">
        <x:v>P011</x:v>
      </x:c>
      <x:c r="C440" s="56" t="str">
        <x:v>treatment</x:v>
      </x:c>
      <x:c r="D440" s="56" t="n">
        <x:v>50</x:v>
      </x:c>
      <x:c r="E440" s="56" t="str">
        <x:v>treatment.definitive</x:v>
      </x:c>
      <x:c r="F440" s="56" t="str">
        <x:v>definitive</x:v>
      </x:c>
      <x:c r="G440" s="56" t="n">
        <x:v>12</x:v>
      </x:c>
      <x:c r="H440" s="56" t="str">
        <x:v>病例特异得分项</x:v>
      </x:c>
      <x:c r="I440" s="56" t="str">
        <x:v>否</x:v>
      </x:c>
      <x:c r="J440" s="56" t="str">
        <x:v>否</x:v>
      </x:c>
      <x:c r="K440" s="56" t="str">
        <x:v>否</x:v>
      </x:c>
      <x:c r="L440" s="56" t="str">
        <x:v>按结构化事件证据给予0/部分/满分；不能由总结反推已完成</x:v>
      </x:c>
      <x:c r="M440" s="56" t="str"/>
      <x:c r="N440" s="56" t="n">
        <x:f>SUMIFS($G$4:$G$1673,$A$4:$A$1673,A440)</x:f>
        <x:v>360</x:v>
      </x:c>
      <x:c r="O440" s="56" t="str">
        <x:f>IF(N440=360,"通过","失败")</x:f>
        <x:v>通过</x:v>
      </x:c>
      <x:c r="P440" s="56" t="str"/>
      <x:c r="Q440" s="59" t="str">
        <x:v>待确认</x:v>
      </x:c>
    </x:row>
    <x:row r="441">
      <x:c r="A441" s="56" t="str">
        <x:v>P011</x:v>
      </x:c>
      <x:c r="B441" s="56" t="str">
        <x:v>P011</x:v>
      </x:c>
      <x:c r="C441" s="56" t="str">
        <x:v>treatment</x:v>
      </x:c>
      <x:c r="D441" s="56" t="n">
        <x:v>50</x:v>
      </x:c>
      <x:c r="E441" s="56" t="str">
        <x:v>treatment.perioperative</x:v>
      </x:c>
      <x:c r="F441" s="56" t="str">
        <x:v>perioperative</x:v>
      </x:c>
      <x:c r="G441" s="56" t="n">
        <x:v>12</x:v>
      </x:c>
      <x:c r="H441" s="56" t="str">
        <x:v>病例特异得分项</x:v>
      </x:c>
      <x:c r="I441" s="56" t="str">
        <x:v>否</x:v>
      </x:c>
      <x:c r="J441" s="56" t="str">
        <x:v>否</x:v>
      </x:c>
      <x:c r="K441" s="56" t="str">
        <x:v>否</x:v>
      </x:c>
      <x:c r="L441" s="56" t="str">
        <x:v>按结构化事件证据给予0/部分/满分；不能由总结反推已完成</x:v>
      </x:c>
      <x:c r="M441" s="56" t="str"/>
      <x:c r="N441" s="56" t="n">
        <x:f>SUMIFS($G$4:$G$1673,$A$4:$A$1673,A441)</x:f>
        <x:v>360</x:v>
      </x:c>
      <x:c r="O441" s="56" t="str">
        <x:f>IF(N441=360,"通过","失败")</x:f>
        <x:v>通过</x:v>
      </x:c>
      <x:c r="P441" s="56" t="str"/>
      <x:c r="Q441" s="59" t="str">
        <x:v>待确认</x:v>
      </x:c>
    </x:row>
    <x:row r="442">
      <x:c r="A442" s="56" t="str">
        <x:v>P011</x:v>
      </x:c>
      <x:c r="B442" s="56" t="str">
        <x:v>P011</x:v>
      </x:c>
      <x:c r="C442" s="56" t="str">
        <x:v>followup</x:v>
      </x:c>
      <x:c r="D442" s="56" t="n">
        <x:v>40</x:v>
      </x:c>
      <x:c r="E442" s="56" t="str">
        <x:v>followup.plan</x:v>
      </x:c>
      <x:c r="F442" s="56" t="str">
        <x:v>随访复查</x:v>
      </x:c>
      <x:c r="G442" s="56" t="n">
        <x:v>10</x:v>
      </x:c>
      <x:c r="H442" s="56" t="str">
        <x:v>普通得分项</x:v>
      </x:c>
      <x:c r="I442" s="56" t="str">
        <x:v>否</x:v>
      </x:c>
      <x:c r="J442" s="56" t="str">
        <x:v>否</x:v>
      </x:c>
      <x:c r="K442" s="56" t="str">
        <x:v>否</x:v>
      </x:c>
      <x:c r="L442" s="56" t="str">
        <x:v>按结构化事件证据给予0/部分/满分；不能由总结反推已完成</x:v>
      </x:c>
      <x:c r="M442" s="56" t="str"/>
      <x:c r="N442" s="56" t="n">
        <x:f>SUMIFS($G$4:$G$1673,$A$4:$A$1673,A442)</x:f>
        <x:v>360</x:v>
      </x:c>
      <x:c r="O442" s="56" t="str">
        <x:f>IF(N442=360,"通过","失败")</x:f>
        <x:v>通过</x:v>
      </x:c>
      <x:c r="P442" s="56" t="str"/>
      <x:c r="Q442" s="59" t="str">
        <x:v>待确认</x:v>
      </x:c>
    </x:row>
    <x:row r="443">
      <x:c r="A443" s="56" t="str">
        <x:v>P011</x:v>
      </x:c>
      <x:c r="B443" s="56" t="str">
        <x:v>P011</x:v>
      </x:c>
      <x:c r="C443" s="56" t="str">
        <x:v>followup</x:v>
      </x:c>
      <x:c r="D443" s="56" t="n">
        <x:v>40</x:v>
      </x:c>
      <x:c r="E443" s="56" t="str">
        <x:v>followup.education</x:v>
      </x:c>
      <x:c r="F443" s="56" t="str">
        <x:v>患者教育</x:v>
      </x:c>
      <x:c r="G443" s="56" t="n">
        <x:v>10</x:v>
      </x:c>
      <x:c r="H443" s="56" t="str">
        <x:v>普通得分项</x:v>
      </x:c>
      <x:c r="I443" s="56" t="str">
        <x:v>否</x:v>
      </x:c>
      <x:c r="J443" s="56" t="str">
        <x:v>否</x:v>
      </x:c>
      <x:c r="K443" s="56" t="str">
        <x:v>否</x:v>
      </x:c>
      <x:c r="L443" s="56" t="str">
        <x:v>按结构化事件证据给予0/部分/满分；不能由总结反推已完成</x:v>
      </x:c>
      <x:c r="M443" s="56" t="str"/>
      <x:c r="N443" s="56" t="n">
        <x:f>SUMIFS($G$4:$G$1673,$A$4:$A$1673,A443)</x:f>
        <x:v>360</x:v>
      </x:c>
      <x:c r="O443" s="56" t="str">
        <x:f>IF(N443=360,"通过","失败")</x:f>
        <x:v>通过</x:v>
      </x:c>
      <x:c r="P443" s="56" t="str"/>
      <x:c r="Q443" s="59" t="str">
        <x:v>待确认</x:v>
      </x:c>
    </x:row>
    <x:row r="444">
      <x:c r="A444" s="56" t="str">
        <x:v>P011</x:v>
      </x:c>
      <x:c r="B444" s="56" t="str">
        <x:v>P011</x:v>
      </x:c>
      <x:c r="C444" s="56" t="str">
        <x:v>followup</x:v>
      </x:c>
      <x:c r="D444" s="56" t="n">
        <x:v>40</x:v>
      </x:c>
      <x:c r="E444" s="56" t="str">
        <x:v>followup.reflection</x:v>
      </x:c>
      <x:c r="F444" s="56" t="str">
        <x:v>学习反思质量</x:v>
      </x:c>
      <x:c r="G444" s="56" t="n">
        <x:v>10</x:v>
      </x:c>
      <x:c r="H444" s="56" t="str">
        <x:v>普通得分项</x:v>
      </x:c>
      <x:c r="I444" s="56" t="str">
        <x:v>否</x:v>
      </x:c>
      <x:c r="J444" s="56" t="str">
        <x:v>否</x:v>
      </x:c>
      <x:c r="K444" s="56" t="str">
        <x:v>否</x:v>
      </x:c>
      <x:c r="L444" s="56" t="str">
        <x:v>按结构化事件证据给予0/部分/满分；不能由总结反推已完成</x:v>
      </x:c>
      <x:c r="M444" s="56" t="str"/>
      <x:c r="N444" s="56" t="n">
        <x:f>SUMIFS($G$4:$G$1673,$A$4:$A$1673,A444)</x:f>
        <x:v>360</x:v>
      </x:c>
      <x:c r="O444" s="56" t="str">
        <x:f>IF(N444=360,"通过","失败")</x:f>
        <x:v>通过</x:v>
      </x:c>
      <x:c r="P444" s="56" t="str"/>
      <x:c r="Q444" s="59" t="str">
        <x:v>待确认</x:v>
      </x:c>
    </x:row>
    <x:row r="445">
      <x:c r="A445" s="56" t="str">
        <x:v>P011</x:v>
      </x:c>
      <x:c r="B445" s="56" t="str">
        <x:v>P011</x:v>
      </x:c>
      <x:c r="C445" s="56" t="str">
        <x:v>followup</x:v>
      </x:c>
      <x:c r="D445" s="56" t="n">
        <x:v>40</x:v>
      </x:c>
      <x:c r="E445" s="56" t="str">
        <x:v>followup.efficiency</x:v>
      </x:c>
      <x:c r="F445" s="56" t="str">
        <x:v>操作效率</x:v>
      </x:c>
      <x:c r="G445" s="56" t="n">
        <x:v>10</x:v>
      </x:c>
      <x:c r="H445" s="56" t="str">
        <x:v>普通得分项</x:v>
      </x:c>
      <x:c r="I445" s="56" t="str">
        <x:v>否</x:v>
      </x:c>
      <x:c r="J445" s="56" t="str">
        <x:v>否</x:v>
      </x:c>
      <x:c r="K445" s="56" t="str">
        <x:v>否</x:v>
      </x:c>
      <x:c r="L445" s="56" t="str">
        <x:v>按结构化事件证据给予0/部分/满分；不能由总结反推已完成</x:v>
      </x:c>
      <x:c r="M445" s="56" t="str"/>
      <x:c r="N445" s="56" t="n">
        <x:f>SUMIFS($G$4:$G$1673,$A$4:$A$1673,A445)</x:f>
        <x:v>360</x:v>
      </x:c>
      <x:c r="O445" s="56" t="str">
        <x:f>IF(N445=360,"通过","失败")</x:f>
        <x:v>通过</x:v>
      </x:c>
      <x:c r="P445" s="56" t="str"/>
      <x:c r="Q445" s="59" t="str">
        <x:v>待确认</x:v>
      </x:c>
    </x:row>
    <x:row r="446">
      <x:c r="A446" s="56" t="str">
        <x:v>P012</x:v>
      </x:c>
      <x:c r="B446" s="56" t="str">
        <x:v>P012</x:v>
      </x:c>
      <x:c r="C446" s="56" t="str">
        <x:v>history</x:v>
      </x:c>
      <x:c r="D446" s="56" t="n">
        <x:v>50</x:v>
      </x:c>
      <x:c r="E446" s="56" t="str">
        <x:v>history.hematuria_visibility</x:v>
      </x:c>
      <x:c r="F446" s="56" t="str">
        <x:v>hematuria_visibility</x:v>
      </x:c>
      <x:c r="G446" s="56" t="n">
        <x:v>5</x:v>
      </x:c>
      <x:c r="H446" s="56" t="str">
        <x:v>普通得分项</x:v>
      </x:c>
      <x:c r="I446" s="56" t="str">
        <x:v>否</x:v>
      </x:c>
      <x:c r="J446" s="56" t="str">
        <x:v>否</x:v>
      </x:c>
      <x:c r="K446" s="56" t="str">
        <x:v>否</x:v>
      </x:c>
      <x:c r="L446" s="56" t="str">
        <x:v>按结构化事件证据给予0/部分/满分；不能由总结反推已完成</x:v>
      </x:c>
      <x:c r="M446" s="56" t="str"/>
      <x:c r="N446" s="56" t="n">
        <x:f>SUMIFS($G$4:$G$1673,$A$4:$A$1673,A446)</x:f>
        <x:v>360</x:v>
      </x:c>
      <x:c r="O446" s="56" t="str">
        <x:f>IF(N446=360,"通过","失败")</x:f>
        <x:v>通过</x:v>
      </x:c>
      <x:c r="P446" s="56" t="str"/>
      <x:c r="Q446" s="59" t="str">
        <x:v>待确认</x:v>
      </x:c>
    </x:row>
    <x:row r="447">
      <x:c r="A447" s="56" t="str">
        <x:v>P012</x:v>
      </x:c>
      <x:c r="B447" s="56" t="str">
        <x:v>P012</x:v>
      </x:c>
      <x:c r="C447" s="56" t="str">
        <x:v>history</x:v>
      </x:c>
      <x:c r="D447" s="56" t="n">
        <x:v>50</x:v>
      </x:c>
      <x:c r="E447" s="56" t="str">
        <x:v>history.hematuria_onset</x:v>
      </x:c>
      <x:c r="F447" s="56" t="str">
        <x:v>hematuria_onset</x:v>
      </x:c>
      <x:c r="G447" s="56" t="n">
        <x:v>5</x:v>
      </x:c>
      <x:c r="H447" s="56" t="str">
        <x:v>普通得分项</x:v>
      </x:c>
      <x:c r="I447" s="56" t="str">
        <x:v>否</x:v>
      </x:c>
      <x:c r="J447" s="56" t="str">
        <x:v>否</x:v>
      </x:c>
      <x:c r="K447" s="56" t="str">
        <x:v>否</x:v>
      </x:c>
      <x:c r="L447" s="56" t="str">
        <x:v>按结构化事件证据给予0/部分/满分；不能由总结反推已完成</x:v>
      </x:c>
      <x:c r="M447" s="56" t="str"/>
      <x:c r="N447" s="56" t="n">
        <x:f>SUMIFS($G$4:$G$1673,$A$4:$A$1673,A447)</x:f>
        <x:v>360</x:v>
      </x:c>
      <x:c r="O447" s="56" t="str">
        <x:f>IF(N447=360,"通过","失败")</x:f>
        <x:v>通过</x:v>
      </x:c>
      <x:c r="P447" s="56" t="str"/>
      <x:c r="Q447" s="59" t="str">
        <x:v>待确认</x:v>
      </x:c>
    </x:row>
    <x:row r="448">
      <x:c r="A448" s="56" t="str">
        <x:v>P012</x:v>
      </x:c>
      <x:c r="B448" s="56" t="str">
        <x:v>P012</x:v>
      </x:c>
      <x:c r="C448" s="56" t="str">
        <x:v>history</x:v>
      </x:c>
      <x:c r="D448" s="56" t="n">
        <x:v>50</x:v>
      </x:c>
      <x:c r="E448" s="56" t="str">
        <x:v>history.hematuria_frequency</x:v>
      </x:c>
      <x:c r="F448" s="56" t="str">
        <x:v>hematuria_frequency</x:v>
      </x:c>
      <x:c r="G448" s="56" t="n">
        <x:v>4</x:v>
      </x:c>
      <x:c r="H448" s="56" t="str">
        <x:v>普通得分项</x:v>
      </x:c>
      <x:c r="I448" s="56" t="str">
        <x:v>否</x:v>
      </x:c>
      <x:c r="J448" s="56" t="str">
        <x:v>否</x:v>
      </x:c>
      <x:c r="K448" s="56" t="str">
        <x:v>否</x:v>
      </x:c>
      <x:c r="L448" s="56" t="str">
        <x:v>按结构化事件证据给予0/部分/满分；不能由总结反推已完成</x:v>
      </x:c>
      <x:c r="M448" s="56" t="str"/>
      <x:c r="N448" s="56" t="n">
        <x:f>SUMIFS($G$4:$G$1673,$A$4:$A$1673,A448)</x:f>
        <x:v>360</x:v>
      </x:c>
      <x:c r="O448" s="56" t="str">
        <x:f>IF(N448=360,"通过","失败")</x:f>
        <x:v>通过</x:v>
      </x:c>
      <x:c r="P448" s="56" t="str"/>
      <x:c r="Q448" s="59" t="str">
        <x:v>待确认</x:v>
      </x:c>
    </x:row>
    <x:row r="449">
      <x:c r="A449" s="56" t="str">
        <x:v>P012</x:v>
      </x:c>
      <x:c r="B449" s="56" t="str">
        <x:v>P012</x:v>
      </x:c>
      <x:c r="C449" s="56" t="str">
        <x:v>history</x:v>
      </x:c>
      <x:c r="D449" s="56" t="n">
        <x:v>50</x:v>
      </x:c>
      <x:c r="E449" s="56" t="str">
        <x:v>history.hematuria_phase</x:v>
      </x:c>
      <x:c r="F449" s="56" t="str">
        <x:v>hematuria_phase</x:v>
      </x:c>
      <x:c r="G449" s="56" t="n">
        <x:v>4</x:v>
      </x:c>
      <x:c r="H449" s="56" t="str">
        <x:v>普通得分项</x:v>
      </x:c>
      <x:c r="I449" s="56" t="str">
        <x:v>否</x:v>
      </x:c>
      <x:c r="J449" s="56" t="str">
        <x:v>否</x:v>
      </x:c>
      <x:c r="K449" s="56" t="str">
        <x:v>否</x:v>
      </x:c>
      <x:c r="L449" s="56" t="str">
        <x:v>按结构化事件证据给予0/部分/满分；不能由总结反推已完成</x:v>
      </x:c>
      <x:c r="M449" s="56" t="str"/>
      <x:c r="N449" s="56" t="n">
        <x:f>SUMIFS($G$4:$G$1673,$A$4:$A$1673,A449)</x:f>
        <x:v>360</x:v>
      </x:c>
      <x:c r="O449" s="56" t="str">
        <x:f>IF(N449=360,"通过","失败")</x:f>
        <x:v>通过</x:v>
      </x:c>
      <x:c r="P449" s="56" t="str"/>
      <x:c r="Q449" s="59" t="str">
        <x:v>待确认</x:v>
      </x:c>
    </x:row>
    <x:row r="450">
      <x:c r="A450" s="56" t="str">
        <x:v>P012</x:v>
      </x:c>
      <x:c r="B450" s="56" t="str">
        <x:v>P012</x:v>
      </x:c>
      <x:c r="C450" s="56" t="str">
        <x:v>history</x:v>
      </x:c>
      <x:c r="D450" s="56" t="n">
        <x:v>50</x:v>
      </x:c>
      <x:c r="E450" s="56" t="str">
        <x:v>history.urine_color</x:v>
      </x:c>
      <x:c r="F450" s="56" t="str">
        <x:v>urine_color</x:v>
      </x:c>
      <x:c r="G450" s="56" t="n">
        <x:v>4</x:v>
      </x:c>
      <x:c r="H450" s="56" t="str">
        <x:v>普通得分项</x:v>
      </x:c>
      <x:c r="I450" s="56" t="str">
        <x:v>否</x:v>
      </x:c>
      <x:c r="J450" s="56" t="str">
        <x:v>否</x:v>
      </x:c>
      <x:c r="K450" s="56" t="str">
        <x:v>否</x:v>
      </x:c>
      <x:c r="L450" s="56" t="str">
        <x:v>按结构化事件证据给予0/部分/满分；不能由总结反推已完成</x:v>
      </x:c>
      <x:c r="M450" s="56" t="str"/>
      <x:c r="N450" s="56" t="n">
        <x:f>SUMIFS($G$4:$G$1673,$A$4:$A$1673,A450)</x:f>
        <x:v>360</x:v>
      </x:c>
      <x:c r="O450" s="56" t="str">
        <x:f>IF(N450=360,"通过","失败")</x:f>
        <x:v>通过</x:v>
      </x:c>
      <x:c r="P450" s="56" t="str"/>
      <x:c r="Q450" s="59" t="str">
        <x:v>待确认</x:v>
      </x:c>
    </x:row>
    <x:row r="451">
      <x:c r="A451" s="56" t="str">
        <x:v>P012</x:v>
      </x:c>
      <x:c r="B451" s="56" t="str">
        <x:v>P012</x:v>
      </x:c>
      <x:c r="C451" s="56" t="str">
        <x:v>history</x:v>
      </x:c>
      <x:c r="D451" s="56" t="n">
        <x:v>50</x:v>
      </x:c>
      <x:c r="E451" s="56" t="str">
        <x:v>history.clots</x:v>
      </x:c>
      <x:c r="F451" s="56" t="str">
        <x:v>clots</x:v>
      </x:c>
      <x:c r="G451" s="56" t="n">
        <x:v>4</x:v>
      </x:c>
      <x:c r="H451" s="56" t="str">
        <x:v>普通得分项</x:v>
      </x:c>
      <x:c r="I451" s="56" t="str">
        <x:v>否</x:v>
      </x:c>
      <x:c r="J451" s="56" t="str">
        <x:v>否</x:v>
      </x:c>
      <x:c r="K451" s="56" t="str">
        <x:v>否</x:v>
      </x:c>
      <x:c r="L451" s="56" t="str">
        <x:v>按结构化事件证据给予0/部分/满分；不能由总结反推已完成</x:v>
      </x:c>
      <x:c r="M451" s="56" t="str"/>
      <x:c r="N451" s="56" t="n">
        <x:f>SUMIFS($G$4:$G$1673,$A$4:$A$1673,A451)</x:f>
        <x:v>360</x:v>
      </x:c>
      <x:c r="O451" s="56" t="str">
        <x:f>IF(N451=360,"通过","失败")</x:f>
        <x:v>通过</x:v>
      </x:c>
      <x:c r="P451" s="56" t="str"/>
      <x:c r="Q451" s="59" t="str">
        <x:v>待确认</x:v>
      </x:c>
    </x:row>
    <x:row r="452">
      <x:c r="A452" s="56" t="str">
        <x:v>P012</x:v>
      </x:c>
      <x:c r="B452" s="56" t="str">
        <x:v>P012</x:v>
      </x:c>
      <x:c r="C452" s="56" t="str">
        <x:v>history</x:v>
      </x:c>
      <x:c r="D452" s="56" t="n">
        <x:v>50</x:v>
      </x:c>
      <x:c r="E452" s="56" t="str">
        <x:v>history.pain</x:v>
      </x:c>
      <x:c r="F452" s="56" t="str">
        <x:v>pain</x:v>
      </x:c>
      <x:c r="G452" s="56" t="n">
        <x:v>4</x:v>
      </x:c>
      <x:c r="H452" s="56" t="str">
        <x:v>普通得分项</x:v>
      </x:c>
      <x:c r="I452" s="56" t="str">
        <x:v>否</x:v>
      </x:c>
      <x:c r="J452" s="56" t="str">
        <x:v>否</x:v>
      </x:c>
      <x:c r="K452" s="56" t="str">
        <x:v>否</x:v>
      </x:c>
      <x:c r="L452" s="56" t="str">
        <x:v>按结构化事件证据给予0/部分/满分；不能由总结反推已完成</x:v>
      </x:c>
      <x:c r="M452" s="56" t="str"/>
      <x:c r="N452" s="56" t="n">
        <x:f>SUMIFS($G$4:$G$1673,$A$4:$A$1673,A452)</x:f>
        <x:v>360</x:v>
      </x:c>
      <x:c r="O452" s="56" t="str">
        <x:f>IF(N452=360,"通过","失败")</x:f>
        <x:v>通过</x:v>
      </x:c>
      <x:c r="P452" s="56" t="str"/>
      <x:c r="Q452" s="59" t="str">
        <x:v>待确认</x:v>
      </x:c>
    </x:row>
    <x:row r="453">
      <x:c r="A453" s="56" t="str">
        <x:v>P012</x:v>
      </x:c>
      <x:c r="B453" s="56" t="str">
        <x:v>P012</x:v>
      </x:c>
      <x:c r="C453" s="56" t="str">
        <x:v>history</x:v>
      </x:c>
      <x:c r="D453" s="56" t="n">
        <x:v>50</x:v>
      </x:c>
      <x:c r="E453" s="56" t="str">
        <x:v>history.dysuria</x:v>
      </x:c>
      <x:c r="F453" s="56" t="str">
        <x:v>dysuria</x:v>
      </x:c>
      <x:c r="G453" s="56" t="n">
        <x:v>4</x:v>
      </x:c>
      <x:c r="H453" s="56" t="str">
        <x:v>普通得分项</x:v>
      </x:c>
      <x:c r="I453" s="56" t="str">
        <x:v>否</x:v>
      </x:c>
      <x:c r="J453" s="56" t="str">
        <x:v>否</x:v>
      </x:c>
      <x:c r="K453" s="56" t="str">
        <x:v>否</x:v>
      </x:c>
      <x:c r="L453" s="56" t="str">
        <x:v>按结构化事件证据给予0/部分/满分；不能由总结反推已完成</x:v>
      </x:c>
      <x:c r="M453" s="56" t="str"/>
      <x:c r="N453" s="56" t="n">
        <x:f>SUMIFS($G$4:$G$1673,$A$4:$A$1673,A453)</x:f>
        <x:v>360</x:v>
      </x:c>
      <x:c r="O453" s="56" t="str">
        <x:f>IF(N453=360,"通过","失败")</x:f>
        <x:v>通过</x:v>
      </x:c>
      <x:c r="P453" s="56" t="str"/>
      <x:c r="Q453" s="59" t="str">
        <x:v>待确认</x:v>
      </x:c>
    </x:row>
    <x:row r="454">
      <x:c r="A454" s="56" t="str">
        <x:v>P012</x:v>
      </x:c>
      <x:c r="B454" s="56" t="str">
        <x:v>P012</x:v>
      </x:c>
      <x:c r="C454" s="56" t="str">
        <x:v>history</x:v>
      </x:c>
      <x:c r="D454" s="56" t="n">
        <x:v>50</x:v>
      </x:c>
      <x:c r="E454" s="56" t="str">
        <x:v>history.urinary_frequency</x:v>
      </x:c>
      <x:c r="F454" s="56" t="str">
        <x:v>urinary_frequency</x:v>
      </x:c>
      <x:c r="G454" s="56" t="n">
        <x:v>4</x:v>
      </x:c>
      <x:c r="H454" s="56" t="str">
        <x:v>普通得分项</x:v>
      </x:c>
      <x:c r="I454" s="56" t="str">
        <x:v>否</x:v>
      </x:c>
      <x:c r="J454" s="56" t="str">
        <x:v>否</x:v>
      </x:c>
      <x:c r="K454" s="56" t="str">
        <x:v>否</x:v>
      </x:c>
      <x:c r="L454" s="56" t="str">
        <x:v>按结构化事件证据给予0/部分/满分；不能由总结反推已完成</x:v>
      </x:c>
      <x:c r="M454" s="56" t="str"/>
      <x:c r="N454" s="56" t="n">
        <x:f>SUMIFS($G$4:$G$1673,$A$4:$A$1673,A454)</x:f>
        <x:v>360</x:v>
      </x:c>
      <x:c r="O454" s="56" t="str">
        <x:f>IF(N454=360,"通过","失败")</x:f>
        <x:v>通过</x:v>
      </x:c>
      <x:c r="P454" s="56" t="str"/>
      <x:c r="Q454" s="59" t="str">
        <x:v>待确认</x:v>
      </x:c>
    </x:row>
    <x:row r="455">
      <x:c r="A455" s="56" t="str">
        <x:v>P012</x:v>
      </x:c>
      <x:c r="B455" s="56" t="str">
        <x:v>P012</x:v>
      </x:c>
      <x:c r="C455" s="56" t="str">
        <x:v>history</x:v>
      </x:c>
      <x:c r="D455" s="56" t="n">
        <x:v>50</x:v>
      </x:c>
      <x:c r="E455" s="56" t="str">
        <x:v>history.urinary_urgency</x:v>
      </x:c>
      <x:c r="F455" s="56" t="str">
        <x:v>urinary_urgency</x:v>
      </x:c>
      <x:c r="G455" s="56" t="n">
        <x:v>4</x:v>
      </x:c>
      <x:c r="H455" s="56" t="str">
        <x:v>普通得分项</x:v>
      </x:c>
      <x:c r="I455" s="56" t="str">
        <x:v>否</x:v>
      </x:c>
      <x:c r="J455" s="56" t="str">
        <x:v>否</x:v>
      </x:c>
      <x:c r="K455" s="56" t="str">
        <x:v>否</x:v>
      </x:c>
      <x:c r="L455" s="56" t="str">
        <x:v>按结构化事件证据给予0/部分/满分；不能由总结反推已完成</x:v>
      </x:c>
      <x:c r="M455" s="56" t="str"/>
      <x:c r="N455" s="56" t="n">
        <x:f>SUMIFS($G$4:$G$1673,$A$4:$A$1673,A455)</x:f>
        <x:v>360</x:v>
      </x:c>
      <x:c r="O455" s="56" t="str">
        <x:f>IF(N455=360,"通过","失败")</x:f>
        <x:v>通过</x:v>
      </x:c>
      <x:c r="P455" s="56" t="str"/>
      <x:c r="Q455" s="59" t="str">
        <x:v>待确认</x:v>
      </x:c>
    </x:row>
    <x:row r="456">
      <x:c r="A456" s="56" t="str">
        <x:v>P012</x:v>
      </x:c>
      <x:c r="B456" s="56" t="str">
        <x:v>P012</x:v>
      </x:c>
      <x:c r="C456" s="56" t="str">
        <x:v>history</x:v>
      </x:c>
      <x:c r="D456" s="56" t="n">
        <x:v>50</x:v>
      </x:c>
      <x:c r="E456" s="56" t="str">
        <x:v>history.flank_pain</x:v>
      </x:c>
      <x:c r="F456" s="56" t="str">
        <x:v>flank_pain</x:v>
      </x:c>
      <x:c r="G456" s="56" t="n">
        <x:v>4</x:v>
      </x:c>
      <x:c r="H456" s="56" t="str">
        <x:v>普通得分项</x:v>
      </x:c>
      <x:c r="I456" s="56" t="str">
        <x:v>否</x:v>
      </x:c>
      <x:c r="J456" s="56" t="str">
        <x:v>否</x:v>
      </x:c>
      <x:c r="K456" s="56" t="str">
        <x:v>否</x:v>
      </x:c>
      <x:c r="L456" s="56" t="str">
        <x:v>按结构化事件证据给予0/部分/满分；不能由总结反推已完成</x:v>
      </x:c>
      <x:c r="M456" s="56" t="str"/>
      <x:c r="N456" s="56" t="n">
        <x:f>SUMIFS($G$4:$G$1673,$A$4:$A$1673,A456)</x:f>
        <x:v>360</x:v>
      </x:c>
      <x:c r="O456" s="56" t="str">
        <x:f>IF(N456=360,"通过","失败")</x:f>
        <x:v>通过</x:v>
      </x:c>
      <x:c r="P456" s="56" t="str"/>
      <x:c r="Q456" s="59" t="str">
        <x:v>待确认</x:v>
      </x:c>
    </x:row>
    <x:row r="457">
      <x:c r="A457" s="56" t="str">
        <x:v>P012</x:v>
      </x:c>
      <x:c r="B457" s="56" t="str">
        <x:v>P012</x:v>
      </x:c>
      <x:c r="C457" s="56" t="str">
        <x:v>history</x:v>
      </x:c>
      <x:c r="D457" s="56" t="n">
        <x:v>50</x:v>
      </x:c>
      <x:c r="E457" s="56" t="str">
        <x:v>history.fever_chills</x:v>
      </x:c>
      <x:c r="F457" s="56" t="str">
        <x:v>fever_chills</x:v>
      </x:c>
      <x:c r="G457" s="56" t="n">
        <x:v>4</x:v>
      </x:c>
      <x:c r="H457" s="56" t="str">
        <x:v>普通得分项</x:v>
      </x:c>
      <x:c r="I457" s="56" t="str">
        <x:v>否</x:v>
      </x:c>
      <x:c r="J457" s="56" t="str">
        <x:v>否</x:v>
      </x:c>
      <x:c r="K457" s="56" t="str">
        <x:v>否</x:v>
      </x:c>
      <x:c r="L457" s="56" t="str">
        <x:v>按结构化事件证据给予0/部分/满分；不能由总结反推已完成</x:v>
      </x:c>
      <x:c r="M457" s="56" t="str"/>
      <x:c r="N457" s="56" t="n">
        <x:f>SUMIFS($G$4:$G$1673,$A$4:$A$1673,A457)</x:f>
        <x:v>360</x:v>
      </x:c>
      <x:c r="O457" s="56" t="str">
        <x:f>IF(N457=360,"通过","失败")</x:f>
        <x:v>通过</x:v>
      </x:c>
      <x:c r="P457" s="56" t="str"/>
      <x:c r="Q457" s="59" t="str">
        <x:v>待确认</x:v>
      </x:c>
    </x:row>
    <x:row r="458">
      <x:c r="A458" s="56" t="str">
        <x:v>P012</x:v>
      </x:c>
      <x:c r="B458" s="56" t="str">
        <x:v>P012</x:v>
      </x:c>
      <x:c r="C458" s="56" t="str">
        <x:v>risk</x:v>
      </x:c>
      <x:c r="D458" s="56" t="n">
        <x:v>40</x:v>
      </x:c>
      <x:c r="E458" s="56" t="str">
        <x:v>risk.glomerular_features</x:v>
      </x:c>
      <x:c r="F458" s="56" t="str">
        <x:v>glomerular_features</x:v>
      </x:c>
      <x:c r="G458" s="56" t="n">
        <x:v>10</x:v>
      </x:c>
      <x:c r="H458" s="56" t="str">
        <x:v>普通得分项</x:v>
      </x:c>
      <x:c r="I458" s="56" t="str">
        <x:v>否</x:v>
      </x:c>
      <x:c r="J458" s="56" t="str">
        <x:v>否</x:v>
      </x:c>
      <x:c r="K458" s="56" t="str">
        <x:v>否</x:v>
      </x:c>
      <x:c r="L458" s="56" t="str">
        <x:v>按结构化事件证据给予0/部分/满分；不能由总结反推已完成</x:v>
      </x:c>
      <x:c r="M458" s="56" t="str"/>
      <x:c r="N458" s="56" t="n">
        <x:f>SUMIFS($G$4:$G$1673,$A$4:$A$1673,A458)</x:f>
        <x:v>360</x:v>
      </x:c>
      <x:c r="O458" s="56" t="str">
        <x:f>IF(N458=360,"通过","失败")</x:f>
        <x:v>通过</x:v>
      </x:c>
      <x:c r="P458" s="56" t="str"/>
      <x:c r="Q458" s="59" t="str">
        <x:v>待确认</x:v>
      </x:c>
    </x:row>
    <x:row r="459">
      <x:c r="A459" s="56" t="str">
        <x:v>P012</x:v>
      </x:c>
      <x:c r="B459" s="56" t="str">
        <x:v>P012</x:v>
      </x:c>
      <x:c r="C459" s="56" t="str">
        <x:v>risk</x:v>
      </x:c>
      <x:c r="D459" s="56" t="n">
        <x:v>40</x:v>
      </x:c>
      <x:c r="E459" s="56" t="str">
        <x:v>risk.recent_uri</x:v>
      </x:c>
      <x:c r="F459" s="56" t="str">
        <x:v>recent_uri</x:v>
      </x:c>
      <x:c r="G459" s="56" t="n">
        <x:v>10</x:v>
      </x:c>
      <x:c r="H459" s="56" t="str">
        <x:v>普通得分项</x:v>
      </x:c>
      <x:c r="I459" s="56" t="str">
        <x:v>否</x:v>
      </x:c>
      <x:c r="J459" s="56" t="str">
        <x:v>否</x:v>
      </x:c>
      <x:c r="K459" s="56" t="str">
        <x:v>否</x:v>
      </x:c>
      <x:c r="L459" s="56" t="str">
        <x:v>按结构化事件证据给予0/部分/满分；不能由总结反推已完成</x:v>
      </x:c>
      <x:c r="M459" s="56" t="str"/>
      <x:c r="N459" s="56" t="n">
        <x:f>SUMIFS($G$4:$G$1673,$A$4:$A$1673,A459)</x:f>
        <x:v>360</x:v>
      </x:c>
      <x:c r="O459" s="56" t="str">
        <x:f>IF(N459=360,"通过","失败")</x:f>
        <x:v>通过</x:v>
      </x:c>
      <x:c r="P459" s="56" t="str"/>
      <x:c r="Q459" s="59" t="str">
        <x:v>待确认</x:v>
      </x:c>
    </x:row>
    <x:row r="460">
      <x:c r="A460" s="56" t="str">
        <x:v>P012</x:v>
      </x:c>
      <x:c r="B460" s="56" t="str">
        <x:v>P012</x:v>
      </x:c>
      <x:c r="C460" s="56" t="str">
        <x:v>risk</x:v>
      </x:c>
      <x:c r="D460" s="56" t="n">
        <x:v>40</x:v>
      </x:c>
      <x:c r="E460" s="56" t="str">
        <x:v>risk.family_history</x:v>
      </x:c>
      <x:c r="F460" s="56" t="str">
        <x:v>family_history</x:v>
      </x:c>
      <x:c r="G460" s="56" t="n">
        <x:v>10</x:v>
      </x:c>
      <x:c r="H460" s="56" t="str">
        <x:v>普通得分项</x:v>
      </x:c>
      <x:c r="I460" s="56" t="str">
        <x:v>否</x:v>
      </x:c>
      <x:c r="J460" s="56" t="str">
        <x:v>否</x:v>
      </x:c>
      <x:c r="K460" s="56" t="str">
        <x:v>否</x:v>
      </x:c>
      <x:c r="L460" s="56" t="str">
        <x:v>按结构化事件证据给予0/部分/满分；不能由总结反推已完成</x:v>
      </x:c>
      <x:c r="M460" s="56" t="str"/>
      <x:c r="N460" s="56" t="n">
        <x:f>SUMIFS($G$4:$G$1673,$A$4:$A$1673,A460)</x:f>
        <x:v>360</x:v>
      </x:c>
      <x:c r="O460" s="56" t="str">
        <x:f>IF(N460=360,"通过","失败")</x:f>
        <x:v>通过</x:v>
      </x:c>
      <x:c r="P460" s="56" t="str"/>
      <x:c r="Q460" s="59" t="str">
        <x:v>待确认</x:v>
      </x:c>
    </x:row>
    <x:row r="461">
      <x:c r="A461" s="56" t="str">
        <x:v>P012</x:v>
      </x:c>
      <x:c r="B461" s="56" t="str">
        <x:v>P012</x:v>
      </x:c>
      <x:c r="C461" s="56" t="str">
        <x:v>risk</x:v>
      </x:c>
      <x:c r="D461" s="56" t="n">
        <x:v>40</x:v>
      </x:c>
      <x:c r="E461" s="56" t="str">
        <x:v>risk.bleeding_tendency</x:v>
      </x:c>
      <x:c r="F461" s="56" t="str">
        <x:v>bleeding_tendency</x:v>
      </x:c>
      <x:c r="G461" s="56" t="n">
        <x:v>10</x:v>
      </x:c>
      <x:c r="H461" s="56" t="str">
        <x:v>普通得分项</x:v>
      </x:c>
      <x:c r="I461" s="56" t="str">
        <x:v>否</x:v>
      </x:c>
      <x:c r="J461" s="56" t="str">
        <x:v>否</x:v>
      </x:c>
      <x:c r="K461" s="56" t="str">
        <x:v>否</x:v>
      </x:c>
      <x:c r="L461" s="56" t="str">
        <x:v>按结构化事件证据给予0/部分/满分；不能由总结反推已完成</x:v>
      </x:c>
      <x:c r="M461" s="56" t="str"/>
      <x:c r="N461" s="56" t="n">
        <x:f>SUMIFS($G$4:$G$1673,$A$4:$A$1673,A461)</x:f>
        <x:v>360</x:v>
      </x:c>
      <x:c r="O461" s="56" t="str">
        <x:f>IF(N461=360,"通过","失败")</x:f>
        <x:v>通过</x:v>
      </x:c>
      <x:c r="P461" s="56" t="str"/>
      <x:c r="Q461" s="59" t="str">
        <x:v>待确认</x:v>
      </x:c>
    </x:row>
    <x:row r="462">
      <x:c r="A462" s="56" t="str">
        <x:v>P012</x:v>
      </x:c>
      <x:c r="B462" s="56" t="str">
        <x:v>P012</x:v>
      </x:c>
      <x:c r="C462" s="56" t="str">
        <x:v>exam</x:v>
      </x:c>
      <x:c r="D462" s="56" t="n">
        <x:v>35</x:v>
      </x:c>
      <x:c r="E462" s="56" t="str">
        <x:v>exam.temperature</x:v>
      </x:c>
      <x:c r="F462" s="56" t="str">
        <x:v>体温</x:v>
      </x:c>
      <x:c r="G462" s="56" t="n">
        <x:v>12</x:v>
      </x:c>
      <x:c r="H462" s="56" t="str">
        <x:v>普通得分项</x:v>
      </x:c>
      <x:c r="I462" s="56" t="str">
        <x:v>否</x:v>
      </x:c>
      <x:c r="J462" s="56" t="str">
        <x:v>否</x:v>
      </x:c>
      <x:c r="K462" s="56" t="str">
        <x:v>否</x:v>
      </x:c>
      <x:c r="L462" s="56" t="str">
        <x:v>按结构化事件证据给予0/部分/满分；不能由总结反推已完成</x:v>
      </x:c>
      <x:c r="M462" s="56" t="str"/>
      <x:c r="N462" s="56" t="n">
        <x:f>SUMIFS($G$4:$G$1673,$A$4:$A$1673,A462)</x:f>
        <x:v>360</x:v>
      </x:c>
      <x:c r="O462" s="56" t="str">
        <x:f>IF(N462=360,"通过","失败")</x:f>
        <x:v>通过</x:v>
      </x:c>
      <x:c r="P462" s="56" t="str"/>
      <x:c r="Q462" s="59" t="str">
        <x:v>待确认</x:v>
      </x:c>
    </x:row>
    <x:row r="463">
      <x:c r="A463" s="56" t="str">
        <x:v>P012</x:v>
      </x:c>
      <x:c r="B463" s="56" t="str">
        <x:v>P012</x:v>
      </x:c>
      <x:c r="C463" s="56" t="str">
        <x:v>exam</x:v>
      </x:c>
      <x:c r="D463" s="56" t="n">
        <x:v>35</x:v>
      </x:c>
      <x:c r="E463" s="56" t="str">
        <x:v>exam.blood_pressure</x:v>
      </x:c>
      <x:c r="F463" s="56" t="str">
        <x:v>血压</x:v>
      </x:c>
      <x:c r="G463" s="56" t="n">
        <x:v>12</x:v>
      </x:c>
      <x:c r="H463" s="56" t="str">
        <x:v>普通得分项</x:v>
      </x:c>
      <x:c r="I463" s="56" t="str">
        <x:v>否</x:v>
      </x:c>
      <x:c r="J463" s="56" t="str">
        <x:v>否</x:v>
      </x:c>
      <x:c r="K463" s="56" t="str">
        <x:v>否</x:v>
      </x:c>
      <x:c r="L463" s="56" t="str">
        <x:v>按结构化事件证据给予0/部分/满分；不能由总结反推已完成</x:v>
      </x:c>
      <x:c r="M463" s="56" t="str"/>
      <x:c r="N463" s="56" t="n">
        <x:f>SUMIFS($G$4:$G$1673,$A$4:$A$1673,A463)</x:f>
        <x:v>360</x:v>
      </x:c>
      <x:c r="O463" s="56" t="str">
        <x:f>IF(N463=360,"通过","失败")</x:f>
        <x:v>通过</x:v>
      </x:c>
      <x:c r="P463" s="56" t="str"/>
      <x:c r="Q463" s="59" t="str">
        <x:v>待确认</x:v>
      </x:c>
    </x:row>
    <x:row r="464">
      <x:c r="A464" s="56" t="str">
        <x:v>P012</x:v>
      </x:c>
      <x:c r="B464" s="56" t="str">
        <x:v>P012</x:v>
      </x:c>
      <x:c r="C464" s="56" t="str">
        <x:v>exam</x:v>
      </x:c>
      <x:c r="D464" s="56" t="n">
        <x:v>35</x:v>
      </x:c>
      <x:c r="E464" s="56" t="str">
        <x:v>exam.targeted</x:v>
      </x:c>
      <x:c r="F464" s="56" t="str">
        <x:v>病例针对性查体</x:v>
      </x:c>
      <x:c r="G464" s="56" t="n">
        <x:v>11</x:v>
      </x:c>
      <x:c r="H464" s="56" t="str">
        <x:v>普通得分项</x:v>
      </x:c>
      <x:c r="I464" s="56" t="str">
        <x:v>否</x:v>
      </x:c>
      <x:c r="J464" s="56" t="str">
        <x:v>否</x:v>
      </x:c>
      <x:c r="K464" s="56" t="str">
        <x:v>否</x:v>
      </x:c>
      <x:c r="L464" s="56" t="str">
        <x:v>按结构化事件证据给予0/部分/满分；不能由总结反推已完成</x:v>
      </x:c>
      <x:c r="M464" s="56" t="str"/>
      <x:c r="N464" s="56" t="n">
        <x:f>SUMIFS($G$4:$G$1673,$A$4:$A$1673,A464)</x:f>
        <x:v>360</x:v>
      </x:c>
      <x:c r="O464" s="56" t="str">
        <x:f>IF(N464=360,"通过","失败")</x:f>
        <x:v>通过</x:v>
      </x:c>
      <x:c r="P464" s="56" t="str"/>
      <x:c r="Q464" s="59" t="str">
        <x:v>待确认</x:v>
      </x:c>
    </x:row>
    <x:row r="465">
      <x:c r="A465" s="56" t="str">
        <x:v>P012</x:v>
      </x:c>
      <x:c r="B465" s="56" t="str">
        <x:v>P012</x:v>
      </x:c>
      <x:c r="C465" s="56" t="str">
        <x:v>diagnosis</x:v>
      </x:c>
      <x:c r="D465" s="56" t="n">
        <x:v>45</x:v>
      </x:c>
      <x:c r="E465" s="56" t="str">
        <x:v>diagnosis.primary</x:v>
      </x:c>
      <x:c r="F465" s="56" t="str">
        <x:v>最可能诊断及依据</x:v>
      </x:c>
      <x:c r="G465" s="56" t="n">
        <x:v>15</x:v>
      </x:c>
      <x:c r="H465" s="56" t="str">
        <x:v>普通得分项</x:v>
      </x:c>
      <x:c r="I465" s="56" t="str">
        <x:v>否</x:v>
      </x:c>
      <x:c r="J465" s="56" t="str">
        <x:v>否</x:v>
      </x:c>
      <x:c r="K465" s="56" t="str">
        <x:v>否</x:v>
      </x:c>
      <x:c r="L465" s="56" t="str">
        <x:v>按结构化事件证据给予0/部分/满分；不能由总结反推已完成</x:v>
      </x:c>
      <x:c r="M465" s="56" t="str"/>
      <x:c r="N465" s="56" t="n">
        <x:f>SUMIFS($G$4:$G$1673,$A$4:$A$1673,A465)</x:f>
        <x:v>360</x:v>
      </x:c>
      <x:c r="O465" s="56" t="str">
        <x:f>IF(N465=360,"通过","失败")</x:f>
        <x:v>通过</x:v>
      </x:c>
      <x:c r="P465" s="56" t="str"/>
      <x:c r="Q465" s="59" t="str">
        <x:v>待确认</x:v>
      </x:c>
    </x:row>
    <x:row r="466">
      <x:c r="A466" s="56" t="str">
        <x:v>P012</x:v>
      </x:c>
      <x:c r="B466" s="56" t="str">
        <x:v>P012</x:v>
      </x:c>
      <x:c r="C466" s="56" t="str">
        <x:v>diagnosis</x:v>
      </x:c>
      <x:c r="D466" s="56" t="n">
        <x:v>45</x:v>
      </x:c>
      <x:c r="E466" s="56" t="str">
        <x:v>diagnosis.differentials</x:v>
      </x:c>
      <x:c r="F466" s="56" t="str">
        <x:v>至少3项鉴别及支持/反对点</x:v>
      </x:c>
      <x:c r="G466" s="56" t="n">
        <x:v>15</x:v>
      </x:c>
      <x:c r="H466" s="56" t="str">
        <x:v>普通得分项</x:v>
      </x:c>
      <x:c r="I466" s="56" t="str">
        <x:v>否</x:v>
      </x:c>
      <x:c r="J466" s="56" t="str">
        <x:v>否</x:v>
      </x:c>
      <x:c r="K466" s="56" t="str">
        <x:v>否</x:v>
      </x:c>
      <x:c r="L466" s="56" t="str">
        <x:v>按结构化事件证据给予0/部分/满分；不能由总结反推已完成</x:v>
      </x:c>
      <x:c r="M466" s="56" t="str"/>
      <x:c r="N466" s="56" t="n">
        <x:f>SUMIFS($G$4:$G$1673,$A$4:$A$1673,A466)</x:f>
        <x:v>360</x:v>
      </x:c>
      <x:c r="O466" s="56" t="str">
        <x:f>IF(N466=360,"通过","失败")</x:f>
        <x:v>通过</x:v>
      </x:c>
      <x:c r="P466" s="56" t="str"/>
      <x:c r="Q466" s="59" t="str">
        <x:v>待确认</x:v>
      </x:c>
    </x:row>
    <x:row r="467">
      <x:c r="A467" s="56" t="str">
        <x:v>P012</x:v>
      </x:c>
      <x:c r="B467" s="56" t="str">
        <x:v>P012</x:v>
      </x:c>
      <x:c r="C467" s="56" t="str">
        <x:v>diagnosis</x:v>
      </x:c>
      <x:c r="D467" s="56" t="n">
        <x:v>45</x:v>
      </x:c>
      <x:c r="E467" s="56" t="str">
        <x:v>diagnosis.confirmation</x:v>
      </x:c>
      <x:c r="F467" s="56" t="str">
        <x:v>确认计划</x:v>
      </x:c>
      <x:c r="G467" s="56" t="n">
        <x:v>15</x:v>
      </x:c>
      <x:c r="H467" s="56" t="str">
        <x:v>普通得分项</x:v>
      </x:c>
      <x:c r="I467" s="56" t="str">
        <x:v>否</x:v>
      </x:c>
      <x:c r="J467" s="56" t="str">
        <x:v>否</x:v>
      </x:c>
      <x:c r="K467" s="56" t="str">
        <x:v>否</x:v>
      </x:c>
      <x:c r="L467" s="56" t="str">
        <x:v>按结构化事件证据给予0/部分/满分；不能由总结反推已完成</x:v>
      </x:c>
      <x:c r="M467" s="56" t="str"/>
      <x:c r="N467" s="56" t="n">
        <x:f>SUMIFS($G$4:$G$1673,$A$4:$A$1673,A467)</x:f>
        <x:v>360</x:v>
      </x:c>
      <x:c r="O467" s="56" t="str">
        <x:f>IF(N467=360,"通过","失败")</x:f>
        <x:v>通过</x:v>
      </x:c>
      <x:c r="P467" s="56" t="str"/>
      <x:c r="Q467" s="59" t="str">
        <x:v>待确认</x:v>
      </x:c>
    </x:row>
    <x:row r="468">
      <x:c r="A468" s="56" t="str">
        <x:v>P012</x:v>
      </x:c>
      <x:c r="B468" s="56" t="str">
        <x:v>P012</x:v>
      </x:c>
      <x:c r="C468" s="56" t="str">
        <x:v>orders</x:v>
      </x:c>
      <x:c r="D468" s="56" t="n">
        <x:v>55</x:v>
      </x:c>
      <x:c r="E468" s="56" t="str">
        <x:v>orders.LAB-UR-002</x:v>
      </x:c>
      <x:c r="F468" s="56" t="str">
        <x:v>LAB-UR-002</x:v>
      </x:c>
      <x:c r="G468" s="56" t="n">
        <x:v>10</x:v>
      </x:c>
      <x:c r="H468" s="56" t="str">
        <x:v>病例特异得分项</x:v>
      </x:c>
      <x:c r="I468" s="56" t="str">
        <x:v>否</x:v>
      </x:c>
      <x:c r="J468" s="56" t="str">
        <x:v>否</x:v>
      </x:c>
      <x:c r="K468" s="56" t="str">
        <x:v>否</x:v>
      </x:c>
      <x:c r="L468" s="56" t="str">
        <x:v>按结构化事件证据给予0/部分/满分；不能由总结反推已完成</x:v>
      </x:c>
      <x:c r="M468" s="56" t="str"/>
      <x:c r="N468" s="56" t="n">
        <x:f>SUMIFS($G$4:$G$1673,$A$4:$A$1673,A468)</x:f>
        <x:v>360</x:v>
      </x:c>
      <x:c r="O468" s="56" t="str">
        <x:f>IF(N468=360,"通过","失败")</x:f>
        <x:v>通过</x:v>
      </x:c>
      <x:c r="P468" s="56" t="str"/>
      <x:c r="Q468" s="59" t="str">
        <x:v>待确认</x:v>
      </x:c>
    </x:row>
    <x:row r="469">
      <x:c r="A469" s="56" t="str">
        <x:v>P012</x:v>
      </x:c>
      <x:c r="B469" s="56" t="str">
        <x:v>P012</x:v>
      </x:c>
      <x:c r="C469" s="56" t="str">
        <x:v>orders</x:v>
      </x:c>
      <x:c r="D469" s="56" t="n">
        <x:v>55</x:v>
      </x:c>
      <x:c r="E469" s="56" t="str">
        <x:v>orders.LAB-UR-003</x:v>
      </x:c>
      <x:c r="F469" s="56" t="str">
        <x:v>LAB-UR-003</x:v>
      </x:c>
      <x:c r="G469" s="56" t="n">
        <x:v>9</x:v>
      </x:c>
      <x:c r="H469" s="56" t="str">
        <x:v>病例特异得分项</x:v>
      </x:c>
      <x:c r="I469" s="56" t="str">
        <x:v>否</x:v>
      </x:c>
      <x:c r="J469" s="56" t="str">
        <x:v>否</x:v>
      </x:c>
      <x:c r="K469" s="56" t="str">
        <x:v>否</x:v>
      </x:c>
      <x:c r="L469" s="56" t="str">
        <x:v>按结构化事件证据给予0/部分/满分；不能由总结反推已完成</x:v>
      </x:c>
      <x:c r="M469" s="56" t="str"/>
      <x:c r="N469" s="56" t="n">
        <x:f>SUMIFS($G$4:$G$1673,$A$4:$A$1673,A469)</x:f>
        <x:v>360</x:v>
      </x:c>
      <x:c r="O469" s="56" t="str">
        <x:f>IF(N469=360,"通过","失败")</x:f>
        <x:v>通过</x:v>
      </x:c>
      <x:c r="P469" s="56" t="str"/>
      <x:c r="Q469" s="59" t="str">
        <x:v>待确认</x:v>
      </x:c>
    </x:row>
    <x:row r="470">
      <x:c r="A470" s="56" t="str">
        <x:v>P012</x:v>
      </x:c>
      <x:c r="B470" s="56" t="str">
        <x:v>P012</x:v>
      </x:c>
      <x:c r="C470" s="56" t="str">
        <x:v>orders</x:v>
      </x:c>
      <x:c r="D470" s="56" t="n">
        <x:v>55</x:v>
      </x:c>
      <x:c r="E470" s="56" t="str">
        <x:v>orders.LAB-UR-004</x:v>
      </x:c>
      <x:c r="F470" s="56" t="str">
        <x:v>LAB-UR-004</x:v>
      </x:c>
      <x:c r="G470" s="56" t="n">
        <x:v>9</x:v>
      </x:c>
      <x:c r="H470" s="56" t="str">
        <x:v>病例特异得分项</x:v>
      </x:c>
      <x:c r="I470" s="56" t="str">
        <x:v>否</x:v>
      </x:c>
      <x:c r="J470" s="56" t="str">
        <x:v>否</x:v>
      </x:c>
      <x:c r="K470" s="56" t="str">
        <x:v>否</x:v>
      </x:c>
      <x:c r="L470" s="56" t="str">
        <x:v>按结构化事件证据给予0/部分/满分；不能由总结反推已完成</x:v>
      </x:c>
      <x:c r="M470" s="56" t="str"/>
      <x:c r="N470" s="56" t="n">
        <x:f>SUMIFS($G$4:$G$1673,$A$4:$A$1673,A470)</x:f>
        <x:v>360</x:v>
      </x:c>
      <x:c r="O470" s="56" t="str">
        <x:f>IF(N470=360,"通过","失败")</x:f>
        <x:v>通过</x:v>
      </x:c>
      <x:c r="P470" s="56" t="str"/>
      <x:c r="Q470" s="59" t="str">
        <x:v>待确认</x:v>
      </x:c>
    </x:row>
    <x:row r="471">
      <x:c r="A471" s="56" t="str">
        <x:v>P012</x:v>
      </x:c>
      <x:c r="B471" s="56" t="str">
        <x:v>P012</x:v>
      </x:c>
      <x:c r="C471" s="56" t="str">
        <x:v>orders</x:v>
      </x:c>
      <x:c r="D471" s="56" t="n">
        <x:v>55</x:v>
      </x:c>
      <x:c r="E471" s="56" t="str">
        <x:v>orders.LAB-BL-003</x:v>
      </x:c>
      <x:c r="F471" s="56" t="str">
        <x:v>LAB-BL-003</x:v>
      </x:c>
      <x:c r="G471" s="56" t="n">
        <x:v>9</x:v>
      </x:c>
      <x:c r="H471" s="56" t="str">
        <x:v>病例特异得分项</x:v>
      </x:c>
      <x:c r="I471" s="56" t="str">
        <x:v>否</x:v>
      </x:c>
      <x:c r="J471" s="56" t="str">
        <x:v>否</x:v>
      </x:c>
      <x:c r="K471" s="56" t="str">
        <x:v>否</x:v>
      </x:c>
      <x:c r="L471" s="56" t="str">
        <x:v>按结构化事件证据给予0/部分/满分；不能由总结反推已完成</x:v>
      </x:c>
      <x:c r="M471" s="56" t="str"/>
      <x:c r="N471" s="56" t="n">
        <x:f>SUMIFS($G$4:$G$1673,$A$4:$A$1673,A471)</x:f>
        <x:v>360</x:v>
      </x:c>
      <x:c r="O471" s="56" t="str">
        <x:f>IF(N471=360,"通过","失败")</x:f>
        <x:v>通过</x:v>
      </x:c>
      <x:c r="P471" s="56" t="str"/>
      <x:c r="Q471" s="59" t="str">
        <x:v>待确认</x:v>
      </x:c>
    </x:row>
    <x:row r="472">
      <x:c r="A472" s="56" t="str">
        <x:v>P012</x:v>
      </x:c>
      <x:c r="B472" s="56" t="str">
        <x:v>P012</x:v>
      </x:c>
      <x:c r="C472" s="56" t="str">
        <x:v>orders</x:v>
      </x:c>
      <x:c r="D472" s="56" t="n">
        <x:v>55</x:v>
      </x:c>
      <x:c r="E472" s="56" t="str">
        <x:v>orders.LAB-BL-011</x:v>
      </x:c>
      <x:c r="F472" s="56" t="str">
        <x:v>LAB-BL-011</x:v>
      </x:c>
      <x:c r="G472" s="56" t="n">
        <x:v>9</x:v>
      </x:c>
      <x:c r="H472" s="56" t="str">
        <x:v>病例特异得分项</x:v>
      </x:c>
      <x:c r="I472" s="56" t="str">
        <x:v>否</x:v>
      </x:c>
      <x:c r="J472" s="56" t="str">
        <x:v>否</x:v>
      </x:c>
      <x:c r="K472" s="56" t="str">
        <x:v>否</x:v>
      </x:c>
      <x:c r="L472" s="56" t="str">
        <x:v>按结构化事件证据给予0/部分/满分；不能由总结反推已完成</x:v>
      </x:c>
      <x:c r="M472" s="56" t="str"/>
      <x:c r="N472" s="56" t="n">
        <x:f>SUMIFS($G$4:$G$1673,$A$4:$A$1673,A472)</x:f>
        <x:v>360</x:v>
      </x:c>
      <x:c r="O472" s="56" t="str">
        <x:f>IF(N472=360,"通过","失败")</x:f>
        <x:v>通过</x:v>
      </x:c>
      <x:c r="P472" s="56" t="str"/>
      <x:c r="Q472" s="59" t="str">
        <x:v>待确认</x:v>
      </x:c>
    </x:row>
    <x:row r="473">
      <x:c r="A473" s="56" t="str">
        <x:v>P012</x:v>
      </x:c>
      <x:c r="B473" s="56" t="str">
        <x:v>P012</x:v>
      </x:c>
      <x:c r="C473" s="56" t="str">
        <x:v>orders</x:v>
      </x:c>
      <x:c r="D473" s="56" t="n">
        <x:v>55</x:v>
      </x:c>
      <x:c r="E473" s="56" t="str">
        <x:v>orders.LAB-PATH-003</x:v>
      </x:c>
      <x:c r="F473" s="56" t="str">
        <x:v>LAB-PATH-003</x:v>
      </x:c>
      <x:c r="G473" s="56" t="n">
        <x:v>9</x:v>
      </x:c>
      <x:c r="H473" s="56" t="str">
        <x:v>病例特异得分项</x:v>
      </x:c>
      <x:c r="I473" s="56" t="str">
        <x:v>否</x:v>
      </x:c>
      <x:c r="J473" s="56" t="str">
        <x:v>否</x:v>
      </x:c>
      <x:c r="K473" s="56" t="str">
        <x:v>否</x:v>
      </x:c>
      <x:c r="L473" s="56" t="str">
        <x:v>按结构化事件证据给予0/部分/满分；不能由总结反推已完成</x:v>
      </x:c>
      <x:c r="M473" s="56" t="str"/>
      <x:c r="N473" s="56" t="n">
        <x:f>SUMIFS($G$4:$G$1673,$A$4:$A$1673,A473)</x:f>
        <x:v>360</x:v>
      </x:c>
      <x:c r="O473" s="56" t="str">
        <x:f>IF(N473=360,"通过","失败")</x:f>
        <x:v>通过</x:v>
      </x:c>
      <x:c r="P473" s="56" t="str"/>
      <x:c r="Q473" s="59" t="str">
        <x:v>待确认</x:v>
      </x:c>
    </x:row>
    <x:row r="474">
      <x:c r="A474" s="56" t="str">
        <x:v>P012</x:v>
      </x:c>
      <x:c r="B474" s="56" t="str">
        <x:v>P012</x:v>
      </x:c>
      <x:c r="C474" s="56" t="str">
        <x:v>mdt</x:v>
      </x:c>
      <x:c r="D474" s="56" t="n">
        <x:v>45</x:v>
      </x:c>
      <x:c r="E474" s="56" t="str">
        <x:v>mdt.department</x:v>
      </x:c>
      <x:c r="F474" s="56" t="str">
        <x:v>department</x:v>
      </x:c>
      <x:c r="G474" s="56" t="n">
        <x:v>12</x:v>
      </x:c>
      <x:c r="H474" s="56" t="str">
        <x:v>病例特异得分项</x:v>
      </x:c>
      <x:c r="I474" s="56" t="str">
        <x:v>否</x:v>
      </x:c>
      <x:c r="J474" s="56" t="str">
        <x:v>否</x:v>
      </x:c>
      <x:c r="K474" s="56" t="str">
        <x:v>否</x:v>
      </x:c>
      <x:c r="L474" s="56" t="str">
        <x:v>按结构化事件证据给予0/部分/满分；不能由总结反推已完成</x:v>
      </x:c>
      <x:c r="M474" s="56" t="str"/>
      <x:c r="N474" s="56" t="n">
        <x:f>SUMIFS($G$4:$G$1673,$A$4:$A$1673,A474)</x:f>
        <x:v>360</x:v>
      </x:c>
      <x:c r="O474" s="56" t="str">
        <x:f>IF(N474=360,"通过","失败")</x:f>
        <x:v>通过</x:v>
      </x:c>
      <x:c r="P474" s="56" t="str"/>
      <x:c r="Q474" s="59" t="str">
        <x:v>待确认</x:v>
      </x:c>
    </x:row>
    <x:row r="475">
      <x:c r="A475" s="56" t="str">
        <x:v>P012</x:v>
      </x:c>
      <x:c r="B475" s="56" t="str">
        <x:v>P012</x:v>
      </x:c>
      <x:c r="C475" s="56" t="str">
        <x:v>mdt</x:v>
      </x:c>
      <x:c r="D475" s="56" t="n">
        <x:v>45</x:v>
      </x:c>
      <x:c r="E475" s="56" t="str">
        <x:v>mdt.trigger</x:v>
      </x:c>
      <x:c r="F475" s="56" t="str">
        <x:v>trigger</x:v>
      </x:c>
      <x:c r="G475" s="56" t="n">
        <x:v>11</x:v>
      </x:c>
      <x:c r="H475" s="56" t="str">
        <x:v>病例特异得分项</x:v>
      </x:c>
      <x:c r="I475" s="56" t="str">
        <x:v>否</x:v>
      </x:c>
      <x:c r="J475" s="56" t="str">
        <x:v>否</x:v>
      </x:c>
      <x:c r="K475" s="56" t="str">
        <x:v>否</x:v>
      </x:c>
      <x:c r="L475" s="56" t="str">
        <x:v>按结构化事件证据给予0/部分/满分；不能由总结反推已完成</x:v>
      </x:c>
      <x:c r="M475" s="56" t="str"/>
      <x:c r="N475" s="56" t="n">
        <x:f>SUMIFS($G$4:$G$1673,$A$4:$A$1673,A475)</x:f>
        <x:v>360</x:v>
      </x:c>
      <x:c r="O475" s="56" t="str">
        <x:f>IF(N475=360,"通过","失败")</x:f>
        <x:v>通过</x:v>
      </x:c>
      <x:c r="P475" s="56" t="str"/>
      <x:c r="Q475" s="59" t="str">
        <x:v>待确认</x:v>
      </x:c>
    </x:row>
    <x:row r="476">
      <x:c r="A476" s="56" t="str">
        <x:v>P012</x:v>
      </x:c>
      <x:c r="B476" s="56" t="str">
        <x:v>P012</x:v>
      </x:c>
      <x:c r="C476" s="56" t="str">
        <x:v>mdt</x:v>
      </x:c>
      <x:c r="D476" s="56" t="n">
        <x:v>45</x:v>
      </x:c>
      <x:c r="E476" s="56" t="str">
        <x:v>mdt.question</x:v>
      </x:c>
      <x:c r="F476" s="56" t="str">
        <x:v>question</x:v>
      </x:c>
      <x:c r="G476" s="56" t="n">
        <x:v>11</x:v>
      </x:c>
      <x:c r="H476" s="56" t="str">
        <x:v>病例特异得分项</x:v>
      </x:c>
      <x:c r="I476" s="56" t="str">
        <x:v>否</x:v>
      </x:c>
      <x:c r="J476" s="56" t="str">
        <x:v>否</x:v>
      </x:c>
      <x:c r="K476" s="56" t="str">
        <x:v>否</x:v>
      </x:c>
      <x:c r="L476" s="56" t="str">
        <x:v>按结构化事件证据给予0/部分/满分；不能由总结反推已完成</x:v>
      </x:c>
      <x:c r="M476" s="56" t="str"/>
      <x:c r="N476" s="56" t="n">
        <x:f>SUMIFS($G$4:$G$1673,$A$4:$A$1673,A476)</x:f>
        <x:v>360</x:v>
      </x:c>
      <x:c r="O476" s="56" t="str">
        <x:f>IF(N476=360,"通过","失败")</x:f>
        <x:v>通过</x:v>
      </x:c>
      <x:c r="P476" s="56" t="str"/>
      <x:c r="Q476" s="59" t="str">
        <x:v>待确认</x:v>
      </x:c>
    </x:row>
    <x:row r="477">
      <x:c r="A477" s="56" t="str">
        <x:v>P012</x:v>
      </x:c>
      <x:c r="B477" s="56" t="str">
        <x:v>P012</x:v>
      </x:c>
      <x:c r="C477" s="56" t="str">
        <x:v>mdt</x:v>
      </x:c>
      <x:c r="D477" s="56" t="n">
        <x:v>45</x:v>
      </x:c>
      <x:c r="E477" s="56" t="str">
        <x:v>mdt.evidence</x:v>
      </x:c>
      <x:c r="F477" s="56" t="str">
        <x:v>evidence</x:v>
      </x:c>
      <x:c r="G477" s="56" t="n">
        <x:v>11</x:v>
      </x:c>
      <x:c r="H477" s="56" t="str">
        <x:v>病例特异得分项</x:v>
      </x:c>
      <x:c r="I477" s="56" t="str">
        <x:v>否</x:v>
      </x:c>
      <x:c r="J477" s="56" t="str">
        <x:v>否</x:v>
      </x:c>
      <x:c r="K477" s="56" t="str">
        <x:v>否</x:v>
      </x:c>
      <x:c r="L477" s="56" t="str">
        <x:v>按结构化事件证据给予0/部分/满分；不能由总结反推已完成</x:v>
      </x:c>
      <x:c r="M477" s="56" t="str"/>
      <x:c r="N477" s="56" t="n">
        <x:f>SUMIFS($G$4:$G$1673,$A$4:$A$1673,A477)</x:f>
        <x:v>360</x:v>
      </x:c>
      <x:c r="O477" s="56" t="str">
        <x:f>IF(N477=360,"通过","失败")</x:f>
        <x:v>通过</x:v>
      </x:c>
      <x:c r="P477" s="56" t="str"/>
      <x:c r="Q477" s="59" t="str">
        <x:v>待确认</x:v>
      </x:c>
    </x:row>
    <x:row r="478">
      <x:c r="A478" s="56" t="str">
        <x:v>P012</x:v>
      </x:c>
      <x:c r="B478" s="56" t="str">
        <x:v>P012</x:v>
      </x:c>
      <x:c r="C478" s="56" t="str">
        <x:v>treatment</x:v>
      </x:c>
      <x:c r="D478" s="56" t="n">
        <x:v>50</x:v>
      </x:c>
      <x:c r="E478" s="56" t="str">
        <x:v>treatment.immediate</x:v>
      </x:c>
      <x:c r="F478" s="56" t="str">
        <x:v>immediate</x:v>
      </x:c>
      <x:c r="G478" s="56" t="n">
        <x:v>13</x:v>
      </x:c>
      <x:c r="H478" s="56" t="str">
        <x:v>病例特异得分项</x:v>
      </x:c>
      <x:c r="I478" s="56" t="str">
        <x:v>否</x:v>
      </x:c>
      <x:c r="J478" s="56" t="str">
        <x:v>否</x:v>
      </x:c>
      <x:c r="K478" s="56" t="str">
        <x:v>否</x:v>
      </x:c>
      <x:c r="L478" s="56" t="str">
        <x:v>按结构化事件证据给予0/部分/满分；不能由总结反推已完成</x:v>
      </x:c>
      <x:c r="M478" s="56" t="str"/>
      <x:c r="N478" s="56" t="n">
        <x:f>SUMIFS($G$4:$G$1673,$A$4:$A$1673,A478)</x:f>
        <x:v>360</x:v>
      </x:c>
      <x:c r="O478" s="56" t="str">
        <x:f>IF(N478=360,"通过","失败")</x:f>
        <x:v>通过</x:v>
      </x:c>
      <x:c r="P478" s="56" t="str"/>
      <x:c r="Q478" s="59" t="str">
        <x:v>待确认</x:v>
      </x:c>
    </x:row>
    <x:row r="479">
      <x:c r="A479" s="56" t="str">
        <x:v>P012</x:v>
      </x:c>
      <x:c r="B479" s="56" t="str">
        <x:v>P012</x:v>
      </x:c>
      <x:c r="C479" s="56" t="str">
        <x:v>treatment</x:v>
      </x:c>
      <x:c r="D479" s="56" t="n">
        <x:v>50</x:v>
      </x:c>
      <x:c r="E479" s="56" t="str">
        <x:v>treatment.etiologic</x:v>
      </x:c>
      <x:c r="F479" s="56" t="str">
        <x:v>etiologic</x:v>
      </x:c>
      <x:c r="G479" s="56" t="n">
        <x:v>13</x:v>
      </x:c>
      <x:c r="H479" s="56" t="str">
        <x:v>病例特异得分项</x:v>
      </x:c>
      <x:c r="I479" s="56" t="str">
        <x:v>否</x:v>
      </x:c>
      <x:c r="J479" s="56" t="str">
        <x:v>否</x:v>
      </x:c>
      <x:c r="K479" s="56" t="str">
        <x:v>否</x:v>
      </x:c>
      <x:c r="L479" s="56" t="str">
        <x:v>按结构化事件证据给予0/部分/满分；不能由总结反推已完成</x:v>
      </x:c>
      <x:c r="M479" s="56" t="str"/>
      <x:c r="N479" s="56" t="n">
        <x:f>SUMIFS($G$4:$G$1673,$A$4:$A$1673,A479)</x:f>
        <x:v>360</x:v>
      </x:c>
      <x:c r="O479" s="56" t="str">
        <x:f>IF(N479=360,"通过","失败")</x:f>
        <x:v>通过</x:v>
      </x:c>
      <x:c r="P479" s="56" t="str"/>
      <x:c r="Q479" s="59" t="str">
        <x:v>待确认</x:v>
      </x:c>
    </x:row>
    <x:row r="480">
      <x:c r="A480" s="56" t="str">
        <x:v>P012</x:v>
      </x:c>
      <x:c r="B480" s="56" t="str">
        <x:v>P012</x:v>
      </x:c>
      <x:c r="C480" s="56" t="str">
        <x:v>treatment</x:v>
      </x:c>
      <x:c r="D480" s="56" t="n">
        <x:v>50</x:v>
      </x:c>
      <x:c r="E480" s="56" t="str">
        <x:v>treatment.definitive</x:v>
      </x:c>
      <x:c r="F480" s="56" t="str">
        <x:v>definitive</x:v>
      </x:c>
      <x:c r="G480" s="56" t="n">
        <x:v>12</x:v>
      </x:c>
      <x:c r="H480" s="56" t="str">
        <x:v>病例特异得分项</x:v>
      </x:c>
      <x:c r="I480" s="56" t="str">
        <x:v>否</x:v>
      </x:c>
      <x:c r="J480" s="56" t="str">
        <x:v>否</x:v>
      </x:c>
      <x:c r="K480" s="56" t="str">
        <x:v>否</x:v>
      </x:c>
      <x:c r="L480" s="56" t="str">
        <x:v>按结构化事件证据给予0/部分/满分；不能由总结反推已完成</x:v>
      </x:c>
      <x:c r="M480" s="56" t="str"/>
      <x:c r="N480" s="56" t="n">
        <x:f>SUMIFS($G$4:$G$1673,$A$4:$A$1673,A480)</x:f>
        <x:v>360</x:v>
      </x:c>
      <x:c r="O480" s="56" t="str">
        <x:f>IF(N480=360,"通过","失败")</x:f>
        <x:v>通过</x:v>
      </x:c>
      <x:c r="P480" s="56" t="str"/>
      <x:c r="Q480" s="59" t="str">
        <x:v>待确认</x:v>
      </x:c>
    </x:row>
    <x:row r="481">
      <x:c r="A481" s="56" t="str">
        <x:v>P012</x:v>
      </x:c>
      <x:c r="B481" s="56" t="str">
        <x:v>P012</x:v>
      </x:c>
      <x:c r="C481" s="56" t="str">
        <x:v>treatment</x:v>
      </x:c>
      <x:c r="D481" s="56" t="n">
        <x:v>50</x:v>
      </x:c>
      <x:c r="E481" s="56" t="str">
        <x:v>treatment.perioperative</x:v>
      </x:c>
      <x:c r="F481" s="56" t="str">
        <x:v>perioperative</x:v>
      </x:c>
      <x:c r="G481" s="56" t="n">
        <x:v>12</x:v>
      </x:c>
      <x:c r="H481" s="56" t="str">
        <x:v>病例特异得分项</x:v>
      </x:c>
      <x:c r="I481" s="56" t="str">
        <x:v>否</x:v>
      </x:c>
      <x:c r="J481" s="56" t="str">
        <x:v>否</x:v>
      </x:c>
      <x:c r="K481" s="56" t="str">
        <x:v>否</x:v>
      </x:c>
      <x:c r="L481" s="56" t="str">
        <x:v>按结构化事件证据给予0/部分/满分；不能由总结反推已完成</x:v>
      </x:c>
      <x:c r="M481" s="56" t="str"/>
      <x:c r="N481" s="56" t="n">
        <x:f>SUMIFS($G$4:$G$1673,$A$4:$A$1673,A481)</x:f>
        <x:v>360</x:v>
      </x:c>
      <x:c r="O481" s="56" t="str">
        <x:f>IF(N481=360,"通过","失败")</x:f>
        <x:v>通过</x:v>
      </x:c>
      <x:c r="P481" s="56" t="str"/>
      <x:c r="Q481" s="59" t="str">
        <x:v>待确认</x:v>
      </x:c>
    </x:row>
    <x:row r="482">
      <x:c r="A482" s="56" t="str">
        <x:v>P012</x:v>
      </x:c>
      <x:c r="B482" s="56" t="str">
        <x:v>P012</x:v>
      </x:c>
      <x:c r="C482" s="56" t="str">
        <x:v>followup</x:v>
      </x:c>
      <x:c r="D482" s="56" t="n">
        <x:v>40</x:v>
      </x:c>
      <x:c r="E482" s="56" t="str">
        <x:v>followup.plan</x:v>
      </x:c>
      <x:c r="F482" s="56" t="str">
        <x:v>随访复查</x:v>
      </x:c>
      <x:c r="G482" s="56" t="n">
        <x:v>10</x:v>
      </x:c>
      <x:c r="H482" s="56" t="str">
        <x:v>普通得分项</x:v>
      </x:c>
      <x:c r="I482" s="56" t="str">
        <x:v>否</x:v>
      </x:c>
      <x:c r="J482" s="56" t="str">
        <x:v>否</x:v>
      </x:c>
      <x:c r="K482" s="56" t="str">
        <x:v>否</x:v>
      </x:c>
      <x:c r="L482" s="56" t="str">
        <x:v>按结构化事件证据给予0/部分/满分；不能由总结反推已完成</x:v>
      </x:c>
      <x:c r="M482" s="56" t="str"/>
      <x:c r="N482" s="56" t="n">
        <x:f>SUMIFS($G$4:$G$1673,$A$4:$A$1673,A482)</x:f>
        <x:v>360</x:v>
      </x:c>
      <x:c r="O482" s="56" t="str">
        <x:f>IF(N482=360,"通过","失败")</x:f>
        <x:v>通过</x:v>
      </x:c>
      <x:c r="P482" s="56" t="str"/>
      <x:c r="Q482" s="59" t="str">
        <x:v>待确认</x:v>
      </x:c>
    </x:row>
    <x:row r="483">
      <x:c r="A483" s="56" t="str">
        <x:v>P012</x:v>
      </x:c>
      <x:c r="B483" s="56" t="str">
        <x:v>P012</x:v>
      </x:c>
      <x:c r="C483" s="56" t="str">
        <x:v>followup</x:v>
      </x:c>
      <x:c r="D483" s="56" t="n">
        <x:v>40</x:v>
      </x:c>
      <x:c r="E483" s="56" t="str">
        <x:v>followup.education</x:v>
      </x:c>
      <x:c r="F483" s="56" t="str">
        <x:v>患者教育</x:v>
      </x:c>
      <x:c r="G483" s="56" t="n">
        <x:v>10</x:v>
      </x:c>
      <x:c r="H483" s="56" t="str">
        <x:v>普通得分项</x:v>
      </x:c>
      <x:c r="I483" s="56" t="str">
        <x:v>否</x:v>
      </x:c>
      <x:c r="J483" s="56" t="str">
        <x:v>否</x:v>
      </x:c>
      <x:c r="K483" s="56" t="str">
        <x:v>否</x:v>
      </x:c>
      <x:c r="L483" s="56" t="str">
        <x:v>按结构化事件证据给予0/部分/满分；不能由总结反推已完成</x:v>
      </x:c>
      <x:c r="M483" s="56" t="str"/>
      <x:c r="N483" s="56" t="n">
        <x:f>SUMIFS($G$4:$G$1673,$A$4:$A$1673,A483)</x:f>
        <x:v>360</x:v>
      </x:c>
      <x:c r="O483" s="56" t="str">
        <x:f>IF(N483=360,"通过","失败")</x:f>
        <x:v>通过</x:v>
      </x:c>
      <x:c r="P483" s="56" t="str"/>
      <x:c r="Q483" s="59" t="str">
        <x:v>待确认</x:v>
      </x:c>
    </x:row>
    <x:row r="484">
      <x:c r="A484" s="56" t="str">
        <x:v>P012</x:v>
      </x:c>
      <x:c r="B484" s="56" t="str">
        <x:v>P012</x:v>
      </x:c>
      <x:c r="C484" s="56" t="str">
        <x:v>followup</x:v>
      </x:c>
      <x:c r="D484" s="56" t="n">
        <x:v>40</x:v>
      </x:c>
      <x:c r="E484" s="56" t="str">
        <x:v>followup.reflection</x:v>
      </x:c>
      <x:c r="F484" s="56" t="str">
        <x:v>学习反思质量</x:v>
      </x:c>
      <x:c r="G484" s="56" t="n">
        <x:v>10</x:v>
      </x:c>
      <x:c r="H484" s="56" t="str">
        <x:v>普通得分项</x:v>
      </x:c>
      <x:c r="I484" s="56" t="str">
        <x:v>否</x:v>
      </x:c>
      <x:c r="J484" s="56" t="str">
        <x:v>否</x:v>
      </x:c>
      <x:c r="K484" s="56" t="str">
        <x:v>否</x:v>
      </x:c>
      <x:c r="L484" s="56" t="str">
        <x:v>按结构化事件证据给予0/部分/满分；不能由总结反推已完成</x:v>
      </x:c>
      <x:c r="M484" s="56" t="str"/>
      <x:c r="N484" s="56" t="n">
        <x:f>SUMIFS($G$4:$G$1673,$A$4:$A$1673,A484)</x:f>
        <x:v>360</x:v>
      </x:c>
      <x:c r="O484" s="56" t="str">
        <x:f>IF(N484=360,"通过","失败")</x:f>
        <x:v>通过</x:v>
      </x:c>
      <x:c r="P484" s="56" t="str"/>
      <x:c r="Q484" s="59" t="str">
        <x:v>待确认</x:v>
      </x:c>
    </x:row>
    <x:row r="485">
      <x:c r="A485" s="56" t="str">
        <x:v>P012</x:v>
      </x:c>
      <x:c r="B485" s="56" t="str">
        <x:v>P012</x:v>
      </x:c>
      <x:c r="C485" s="56" t="str">
        <x:v>followup</x:v>
      </x:c>
      <x:c r="D485" s="56" t="n">
        <x:v>40</x:v>
      </x:c>
      <x:c r="E485" s="56" t="str">
        <x:v>followup.efficiency</x:v>
      </x:c>
      <x:c r="F485" s="56" t="str">
        <x:v>操作效率</x:v>
      </x:c>
      <x:c r="G485" s="56" t="n">
        <x:v>10</x:v>
      </x:c>
      <x:c r="H485" s="56" t="str">
        <x:v>普通得分项</x:v>
      </x:c>
      <x:c r="I485" s="56" t="str">
        <x:v>否</x:v>
      </x:c>
      <x:c r="J485" s="56" t="str">
        <x:v>否</x:v>
      </x:c>
      <x:c r="K485" s="56" t="str">
        <x:v>否</x:v>
      </x:c>
      <x:c r="L485" s="56" t="str">
        <x:v>按结构化事件证据给予0/部分/满分；不能由总结反推已完成</x:v>
      </x:c>
      <x:c r="M485" s="56" t="str"/>
      <x:c r="N485" s="56" t="n">
        <x:f>SUMIFS($G$4:$G$1673,$A$4:$A$1673,A485)</x:f>
        <x:v>360</x:v>
      </x:c>
      <x:c r="O485" s="56" t="str">
        <x:f>IF(N485=360,"通过","失败")</x:f>
        <x:v>通过</x:v>
      </x:c>
      <x:c r="P485" s="56" t="str"/>
      <x:c r="Q485" s="59" t="str">
        <x:v>待确认</x:v>
      </x:c>
    </x:row>
    <x:row r="486">
      <x:c r="A486" s="56" t="str">
        <x:v>P013</x:v>
      </x:c>
      <x:c r="B486" s="56" t="str">
        <x:v>HX-ADD-001</x:v>
      </x:c>
      <x:c r="C486" s="56" t="str">
        <x:v>history</x:v>
      </x:c>
      <x:c r="D486" s="56" t="n">
        <x:v>50</x:v>
      </x:c>
      <x:c r="E486" s="56" t="str">
        <x:v>history.hematuria_visibility</x:v>
      </x:c>
      <x:c r="F486" s="56" t="str">
        <x:v>hematuria_visibility</x:v>
      </x:c>
      <x:c r="G486" s="56" t="n">
        <x:v>5</x:v>
      </x:c>
      <x:c r="H486" s="56" t="str">
        <x:v>普通得分项</x:v>
      </x:c>
      <x:c r="I486" s="56" t="str">
        <x:v>否</x:v>
      </x:c>
      <x:c r="J486" s="56" t="str">
        <x:v>否</x:v>
      </x:c>
      <x:c r="K486" s="56" t="str">
        <x:v>否</x:v>
      </x:c>
      <x:c r="L486" s="56" t="str">
        <x:v>按结构化事件证据给予0/部分/满分；不能由总结反推已完成</x:v>
      </x:c>
      <x:c r="M486" s="56" t="str"/>
      <x:c r="N486" s="56" t="n">
        <x:f>SUMIFS($G$4:$G$1673,$A$4:$A$1673,A486)</x:f>
        <x:v>360</x:v>
      </x:c>
      <x:c r="O486" s="56" t="str">
        <x:f>IF(N486=360,"通过","失败")</x:f>
        <x:v>通过</x:v>
      </x:c>
      <x:c r="P486" s="56" t="str"/>
      <x:c r="Q486" s="59" t="str">
        <x:v>待确认</x:v>
      </x:c>
    </x:row>
    <x:row r="487">
      <x:c r="A487" s="56" t="str">
        <x:v>P013</x:v>
      </x:c>
      <x:c r="B487" s="56" t="str">
        <x:v>HX-ADD-001</x:v>
      </x:c>
      <x:c r="C487" s="56" t="str">
        <x:v>history</x:v>
      </x:c>
      <x:c r="D487" s="56" t="n">
        <x:v>50</x:v>
      </x:c>
      <x:c r="E487" s="56" t="str">
        <x:v>history.hematuria_onset</x:v>
      </x:c>
      <x:c r="F487" s="56" t="str">
        <x:v>hematuria_onset</x:v>
      </x:c>
      <x:c r="G487" s="56" t="n">
        <x:v>5</x:v>
      </x:c>
      <x:c r="H487" s="56" t="str">
        <x:v>普通得分项</x:v>
      </x:c>
      <x:c r="I487" s="56" t="str">
        <x:v>否</x:v>
      </x:c>
      <x:c r="J487" s="56" t="str">
        <x:v>否</x:v>
      </x:c>
      <x:c r="K487" s="56" t="str">
        <x:v>否</x:v>
      </x:c>
      <x:c r="L487" s="56" t="str">
        <x:v>按结构化事件证据给予0/部分/满分；不能由总结反推已完成</x:v>
      </x:c>
      <x:c r="M487" s="56" t="str"/>
      <x:c r="N487" s="56" t="n">
        <x:f>SUMIFS($G$4:$G$1673,$A$4:$A$1673,A487)</x:f>
        <x:v>360</x:v>
      </x:c>
      <x:c r="O487" s="56" t="str">
        <x:f>IF(N487=360,"通过","失败")</x:f>
        <x:v>通过</x:v>
      </x:c>
      <x:c r="P487" s="56" t="str"/>
      <x:c r="Q487" s="59" t="str">
        <x:v>待确认</x:v>
      </x:c>
    </x:row>
    <x:row r="488">
      <x:c r="A488" s="56" t="str">
        <x:v>P013</x:v>
      </x:c>
      <x:c r="B488" s="56" t="str">
        <x:v>HX-ADD-001</x:v>
      </x:c>
      <x:c r="C488" s="56" t="str">
        <x:v>history</x:v>
      </x:c>
      <x:c r="D488" s="56" t="n">
        <x:v>50</x:v>
      </x:c>
      <x:c r="E488" s="56" t="str">
        <x:v>history.hematuria_frequency</x:v>
      </x:c>
      <x:c r="F488" s="56" t="str">
        <x:v>hematuria_frequency</x:v>
      </x:c>
      <x:c r="G488" s="56" t="n">
        <x:v>4</x:v>
      </x:c>
      <x:c r="H488" s="56" t="str">
        <x:v>普通得分项</x:v>
      </x:c>
      <x:c r="I488" s="56" t="str">
        <x:v>否</x:v>
      </x:c>
      <x:c r="J488" s="56" t="str">
        <x:v>否</x:v>
      </x:c>
      <x:c r="K488" s="56" t="str">
        <x:v>否</x:v>
      </x:c>
      <x:c r="L488" s="56" t="str">
        <x:v>按结构化事件证据给予0/部分/满分；不能由总结反推已完成</x:v>
      </x:c>
      <x:c r="M488" s="56" t="str"/>
      <x:c r="N488" s="56" t="n">
        <x:f>SUMIFS($G$4:$G$1673,$A$4:$A$1673,A488)</x:f>
        <x:v>360</x:v>
      </x:c>
      <x:c r="O488" s="56" t="str">
        <x:f>IF(N488=360,"通过","失败")</x:f>
        <x:v>通过</x:v>
      </x:c>
      <x:c r="P488" s="56" t="str"/>
      <x:c r="Q488" s="59" t="str">
        <x:v>待确认</x:v>
      </x:c>
    </x:row>
    <x:row r="489">
      <x:c r="A489" s="56" t="str">
        <x:v>P013</x:v>
      </x:c>
      <x:c r="B489" s="56" t="str">
        <x:v>HX-ADD-001</x:v>
      </x:c>
      <x:c r="C489" s="56" t="str">
        <x:v>history</x:v>
      </x:c>
      <x:c r="D489" s="56" t="n">
        <x:v>50</x:v>
      </x:c>
      <x:c r="E489" s="56" t="str">
        <x:v>history.hematuria_phase</x:v>
      </x:c>
      <x:c r="F489" s="56" t="str">
        <x:v>hematuria_phase</x:v>
      </x:c>
      <x:c r="G489" s="56" t="n">
        <x:v>4</x:v>
      </x:c>
      <x:c r="H489" s="56" t="str">
        <x:v>普通得分项</x:v>
      </x:c>
      <x:c r="I489" s="56" t="str">
        <x:v>否</x:v>
      </x:c>
      <x:c r="J489" s="56" t="str">
        <x:v>否</x:v>
      </x:c>
      <x:c r="K489" s="56" t="str">
        <x:v>否</x:v>
      </x:c>
      <x:c r="L489" s="56" t="str">
        <x:v>按结构化事件证据给予0/部分/满分；不能由总结反推已完成</x:v>
      </x:c>
      <x:c r="M489" s="56" t="str"/>
      <x:c r="N489" s="56" t="n">
        <x:f>SUMIFS($G$4:$G$1673,$A$4:$A$1673,A489)</x:f>
        <x:v>360</x:v>
      </x:c>
      <x:c r="O489" s="56" t="str">
        <x:f>IF(N489=360,"通过","失败")</x:f>
        <x:v>通过</x:v>
      </x:c>
      <x:c r="P489" s="56" t="str"/>
      <x:c r="Q489" s="59" t="str">
        <x:v>待确认</x:v>
      </x:c>
    </x:row>
    <x:row r="490">
      <x:c r="A490" s="56" t="str">
        <x:v>P013</x:v>
      </x:c>
      <x:c r="B490" s="56" t="str">
        <x:v>HX-ADD-001</x:v>
      </x:c>
      <x:c r="C490" s="56" t="str">
        <x:v>history</x:v>
      </x:c>
      <x:c r="D490" s="56" t="n">
        <x:v>50</x:v>
      </x:c>
      <x:c r="E490" s="56" t="str">
        <x:v>history.urine_color</x:v>
      </x:c>
      <x:c r="F490" s="56" t="str">
        <x:v>urine_color</x:v>
      </x:c>
      <x:c r="G490" s="56" t="n">
        <x:v>4</x:v>
      </x:c>
      <x:c r="H490" s="56" t="str">
        <x:v>普通得分项</x:v>
      </x:c>
      <x:c r="I490" s="56" t="str">
        <x:v>否</x:v>
      </x:c>
      <x:c r="J490" s="56" t="str">
        <x:v>否</x:v>
      </x:c>
      <x:c r="K490" s="56" t="str">
        <x:v>否</x:v>
      </x:c>
      <x:c r="L490" s="56" t="str">
        <x:v>按结构化事件证据给予0/部分/满分；不能由总结反推已完成</x:v>
      </x:c>
      <x:c r="M490" s="56" t="str"/>
      <x:c r="N490" s="56" t="n">
        <x:f>SUMIFS($G$4:$G$1673,$A$4:$A$1673,A490)</x:f>
        <x:v>360</x:v>
      </x:c>
      <x:c r="O490" s="56" t="str">
        <x:f>IF(N490=360,"通过","失败")</x:f>
        <x:v>通过</x:v>
      </x:c>
      <x:c r="P490" s="56" t="str"/>
      <x:c r="Q490" s="59" t="str">
        <x:v>待确认</x:v>
      </x:c>
    </x:row>
    <x:row r="491">
      <x:c r="A491" s="56" t="str">
        <x:v>P013</x:v>
      </x:c>
      <x:c r="B491" s="56" t="str">
        <x:v>HX-ADD-001</x:v>
      </x:c>
      <x:c r="C491" s="56" t="str">
        <x:v>history</x:v>
      </x:c>
      <x:c r="D491" s="56" t="n">
        <x:v>50</x:v>
      </x:c>
      <x:c r="E491" s="56" t="str">
        <x:v>history.clots</x:v>
      </x:c>
      <x:c r="F491" s="56" t="str">
        <x:v>clots</x:v>
      </x:c>
      <x:c r="G491" s="56" t="n">
        <x:v>4</x:v>
      </x:c>
      <x:c r="H491" s="56" t="str">
        <x:v>普通得分项</x:v>
      </x:c>
      <x:c r="I491" s="56" t="str">
        <x:v>否</x:v>
      </x:c>
      <x:c r="J491" s="56" t="str">
        <x:v>否</x:v>
      </x:c>
      <x:c r="K491" s="56" t="str">
        <x:v>否</x:v>
      </x:c>
      <x:c r="L491" s="56" t="str">
        <x:v>按结构化事件证据给予0/部分/满分；不能由总结反推已完成</x:v>
      </x:c>
      <x:c r="M491" s="56" t="str"/>
      <x:c r="N491" s="56" t="n">
        <x:f>SUMIFS($G$4:$G$1673,$A$4:$A$1673,A491)</x:f>
        <x:v>360</x:v>
      </x:c>
      <x:c r="O491" s="56" t="str">
        <x:f>IF(N491=360,"通过","失败")</x:f>
        <x:v>通过</x:v>
      </x:c>
      <x:c r="P491" s="56" t="str"/>
      <x:c r="Q491" s="59" t="str">
        <x:v>待确认</x:v>
      </x:c>
    </x:row>
    <x:row r="492">
      <x:c r="A492" s="56" t="str">
        <x:v>P013</x:v>
      </x:c>
      <x:c r="B492" s="56" t="str">
        <x:v>HX-ADD-001</x:v>
      </x:c>
      <x:c r="C492" s="56" t="str">
        <x:v>history</x:v>
      </x:c>
      <x:c r="D492" s="56" t="n">
        <x:v>50</x:v>
      </x:c>
      <x:c r="E492" s="56" t="str">
        <x:v>history.pain</x:v>
      </x:c>
      <x:c r="F492" s="56" t="str">
        <x:v>pain</x:v>
      </x:c>
      <x:c r="G492" s="56" t="n">
        <x:v>4</x:v>
      </x:c>
      <x:c r="H492" s="56" t="str">
        <x:v>普通得分项</x:v>
      </x:c>
      <x:c r="I492" s="56" t="str">
        <x:v>否</x:v>
      </x:c>
      <x:c r="J492" s="56" t="str">
        <x:v>否</x:v>
      </x:c>
      <x:c r="K492" s="56" t="str">
        <x:v>否</x:v>
      </x:c>
      <x:c r="L492" s="56" t="str">
        <x:v>按结构化事件证据给予0/部分/满分；不能由总结反推已完成</x:v>
      </x:c>
      <x:c r="M492" s="56" t="str"/>
      <x:c r="N492" s="56" t="n">
        <x:f>SUMIFS($G$4:$G$1673,$A$4:$A$1673,A492)</x:f>
        <x:v>360</x:v>
      </x:c>
      <x:c r="O492" s="56" t="str">
        <x:f>IF(N492=360,"通过","失败")</x:f>
        <x:v>通过</x:v>
      </x:c>
      <x:c r="P492" s="56" t="str"/>
      <x:c r="Q492" s="59" t="str">
        <x:v>待确认</x:v>
      </x:c>
    </x:row>
    <x:row r="493">
      <x:c r="A493" s="56" t="str">
        <x:v>P013</x:v>
      </x:c>
      <x:c r="B493" s="56" t="str">
        <x:v>HX-ADD-001</x:v>
      </x:c>
      <x:c r="C493" s="56" t="str">
        <x:v>history</x:v>
      </x:c>
      <x:c r="D493" s="56" t="n">
        <x:v>50</x:v>
      </x:c>
      <x:c r="E493" s="56" t="str">
        <x:v>history.dysuria</x:v>
      </x:c>
      <x:c r="F493" s="56" t="str">
        <x:v>dysuria</x:v>
      </x:c>
      <x:c r="G493" s="56" t="n">
        <x:v>4</x:v>
      </x:c>
      <x:c r="H493" s="56" t="str">
        <x:v>普通得分项</x:v>
      </x:c>
      <x:c r="I493" s="56" t="str">
        <x:v>否</x:v>
      </x:c>
      <x:c r="J493" s="56" t="str">
        <x:v>否</x:v>
      </x:c>
      <x:c r="K493" s="56" t="str">
        <x:v>否</x:v>
      </x:c>
      <x:c r="L493" s="56" t="str">
        <x:v>按结构化事件证据给予0/部分/满分；不能由总结反推已完成</x:v>
      </x:c>
      <x:c r="M493" s="56" t="str"/>
      <x:c r="N493" s="56" t="n">
        <x:f>SUMIFS($G$4:$G$1673,$A$4:$A$1673,A493)</x:f>
        <x:v>360</x:v>
      </x:c>
      <x:c r="O493" s="56" t="str">
        <x:f>IF(N493=360,"通过","失败")</x:f>
        <x:v>通过</x:v>
      </x:c>
      <x:c r="P493" s="56" t="str"/>
      <x:c r="Q493" s="59" t="str">
        <x:v>待确认</x:v>
      </x:c>
    </x:row>
    <x:row r="494">
      <x:c r="A494" s="56" t="str">
        <x:v>P013</x:v>
      </x:c>
      <x:c r="B494" s="56" t="str">
        <x:v>HX-ADD-001</x:v>
      </x:c>
      <x:c r="C494" s="56" t="str">
        <x:v>history</x:v>
      </x:c>
      <x:c r="D494" s="56" t="n">
        <x:v>50</x:v>
      </x:c>
      <x:c r="E494" s="56" t="str">
        <x:v>history.urinary_frequency</x:v>
      </x:c>
      <x:c r="F494" s="56" t="str">
        <x:v>urinary_frequency</x:v>
      </x:c>
      <x:c r="G494" s="56" t="n">
        <x:v>4</x:v>
      </x:c>
      <x:c r="H494" s="56" t="str">
        <x:v>普通得分项</x:v>
      </x:c>
      <x:c r="I494" s="56" t="str">
        <x:v>否</x:v>
      </x:c>
      <x:c r="J494" s="56" t="str">
        <x:v>否</x:v>
      </x:c>
      <x:c r="K494" s="56" t="str">
        <x:v>否</x:v>
      </x:c>
      <x:c r="L494" s="56" t="str">
        <x:v>按结构化事件证据给予0/部分/满分；不能由总结反推已完成</x:v>
      </x:c>
      <x:c r="M494" s="56" t="str"/>
      <x:c r="N494" s="56" t="n">
        <x:f>SUMIFS($G$4:$G$1673,$A$4:$A$1673,A494)</x:f>
        <x:v>360</x:v>
      </x:c>
      <x:c r="O494" s="56" t="str">
        <x:f>IF(N494=360,"通过","失败")</x:f>
        <x:v>通过</x:v>
      </x:c>
      <x:c r="P494" s="56" t="str"/>
      <x:c r="Q494" s="59" t="str">
        <x:v>待确认</x:v>
      </x:c>
    </x:row>
    <x:row r="495">
      <x:c r="A495" s="56" t="str">
        <x:v>P013</x:v>
      </x:c>
      <x:c r="B495" s="56" t="str">
        <x:v>HX-ADD-001</x:v>
      </x:c>
      <x:c r="C495" s="56" t="str">
        <x:v>history</x:v>
      </x:c>
      <x:c r="D495" s="56" t="n">
        <x:v>50</x:v>
      </x:c>
      <x:c r="E495" s="56" t="str">
        <x:v>history.urinary_urgency</x:v>
      </x:c>
      <x:c r="F495" s="56" t="str">
        <x:v>urinary_urgency</x:v>
      </x:c>
      <x:c r="G495" s="56" t="n">
        <x:v>4</x:v>
      </x:c>
      <x:c r="H495" s="56" t="str">
        <x:v>普通得分项</x:v>
      </x:c>
      <x:c r="I495" s="56" t="str">
        <x:v>否</x:v>
      </x:c>
      <x:c r="J495" s="56" t="str">
        <x:v>否</x:v>
      </x:c>
      <x:c r="K495" s="56" t="str">
        <x:v>否</x:v>
      </x:c>
      <x:c r="L495" s="56" t="str">
        <x:v>按结构化事件证据给予0/部分/满分；不能由总结反推已完成</x:v>
      </x:c>
      <x:c r="M495" s="56" t="str"/>
      <x:c r="N495" s="56" t="n">
        <x:f>SUMIFS($G$4:$G$1673,$A$4:$A$1673,A495)</x:f>
        <x:v>360</x:v>
      </x:c>
      <x:c r="O495" s="56" t="str">
        <x:f>IF(N495=360,"通过","失败")</x:f>
        <x:v>通过</x:v>
      </x:c>
      <x:c r="P495" s="56" t="str"/>
      <x:c r="Q495" s="59" t="str">
        <x:v>待确认</x:v>
      </x:c>
    </x:row>
    <x:row r="496">
      <x:c r="A496" s="56" t="str">
        <x:v>P013</x:v>
      </x:c>
      <x:c r="B496" s="56" t="str">
        <x:v>HX-ADD-001</x:v>
      </x:c>
      <x:c r="C496" s="56" t="str">
        <x:v>history</x:v>
      </x:c>
      <x:c r="D496" s="56" t="n">
        <x:v>50</x:v>
      </x:c>
      <x:c r="E496" s="56" t="str">
        <x:v>history.flank_pain</x:v>
      </x:c>
      <x:c r="F496" s="56" t="str">
        <x:v>flank_pain</x:v>
      </x:c>
      <x:c r="G496" s="56" t="n">
        <x:v>4</x:v>
      </x:c>
      <x:c r="H496" s="56" t="str">
        <x:v>普通得分项</x:v>
      </x:c>
      <x:c r="I496" s="56" t="str">
        <x:v>否</x:v>
      </x:c>
      <x:c r="J496" s="56" t="str">
        <x:v>否</x:v>
      </x:c>
      <x:c r="K496" s="56" t="str">
        <x:v>否</x:v>
      </x:c>
      <x:c r="L496" s="56" t="str">
        <x:v>按结构化事件证据给予0/部分/满分；不能由总结反推已完成</x:v>
      </x:c>
      <x:c r="M496" s="56" t="str"/>
      <x:c r="N496" s="56" t="n">
        <x:f>SUMIFS($G$4:$G$1673,$A$4:$A$1673,A496)</x:f>
        <x:v>360</x:v>
      </x:c>
      <x:c r="O496" s="56" t="str">
        <x:f>IF(N496=360,"通过","失败")</x:f>
        <x:v>通过</x:v>
      </x:c>
      <x:c r="P496" s="56" t="str"/>
      <x:c r="Q496" s="59" t="str">
        <x:v>待确认</x:v>
      </x:c>
    </x:row>
    <x:row r="497">
      <x:c r="A497" s="56" t="str">
        <x:v>P013</x:v>
      </x:c>
      <x:c r="B497" s="56" t="str">
        <x:v>HX-ADD-001</x:v>
      </x:c>
      <x:c r="C497" s="56" t="str">
        <x:v>history</x:v>
      </x:c>
      <x:c r="D497" s="56" t="n">
        <x:v>50</x:v>
      </x:c>
      <x:c r="E497" s="56" t="str">
        <x:v>history.fever_chills</x:v>
      </x:c>
      <x:c r="F497" s="56" t="str">
        <x:v>fever_chills</x:v>
      </x:c>
      <x:c r="G497" s="56" t="n">
        <x:v>4</x:v>
      </x:c>
      <x:c r="H497" s="56" t="str">
        <x:v>普通得分项</x:v>
      </x:c>
      <x:c r="I497" s="56" t="str">
        <x:v>否</x:v>
      </x:c>
      <x:c r="J497" s="56" t="str">
        <x:v>否</x:v>
      </x:c>
      <x:c r="K497" s="56" t="str">
        <x:v>否</x:v>
      </x:c>
      <x:c r="L497" s="56" t="str">
        <x:v>按结构化事件证据给予0/部分/满分；不能由总结反推已完成</x:v>
      </x:c>
      <x:c r="M497" s="56" t="str"/>
      <x:c r="N497" s="56" t="n">
        <x:f>SUMIFS($G$4:$G$1673,$A$4:$A$1673,A497)</x:f>
        <x:v>360</x:v>
      </x:c>
      <x:c r="O497" s="56" t="str">
        <x:f>IF(N497=360,"通过","失败")</x:f>
        <x:v>通过</x:v>
      </x:c>
      <x:c r="P497" s="56" t="str"/>
      <x:c r="Q497" s="59" t="str">
        <x:v>待确认</x:v>
      </x:c>
    </x:row>
    <x:row r="498">
      <x:c r="A498" s="56" t="str">
        <x:v>P013</x:v>
      </x:c>
      <x:c r="B498" s="56" t="str">
        <x:v>HX-ADD-001</x:v>
      </x:c>
      <x:c r="C498" s="56" t="str">
        <x:v>risk</x:v>
      </x:c>
      <x:c r="D498" s="56" t="n">
        <x:v>40</x:v>
      </x:c>
      <x:c r="E498" s="56" t="str">
        <x:v>risk.smoking</x:v>
      </x:c>
      <x:c r="F498" s="56" t="str">
        <x:v>smoking</x:v>
      </x:c>
      <x:c r="G498" s="56" t="n">
        <x:v>8</x:v>
      </x:c>
      <x:c r="H498" s="56" t="str">
        <x:v>普通得分项</x:v>
      </x:c>
      <x:c r="I498" s="56" t="str">
        <x:v>否</x:v>
      </x:c>
      <x:c r="J498" s="56" t="str">
        <x:v>否</x:v>
      </x:c>
      <x:c r="K498" s="56" t="str">
        <x:v>否</x:v>
      </x:c>
      <x:c r="L498" s="56" t="str">
        <x:v>按结构化事件证据给予0/部分/满分；不能由总结反推已完成</x:v>
      </x:c>
      <x:c r="M498" s="56" t="str"/>
      <x:c r="N498" s="56" t="n">
        <x:f>SUMIFS($G$4:$G$1673,$A$4:$A$1673,A498)</x:f>
        <x:v>360</x:v>
      </x:c>
      <x:c r="O498" s="56" t="str">
        <x:f>IF(N498=360,"通过","失败")</x:f>
        <x:v>通过</x:v>
      </x:c>
      <x:c r="P498" s="56" t="str"/>
      <x:c r="Q498" s="59" t="str">
        <x:v>待确认</x:v>
      </x:c>
    </x:row>
    <x:row r="499">
      <x:c r="A499" s="56" t="str">
        <x:v>P013</x:v>
      </x:c>
      <x:c r="B499" s="56" t="str">
        <x:v>HX-ADD-001</x:v>
      </x:c>
      <x:c r="C499" s="56" t="str">
        <x:v>risk</x:v>
      </x:c>
      <x:c r="D499" s="56" t="n">
        <x:v>40</x:v>
      </x:c>
      <x:c r="E499" s="56" t="str">
        <x:v>risk.occupation_exposure</x:v>
      </x:c>
      <x:c r="F499" s="56" t="str">
        <x:v>occupation_exposure</x:v>
      </x:c>
      <x:c r="G499" s="56" t="n">
        <x:v>8</x:v>
      </x:c>
      <x:c r="H499" s="56" t="str">
        <x:v>普通得分项</x:v>
      </x:c>
      <x:c r="I499" s="56" t="str">
        <x:v>否</x:v>
      </x:c>
      <x:c r="J499" s="56" t="str">
        <x:v>否</x:v>
      </x:c>
      <x:c r="K499" s="56" t="str">
        <x:v>否</x:v>
      </x:c>
      <x:c r="L499" s="56" t="str">
        <x:v>按结构化事件证据给予0/部分/满分；不能由总结反推已完成</x:v>
      </x:c>
      <x:c r="M499" s="56" t="str"/>
      <x:c r="N499" s="56" t="n">
        <x:f>SUMIFS($G$4:$G$1673,$A$4:$A$1673,A499)</x:f>
        <x:v>360</x:v>
      </x:c>
      <x:c r="O499" s="56" t="str">
        <x:f>IF(N499=360,"通过","失败")</x:f>
        <x:v>通过</x:v>
      </x:c>
      <x:c r="P499" s="56" t="str"/>
      <x:c r="Q499" s="59" t="str">
        <x:v>待确认</x:v>
      </x:c>
    </x:row>
    <x:row r="500">
      <x:c r="A500" s="56" t="str">
        <x:v>P013</x:v>
      </x:c>
      <x:c r="B500" s="56" t="str">
        <x:v>HX-ADD-001</x:v>
      </x:c>
      <x:c r="C500" s="56" t="str">
        <x:v>risk</x:v>
      </x:c>
      <x:c r="D500" s="56" t="n">
        <x:v>40</x:v>
      </x:c>
      <x:c r="E500" s="56" t="str">
        <x:v>risk.tumor_history</x:v>
      </x:c>
      <x:c r="F500" s="56" t="str">
        <x:v>tumor_history</x:v>
      </x:c>
      <x:c r="G500" s="56" t="n">
        <x:v>8</x:v>
      </x:c>
      <x:c r="H500" s="56" t="str">
        <x:v>普通得分项</x:v>
      </x:c>
      <x:c r="I500" s="56" t="str">
        <x:v>否</x:v>
      </x:c>
      <x:c r="J500" s="56" t="str">
        <x:v>否</x:v>
      </x:c>
      <x:c r="K500" s="56" t="str">
        <x:v>否</x:v>
      </x:c>
      <x:c r="L500" s="56" t="str">
        <x:v>按结构化事件证据给予0/部分/满分；不能由总结反推已完成</x:v>
      </x:c>
      <x:c r="M500" s="56" t="str"/>
      <x:c r="N500" s="56" t="n">
        <x:f>SUMIFS($G$4:$G$1673,$A$4:$A$1673,A500)</x:f>
        <x:v>360</x:v>
      </x:c>
      <x:c r="O500" s="56" t="str">
        <x:f>IF(N500=360,"通过","失败")</x:f>
        <x:v>通过</x:v>
      </x:c>
      <x:c r="P500" s="56" t="str"/>
      <x:c r="Q500" s="59" t="str">
        <x:v>待确认</x:v>
      </x:c>
    </x:row>
    <x:row r="501">
      <x:c r="A501" s="56" t="str">
        <x:v>P013</x:v>
      </x:c>
      <x:c r="B501" s="56" t="str">
        <x:v>HX-ADD-001</x:v>
      </x:c>
      <x:c r="C501" s="56" t="str">
        <x:v>risk</x:v>
      </x:c>
      <x:c r="D501" s="56" t="n">
        <x:v>40</x:v>
      </x:c>
      <x:c r="E501" s="56" t="str">
        <x:v>risk.anticoagulant</x:v>
      </x:c>
      <x:c r="F501" s="56" t="str">
        <x:v>anticoagulant</x:v>
      </x:c>
      <x:c r="G501" s="56" t="n">
        <x:v>8</x:v>
      </x:c>
      <x:c r="H501" s="56" t="str">
        <x:v>普通得分项</x:v>
      </x:c>
      <x:c r="I501" s="56" t="str">
        <x:v>否</x:v>
      </x:c>
      <x:c r="J501" s="56" t="str">
        <x:v>否</x:v>
      </x:c>
      <x:c r="K501" s="56" t="str">
        <x:v>否</x:v>
      </x:c>
      <x:c r="L501" s="56" t="str">
        <x:v>按结构化事件证据给予0/部分/满分；不能由总结反推已完成</x:v>
      </x:c>
      <x:c r="M501" s="56" t="str"/>
      <x:c r="N501" s="56" t="n">
        <x:f>SUMIFS($G$4:$G$1673,$A$4:$A$1673,A501)</x:f>
        <x:v>360</x:v>
      </x:c>
      <x:c r="O501" s="56" t="str">
        <x:f>IF(N501=360,"通过","失败")</x:f>
        <x:v>通过</x:v>
      </x:c>
      <x:c r="P501" s="56" t="str"/>
      <x:c r="Q501" s="59" t="str">
        <x:v>待确认</x:v>
      </x:c>
    </x:row>
    <x:row r="502">
      <x:c r="A502" s="56" t="str">
        <x:v>P013</x:v>
      </x:c>
      <x:c r="B502" s="56" t="str">
        <x:v>HX-ADD-001</x:v>
      </x:c>
      <x:c r="C502" s="56" t="str">
        <x:v>risk</x:v>
      </x:c>
      <x:c r="D502" s="56" t="n">
        <x:v>40</x:v>
      </x:c>
      <x:c r="E502" s="56" t="str">
        <x:v>risk.antiplatelet</x:v>
      </x:c>
      <x:c r="F502" s="56" t="str">
        <x:v>antiplatelet</x:v>
      </x:c>
      <x:c r="G502" s="56" t="n">
        <x:v>8</x:v>
      </x:c>
      <x:c r="H502" s="56" t="str">
        <x:v>普通得分项</x:v>
      </x:c>
      <x:c r="I502" s="56" t="str">
        <x:v>否</x:v>
      </x:c>
      <x:c r="J502" s="56" t="str">
        <x:v>否</x:v>
      </x:c>
      <x:c r="K502" s="56" t="str">
        <x:v>否</x:v>
      </x:c>
      <x:c r="L502" s="56" t="str">
        <x:v>按结构化事件证据给予0/部分/满分；不能由总结反推已完成</x:v>
      </x:c>
      <x:c r="M502" s="56" t="str"/>
      <x:c r="N502" s="56" t="n">
        <x:f>SUMIFS($G$4:$G$1673,$A$4:$A$1673,A502)</x:f>
        <x:v>360</x:v>
      </x:c>
      <x:c r="O502" s="56" t="str">
        <x:f>IF(N502=360,"通过","失败")</x:f>
        <x:v>通过</x:v>
      </x:c>
      <x:c r="P502" s="56" t="str"/>
      <x:c r="Q502" s="59" t="str">
        <x:v>待确认</x:v>
      </x:c>
    </x:row>
    <x:row r="503">
      <x:c r="A503" s="56" t="str">
        <x:v>P013</x:v>
      </x:c>
      <x:c r="B503" s="56" t="str">
        <x:v>HX-ADD-001</x:v>
      </x:c>
      <x:c r="C503" s="56" t="str">
        <x:v>exam</x:v>
      </x:c>
      <x:c r="D503" s="56" t="n">
        <x:v>35</x:v>
      </x:c>
      <x:c r="E503" s="56" t="str">
        <x:v>exam.temperature</x:v>
      </x:c>
      <x:c r="F503" s="56" t="str">
        <x:v>体温</x:v>
      </x:c>
      <x:c r="G503" s="56" t="n">
        <x:v>12</x:v>
      </x:c>
      <x:c r="H503" s="56" t="str">
        <x:v>普通得分项</x:v>
      </x:c>
      <x:c r="I503" s="56" t="str">
        <x:v>否</x:v>
      </x:c>
      <x:c r="J503" s="56" t="str">
        <x:v>否</x:v>
      </x:c>
      <x:c r="K503" s="56" t="str">
        <x:v>否</x:v>
      </x:c>
      <x:c r="L503" s="56" t="str">
        <x:v>按结构化事件证据给予0/部分/满分；不能由总结反推已完成</x:v>
      </x:c>
      <x:c r="M503" s="56" t="str"/>
      <x:c r="N503" s="56" t="n">
        <x:f>SUMIFS($G$4:$G$1673,$A$4:$A$1673,A503)</x:f>
        <x:v>360</x:v>
      </x:c>
      <x:c r="O503" s="56" t="str">
        <x:f>IF(N503=360,"通过","失败")</x:f>
        <x:v>通过</x:v>
      </x:c>
      <x:c r="P503" s="56" t="str"/>
      <x:c r="Q503" s="59" t="str">
        <x:v>待确认</x:v>
      </x:c>
    </x:row>
    <x:row r="504">
      <x:c r="A504" s="56" t="str">
        <x:v>P013</x:v>
      </x:c>
      <x:c r="B504" s="56" t="str">
        <x:v>HX-ADD-001</x:v>
      </x:c>
      <x:c r="C504" s="56" t="str">
        <x:v>exam</x:v>
      </x:c>
      <x:c r="D504" s="56" t="n">
        <x:v>35</x:v>
      </x:c>
      <x:c r="E504" s="56" t="str">
        <x:v>exam.blood_pressure</x:v>
      </x:c>
      <x:c r="F504" s="56" t="str">
        <x:v>血压</x:v>
      </x:c>
      <x:c r="G504" s="56" t="n">
        <x:v>12</x:v>
      </x:c>
      <x:c r="H504" s="56" t="str">
        <x:v>普通得分项</x:v>
      </x:c>
      <x:c r="I504" s="56" t="str">
        <x:v>否</x:v>
      </x:c>
      <x:c r="J504" s="56" t="str">
        <x:v>否</x:v>
      </x:c>
      <x:c r="K504" s="56" t="str">
        <x:v>否</x:v>
      </x:c>
      <x:c r="L504" s="56" t="str">
        <x:v>按结构化事件证据给予0/部分/满分；不能由总结反推已完成</x:v>
      </x:c>
      <x:c r="M504" s="56" t="str"/>
      <x:c r="N504" s="56" t="n">
        <x:f>SUMIFS($G$4:$G$1673,$A$4:$A$1673,A504)</x:f>
        <x:v>360</x:v>
      </x:c>
      <x:c r="O504" s="56" t="str">
        <x:f>IF(N504=360,"通过","失败")</x:f>
        <x:v>通过</x:v>
      </x:c>
      <x:c r="P504" s="56" t="str"/>
      <x:c r="Q504" s="59" t="str">
        <x:v>待确认</x:v>
      </x:c>
    </x:row>
    <x:row r="505">
      <x:c r="A505" s="56" t="str">
        <x:v>P013</x:v>
      </x:c>
      <x:c r="B505" s="56" t="str">
        <x:v>HX-ADD-001</x:v>
      </x:c>
      <x:c r="C505" s="56" t="str">
        <x:v>exam</x:v>
      </x:c>
      <x:c r="D505" s="56" t="n">
        <x:v>35</x:v>
      </x:c>
      <x:c r="E505" s="56" t="str">
        <x:v>exam.targeted</x:v>
      </x:c>
      <x:c r="F505" s="56" t="str">
        <x:v>病例针对性查体</x:v>
      </x:c>
      <x:c r="G505" s="56" t="n">
        <x:v>11</x:v>
      </x:c>
      <x:c r="H505" s="56" t="str">
        <x:v>普通得分项</x:v>
      </x:c>
      <x:c r="I505" s="56" t="str">
        <x:v>否</x:v>
      </x:c>
      <x:c r="J505" s="56" t="str">
        <x:v>否</x:v>
      </x:c>
      <x:c r="K505" s="56" t="str">
        <x:v>否</x:v>
      </x:c>
      <x:c r="L505" s="56" t="str">
        <x:v>按结构化事件证据给予0/部分/满分；不能由总结反推已完成</x:v>
      </x:c>
      <x:c r="M505" s="56" t="str"/>
      <x:c r="N505" s="56" t="n">
        <x:f>SUMIFS($G$4:$G$1673,$A$4:$A$1673,A505)</x:f>
        <x:v>360</x:v>
      </x:c>
      <x:c r="O505" s="56" t="str">
        <x:f>IF(N505=360,"通过","失败")</x:f>
        <x:v>通过</x:v>
      </x:c>
      <x:c r="P505" s="56" t="str"/>
      <x:c r="Q505" s="59" t="str">
        <x:v>待确认</x:v>
      </x:c>
    </x:row>
    <x:row r="506">
      <x:c r="A506" s="56" t="str">
        <x:v>P013</x:v>
      </x:c>
      <x:c r="B506" s="56" t="str">
        <x:v>HX-ADD-001</x:v>
      </x:c>
      <x:c r="C506" s="56" t="str">
        <x:v>diagnosis</x:v>
      </x:c>
      <x:c r="D506" s="56" t="n">
        <x:v>45</x:v>
      </x:c>
      <x:c r="E506" s="56" t="str">
        <x:v>diagnosis.primary</x:v>
      </x:c>
      <x:c r="F506" s="56" t="str">
        <x:v>最可能诊断及依据</x:v>
      </x:c>
      <x:c r="G506" s="56" t="n">
        <x:v>15</x:v>
      </x:c>
      <x:c r="H506" s="56" t="str">
        <x:v>普通得分项</x:v>
      </x:c>
      <x:c r="I506" s="56" t="str">
        <x:v>否</x:v>
      </x:c>
      <x:c r="J506" s="56" t="str">
        <x:v>否</x:v>
      </x:c>
      <x:c r="K506" s="56" t="str">
        <x:v>否</x:v>
      </x:c>
      <x:c r="L506" s="56" t="str">
        <x:v>按结构化事件证据给予0/部分/满分；不能由总结反推已完成</x:v>
      </x:c>
      <x:c r="M506" s="56" t="str"/>
      <x:c r="N506" s="56" t="n">
        <x:f>SUMIFS($G$4:$G$1673,$A$4:$A$1673,A506)</x:f>
        <x:v>360</x:v>
      </x:c>
      <x:c r="O506" s="56" t="str">
        <x:f>IF(N506=360,"通过","失败")</x:f>
        <x:v>通过</x:v>
      </x:c>
      <x:c r="P506" s="56" t="str"/>
      <x:c r="Q506" s="59" t="str">
        <x:v>待确认</x:v>
      </x:c>
    </x:row>
    <x:row r="507">
      <x:c r="A507" s="56" t="str">
        <x:v>P013</x:v>
      </x:c>
      <x:c r="B507" s="56" t="str">
        <x:v>HX-ADD-001</x:v>
      </x:c>
      <x:c r="C507" s="56" t="str">
        <x:v>diagnosis</x:v>
      </x:c>
      <x:c r="D507" s="56" t="n">
        <x:v>45</x:v>
      </x:c>
      <x:c r="E507" s="56" t="str">
        <x:v>diagnosis.differentials</x:v>
      </x:c>
      <x:c r="F507" s="56" t="str">
        <x:v>至少3项鉴别及支持/反对点</x:v>
      </x:c>
      <x:c r="G507" s="56" t="n">
        <x:v>15</x:v>
      </x:c>
      <x:c r="H507" s="56" t="str">
        <x:v>普通得分项</x:v>
      </x:c>
      <x:c r="I507" s="56" t="str">
        <x:v>否</x:v>
      </x:c>
      <x:c r="J507" s="56" t="str">
        <x:v>否</x:v>
      </x:c>
      <x:c r="K507" s="56" t="str">
        <x:v>否</x:v>
      </x:c>
      <x:c r="L507" s="56" t="str">
        <x:v>按结构化事件证据给予0/部分/满分；不能由总结反推已完成</x:v>
      </x:c>
      <x:c r="M507" s="56" t="str"/>
      <x:c r="N507" s="56" t="n">
        <x:f>SUMIFS($G$4:$G$1673,$A$4:$A$1673,A507)</x:f>
        <x:v>360</x:v>
      </x:c>
      <x:c r="O507" s="56" t="str">
        <x:f>IF(N507=360,"通过","失败")</x:f>
        <x:v>通过</x:v>
      </x:c>
      <x:c r="P507" s="56" t="str"/>
      <x:c r="Q507" s="59" t="str">
        <x:v>待确认</x:v>
      </x:c>
    </x:row>
    <x:row r="508">
      <x:c r="A508" s="56" t="str">
        <x:v>P013</x:v>
      </x:c>
      <x:c r="B508" s="56" t="str">
        <x:v>HX-ADD-001</x:v>
      </x:c>
      <x:c r="C508" s="56" t="str">
        <x:v>diagnosis</x:v>
      </x:c>
      <x:c r="D508" s="56" t="n">
        <x:v>45</x:v>
      </x:c>
      <x:c r="E508" s="56" t="str">
        <x:v>diagnosis.confirmation</x:v>
      </x:c>
      <x:c r="F508" s="56" t="str">
        <x:v>确认计划</x:v>
      </x:c>
      <x:c r="G508" s="56" t="n">
        <x:v>15</x:v>
      </x:c>
      <x:c r="H508" s="56" t="str">
        <x:v>普通得分项</x:v>
      </x:c>
      <x:c r="I508" s="56" t="str">
        <x:v>否</x:v>
      </x:c>
      <x:c r="J508" s="56" t="str">
        <x:v>否</x:v>
      </x:c>
      <x:c r="K508" s="56" t="str">
        <x:v>否</x:v>
      </x:c>
      <x:c r="L508" s="56" t="str">
        <x:v>按结构化事件证据给予0/部分/满分；不能由总结反推已完成</x:v>
      </x:c>
      <x:c r="M508" s="56" t="str"/>
      <x:c r="N508" s="56" t="n">
        <x:f>SUMIFS($G$4:$G$1673,$A$4:$A$1673,A508)</x:f>
        <x:v>360</x:v>
      </x:c>
      <x:c r="O508" s="56" t="str">
        <x:f>IF(N508=360,"通过","失败")</x:f>
        <x:v>通过</x:v>
      </x:c>
      <x:c r="P508" s="56" t="str"/>
      <x:c r="Q508" s="59" t="str">
        <x:v>待确认</x:v>
      </x:c>
    </x:row>
    <x:row r="509">
      <x:c r="A509" s="56" t="str">
        <x:v>P013</x:v>
      </x:c>
      <x:c r="B509" s="56" t="str">
        <x:v>HX-ADD-001</x:v>
      </x:c>
      <x:c r="C509" s="56" t="str">
        <x:v>orders</x:v>
      </x:c>
      <x:c r="D509" s="56" t="n">
        <x:v>55</x:v>
      </x:c>
      <x:c r="E509" s="56" t="str">
        <x:v>orders.LAB-UR-001</x:v>
      </x:c>
      <x:c r="F509" s="56" t="str">
        <x:v>LAB-UR-001</x:v>
      </x:c>
      <x:c r="G509" s="56" t="n">
        <x:v>10</x:v>
      </x:c>
      <x:c r="H509" s="56" t="str">
        <x:v>病例特异得分项</x:v>
      </x:c>
      <x:c r="I509" s="56" t="str">
        <x:v>否</x:v>
      </x:c>
      <x:c r="J509" s="56" t="str">
        <x:v>否</x:v>
      </x:c>
      <x:c r="K509" s="56" t="str">
        <x:v>否</x:v>
      </x:c>
      <x:c r="L509" s="56" t="str">
        <x:v>按结构化事件证据给予0/部分/满分；不能由总结反推已完成</x:v>
      </x:c>
      <x:c r="M509" s="56" t="str"/>
      <x:c r="N509" s="56" t="n">
        <x:f>SUMIFS($G$4:$G$1673,$A$4:$A$1673,A509)</x:f>
        <x:v>360</x:v>
      </x:c>
      <x:c r="O509" s="56" t="str">
        <x:f>IF(N509=360,"通过","失败")</x:f>
        <x:v>通过</x:v>
      </x:c>
      <x:c r="P509" s="56" t="str"/>
      <x:c r="Q509" s="59" t="str">
        <x:v>待确认</x:v>
      </x:c>
    </x:row>
    <x:row r="510">
      <x:c r="A510" s="56" t="str">
        <x:v>P013</x:v>
      </x:c>
      <x:c r="B510" s="56" t="str">
        <x:v>HX-ADD-001</x:v>
      </x:c>
      <x:c r="C510" s="56" t="str">
        <x:v>orders</x:v>
      </x:c>
      <x:c r="D510" s="56" t="n">
        <x:v>55</x:v>
      </x:c>
      <x:c r="E510" s="56" t="str">
        <x:v>orders.LAB-UR-002</x:v>
      </x:c>
      <x:c r="F510" s="56" t="str">
        <x:v>LAB-UR-002</x:v>
      </x:c>
      <x:c r="G510" s="56" t="n">
        <x:v>9</x:v>
      </x:c>
      <x:c r="H510" s="56" t="str">
        <x:v>病例特异得分项</x:v>
      </x:c>
      <x:c r="I510" s="56" t="str">
        <x:v>否</x:v>
      </x:c>
      <x:c r="J510" s="56" t="str">
        <x:v>否</x:v>
      </x:c>
      <x:c r="K510" s="56" t="str">
        <x:v>否</x:v>
      </x:c>
      <x:c r="L510" s="56" t="str">
        <x:v>按结构化事件证据给予0/部分/满分；不能由总结反推已完成</x:v>
      </x:c>
      <x:c r="M510" s="56" t="str"/>
      <x:c r="N510" s="56" t="n">
        <x:f>SUMIFS($G$4:$G$1673,$A$4:$A$1673,A510)</x:f>
        <x:v>360</x:v>
      </x:c>
      <x:c r="O510" s="56" t="str">
        <x:f>IF(N510=360,"通过","失败")</x:f>
        <x:v>通过</x:v>
      </x:c>
      <x:c r="P510" s="56" t="str"/>
      <x:c r="Q510" s="59" t="str">
        <x:v>待确认</x:v>
      </x:c>
    </x:row>
    <x:row r="511">
      <x:c r="A511" s="56" t="str">
        <x:v>P013</x:v>
      </x:c>
      <x:c r="B511" s="56" t="str">
        <x:v>HX-ADD-001</x:v>
      </x:c>
      <x:c r="C511" s="56" t="str">
        <x:v>orders</x:v>
      </x:c>
      <x:c r="D511" s="56" t="n">
        <x:v>55</x:v>
      </x:c>
      <x:c r="E511" s="56" t="str">
        <x:v>orders.LAB-UR-006</x:v>
      </x:c>
      <x:c r="F511" s="56" t="str">
        <x:v>LAB-UR-006</x:v>
      </x:c>
      <x:c r="G511" s="56" t="n">
        <x:v>9</x:v>
      </x:c>
      <x:c r="H511" s="56" t="str">
        <x:v>病例特异得分项</x:v>
      </x:c>
      <x:c r="I511" s="56" t="str">
        <x:v>否</x:v>
      </x:c>
      <x:c r="J511" s="56" t="str">
        <x:v>否</x:v>
      </x:c>
      <x:c r="K511" s="56" t="str">
        <x:v>否</x:v>
      </x:c>
      <x:c r="L511" s="56" t="str">
        <x:v>按结构化事件证据给予0/部分/满分；不能由总结反推已完成</x:v>
      </x:c>
      <x:c r="M511" s="56" t="str"/>
      <x:c r="N511" s="56" t="n">
        <x:f>SUMIFS($G$4:$G$1673,$A$4:$A$1673,A511)</x:f>
        <x:v>360</x:v>
      </x:c>
      <x:c r="O511" s="56" t="str">
        <x:f>IF(N511=360,"通过","失败")</x:f>
        <x:v>通过</x:v>
      </x:c>
      <x:c r="P511" s="56" t="str"/>
      <x:c r="Q511" s="59" t="str">
        <x:v>待确认</x:v>
      </x:c>
    </x:row>
    <x:row r="512">
      <x:c r="A512" s="56" t="str">
        <x:v>P013</x:v>
      </x:c>
      <x:c r="B512" s="56" t="str">
        <x:v>HX-ADD-001</x:v>
      </x:c>
      <x:c r="C512" s="56" t="str">
        <x:v>orders</x:v>
      </x:c>
      <x:c r="D512" s="56" t="n">
        <x:v>55</x:v>
      </x:c>
      <x:c r="E512" s="56" t="str">
        <x:v>orders.LAB-BL-003</x:v>
      </x:c>
      <x:c r="F512" s="56" t="str">
        <x:v>LAB-BL-003</x:v>
      </x:c>
      <x:c r="G512" s="56" t="n">
        <x:v>9</x:v>
      </x:c>
      <x:c r="H512" s="56" t="str">
        <x:v>病例特异得分项</x:v>
      </x:c>
      <x:c r="I512" s="56" t="str">
        <x:v>否</x:v>
      </x:c>
      <x:c r="J512" s="56" t="str">
        <x:v>否</x:v>
      </x:c>
      <x:c r="K512" s="56" t="str">
        <x:v>否</x:v>
      </x:c>
      <x:c r="L512" s="56" t="str">
        <x:v>按结构化事件证据给予0/部分/满分；不能由总结反推已完成</x:v>
      </x:c>
      <x:c r="M512" s="56" t="str"/>
      <x:c r="N512" s="56" t="n">
        <x:f>SUMIFS($G$4:$G$1673,$A$4:$A$1673,A512)</x:f>
        <x:v>360</x:v>
      </x:c>
      <x:c r="O512" s="56" t="str">
        <x:f>IF(N512=360,"通过","失败")</x:f>
        <x:v>通过</x:v>
      </x:c>
      <x:c r="P512" s="56" t="str"/>
      <x:c r="Q512" s="59" t="str">
        <x:v>待确认</x:v>
      </x:c>
    </x:row>
    <x:row r="513">
      <x:c r="A513" s="56" t="str">
        <x:v>P013</x:v>
      </x:c>
      <x:c r="B513" s="56" t="str">
        <x:v>HX-ADD-001</x:v>
      </x:c>
      <x:c r="C513" s="56" t="str">
        <x:v>orders</x:v>
      </x:c>
      <x:c r="D513" s="56" t="n">
        <x:v>55</x:v>
      </x:c>
      <x:c r="E513" s="56" t="str">
        <x:v>orders.IMG-CT-002</x:v>
      </x:c>
      <x:c r="F513" s="56" t="str">
        <x:v>IMG-CT-002</x:v>
      </x:c>
      <x:c r="G513" s="56" t="n">
        <x:v>9</x:v>
      </x:c>
      <x:c r="H513" s="56" t="str">
        <x:v>病例特异得分项</x:v>
      </x:c>
      <x:c r="I513" s="56" t="str">
        <x:v>否</x:v>
      </x:c>
      <x:c r="J513" s="56" t="str">
        <x:v>否</x:v>
      </x:c>
      <x:c r="K513" s="56" t="str">
        <x:v>否</x:v>
      </x:c>
      <x:c r="L513" s="56" t="str">
        <x:v>按结构化事件证据给予0/部分/满分；不能由总结反推已完成</x:v>
      </x:c>
      <x:c r="M513" s="56" t="str"/>
      <x:c r="N513" s="56" t="n">
        <x:f>SUMIFS($G$4:$G$1673,$A$4:$A$1673,A513)</x:f>
        <x:v>360</x:v>
      </x:c>
      <x:c r="O513" s="56" t="str">
        <x:f>IF(N513=360,"通过","失败")</x:f>
        <x:v>通过</x:v>
      </x:c>
      <x:c r="P513" s="56" t="str"/>
      <x:c r="Q513" s="59" t="str">
        <x:v>待确认</x:v>
      </x:c>
    </x:row>
    <x:row r="514">
      <x:c r="A514" s="56" t="str">
        <x:v>P013</x:v>
      </x:c>
      <x:c r="B514" s="56" t="str">
        <x:v>HX-ADD-001</x:v>
      </x:c>
      <x:c r="C514" s="56" t="str">
        <x:v>orders</x:v>
      </x:c>
      <x:c r="D514" s="56" t="n">
        <x:v>55</x:v>
      </x:c>
      <x:c r="E514" s="56" t="str">
        <x:v>orders.END-001</x:v>
      </x:c>
      <x:c r="F514" s="56" t="str">
        <x:v>END-001</x:v>
      </x:c>
      <x:c r="G514" s="56" t="n">
        <x:v>9</x:v>
      </x:c>
      <x:c r="H514" s="56" t="str">
        <x:v>病例特异得分项</x:v>
      </x:c>
      <x:c r="I514" s="56" t="str">
        <x:v>否</x:v>
      </x:c>
      <x:c r="J514" s="56" t="str">
        <x:v>否</x:v>
      </x:c>
      <x:c r="K514" s="56" t="str">
        <x:v>否</x:v>
      </x:c>
      <x:c r="L514" s="56" t="str">
        <x:v>按结构化事件证据给予0/部分/满分；不能由总结反推已完成</x:v>
      </x:c>
      <x:c r="M514" s="56" t="str"/>
      <x:c r="N514" s="56" t="n">
        <x:f>SUMIFS($G$4:$G$1673,$A$4:$A$1673,A514)</x:f>
        <x:v>360</x:v>
      </x:c>
      <x:c r="O514" s="56" t="str">
        <x:f>IF(N514=360,"通过","失败")</x:f>
        <x:v>通过</x:v>
      </x:c>
      <x:c r="P514" s="56" t="str"/>
      <x:c r="Q514" s="59" t="str">
        <x:v>待确认</x:v>
      </x:c>
    </x:row>
    <x:row r="515">
      <x:c r="A515" s="56" t="str">
        <x:v>P013</x:v>
      </x:c>
      <x:c r="B515" s="56" t="str">
        <x:v>HX-ADD-001</x:v>
      </x:c>
      <x:c r="C515" s="56" t="str">
        <x:v>mdt</x:v>
      </x:c>
      <x:c r="D515" s="56" t="n">
        <x:v>45</x:v>
      </x:c>
      <x:c r="E515" s="56" t="str">
        <x:v>mdt.department</x:v>
      </x:c>
      <x:c r="F515" s="56" t="str">
        <x:v>department</x:v>
      </x:c>
      <x:c r="G515" s="56" t="n">
        <x:v>12</x:v>
      </x:c>
      <x:c r="H515" s="56" t="str">
        <x:v>病例特异得分项</x:v>
      </x:c>
      <x:c r="I515" s="56" t="str">
        <x:v>否</x:v>
      </x:c>
      <x:c r="J515" s="56" t="str">
        <x:v>否</x:v>
      </x:c>
      <x:c r="K515" s="56" t="str">
        <x:v>否</x:v>
      </x:c>
      <x:c r="L515" s="56" t="str">
        <x:v>按结构化事件证据给予0/部分/满分；不能由总结反推已完成</x:v>
      </x:c>
      <x:c r="M515" s="56" t="str"/>
      <x:c r="N515" s="56" t="n">
        <x:f>SUMIFS($G$4:$G$1673,$A$4:$A$1673,A515)</x:f>
        <x:v>360</x:v>
      </x:c>
      <x:c r="O515" s="56" t="str">
        <x:f>IF(N515=360,"通过","失败")</x:f>
        <x:v>通过</x:v>
      </x:c>
      <x:c r="P515" s="56" t="str"/>
      <x:c r="Q515" s="59" t="str">
        <x:v>待确认</x:v>
      </x:c>
    </x:row>
    <x:row r="516">
      <x:c r="A516" s="56" t="str">
        <x:v>P013</x:v>
      </x:c>
      <x:c r="B516" s="56" t="str">
        <x:v>HX-ADD-001</x:v>
      </x:c>
      <x:c r="C516" s="56" t="str">
        <x:v>mdt</x:v>
      </x:c>
      <x:c r="D516" s="56" t="n">
        <x:v>45</x:v>
      </x:c>
      <x:c r="E516" s="56" t="str">
        <x:v>mdt.trigger</x:v>
      </x:c>
      <x:c r="F516" s="56" t="str">
        <x:v>trigger</x:v>
      </x:c>
      <x:c r="G516" s="56" t="n">
        <x:v>11</x:v>
      </x:c>
      <x:c r="H516" s="56" t="str">
        <x:v>病例特异得分项</x:v>
      </x:c>
      <x:c r="I516" s="56" t="str">
        <x:v>否</x:v>
      </x:c>
      <x:c r="J516" s="56" t="str">
        <x:v>否</x:v>
      </x:c>
      <x:c r="K516" s="56" t="str">
        <x:v>否</x:v>
      </x:c>
      <x:c r="L516" s="56" t="str">
        <x:v>按结构化事件证据给予0/部分/满分；不能由总结反推已完成</x:v>
      </x:c>
      <x:c r="M516" s="56" t="str"/>
      <x:c r="N516" s="56" t="n">
        <x:f>SUMIFS($G$4:$G$1673,$A$4:$A$1673,A516)</x:f>
        <x:v>360</x:v>
      </x:c>
      <x:c r="O516" s="56" t="str">
        <x:f>IF(N516=360,"通过","失败")</x:f>
        <x:v>通过</x:v>
      </x:c>
      <x:c r="P516" s="56" t="str"/>
      <x:c r="Q516" s="59" t="str">
        <x:v>待确认</x:v>
      </x:c>
    </x:row>
    <x:row r="517">
      <x:c r="A517" s="56" t="str">
        <x:v>P013</x:v>
      </x:c>
      <x:c r="B517" s="56" t="str">
        <x:v>HX-ADD-001</x:v>
      </x:c>
      <x:c r="C517" s="56" t="str">
        <x:v>mdt</x:v>
      </x:c>
      <x:c r="D517" s="56" t="n">
        <x:v>45</x:v>
      </x:c>
      <x:c r="E517" s="56" t="str">
        <x:v>mdt.question</x:v>
      </x:c>
      <x:c r="F517" s="56" t="str">
        <x:v>question</x:v>
      </x:c>
      <x:c r="G517" s="56" t="n">
        <x:v>11</x:v>
      </x:c>
      <x:c r="H517" s="56" t="str">
        <x:v>病例特异得分项</x:v>
      </x:c>
      <x:c r="I517" s="56" t="str">
        <x:v>否</x:v>
      </x:c>
      <x:c r="J517" s="56" t="str">
        <x:v>否</x:v>
      </x:c>
      <x:c r="K517" s="56" t="str">
        <x:v>否</x:v>
      </x:c>
      <x:c r="L517" s="56" t="str">
        <x:v>按结构化事件证据给予0/部分/满分；不能由总结反推已完成</x:v>
      </x:c>
      <x:c r="M517" s="56" t="str"/>
      <x:c r="N517" s="56" t="n">
        <x:f>SUMIFS($G$4:$G$1673,$A$4:$A$1673,A517)</x:f>
        <x:v>360</x:v>
      </x:c>
      <x:c r="O517" s="56" t="str">
        <x:f>IF(N517=360,"通过","失败")</x:f>
        <x:v>通过</x:v>
      </x:c>
      <x:c r="P517" s="56" t="str"/>
      <x:c r="Q517" s="59" t="str">
        <x:v>待确认</x:v>
      </x:c>
    </x:row>
    <x:row r="518">
      <x:c r="A518" s="56" t="str">
        <x:v>P013</x:v>
      </x:c>
      <x:c r="B518" s="56" t="str">
        <x:v>HX-ADD-001</x:v>
      </x:c>
      <x:c r="C518" s="56" t="str">
        <x:v>mdt</x:v>
      </x:c>
      <x:c r="D518" s="56" t="n">
        <x:v>45</x:v>
      </x:c>
      <x:c r="E518" s="56" t="str">
        <x:v>mdt.evidence</x:v>
      </x:c>
      <x:c r="F518" s="56" t="str">
        <x:v>evidence</x:v>
      </x:c>
      <x:c r="G518" s="56" t="n">
        <x:v>11</x:v>
      </x:c>
      <x:c r="H518" s="56" t="str">
        <x:v>病例特异得分项</x:v>
      </x:c>
      <x:c r="I518" s="56" t="str">
        <x:v>否</x:v>
      </x:c>
      <x:c r="J518" s="56" t="str">
        <x:v>否</x:v>
      </x:c>
      <x:c r="K518" s="56" t="str">
        <x:v>否</x:v>
      </x:c>
      <x:c r="L518" s="56" t="str">
        <x:v>按结构化事件证据给予0/部分/满分；不能由总结反推已完成</x:v>
      </x:c>
      <x:c r="M518" s="56" t="str"/>
      <x:c r="N518" s="56" t="n">
        <x:f>SUMIFS($G$4:$G$1673,$A$4:$A$1673,A518)</x:f>
        <x:v>360</x:v>
      </x:c>
      <x:c r="O518" s="56" t="str">
        <x:f>IF(N518=360,"通过","失败")</x:f>
        <x:v>通过</x:v>
      </x:c>
      <x:c r="P518" s="56" t="str"/>
      <x:c r="Q518" s="59" t="str">
        <x:v>待确认</x:v>
      </x:c>
    </x:row>
    <x:row r="519">
      <x:c r="A519" s="56" t="str">
        <x:v>P013</x:v>
      </x:c>
      <x:c r="B519" s="56" t="str">
        <x:v>HX-ADD-001</x:v>
      </x:c>
      <x:c r="C519" s="56" t="str">
        <x:v>treatment</x:v>
      </x:c>
      <x:c r="D519" s="56" t="n">
        <x:v>50</x:v>
      </x:c>
      <x:c r="E519" s="56" t="str">
        <x:v>treatment.immediate</x:v>
      </x:c>
      <x:c r="F519" s="56" t="str">
        <x:v>immediate</x:v>
      </x:c>
      <x:c r="G519" s="56" t="n">
        <x:v>13</x:v>
      </x:c>
      <x:c r="H519" s="56" t="str">
        <x:v>病例特异得分项</x:v>
      </x:c>
      <x:c r="I519" s="56" t="str">
        <x:v>否</x:v>
      </x:c>
      <x:c r="J519" s="56" t="str">
        <x:v>否</x:v>
      </x:c>
      <x:c r="K519" s="56" t="str">
        <x:v>否</x:v>
      </x:c>
      <x:c r="L519" s="56" t="str">
        <x:v>按结构化事件证据给予0/部分/满分；不能由总结反推已完成</x:v>
      </x:c>
      <x:c r="M519" s="56" t="str"/>
      <x:c r="N519" s="56" t="n">
        <x:f>SUMIFS($G$4:$G$1673,$A$4:$A$1673,A519)</x:f>
        <x:v>360</x:v>
      </x:c>
      <x:c r="O519" s="56" t="str">
        <x:f>IF(N519=360,"通过","失败")</x:f>
        <x:v>通过</x:v>
      </x:c>
      <x:c r="P519" s="56" t="str"/>
      <x:c r="Q519" s="59" t="str">
        <x:v>待确认</x:v>
      </x:c>
    </x:row>
    <x:row r="520">
      <x:c r="A520" s="56" t="str">
        <x:v>P013</x:v>
      </x:c>
      <x:c r="B520" s="56" t="str">
        <x:v>HX-ADD-001</x:v>
      </x:c>
      <x:c r="C520" s="56" t="str">
        <x:v>treatment</x:v>
      </x:c>
      <x:c r="D520" s="56" t="n">
        <x:v>50</x:v>
      </x:c>
      <x:c r="E520" s="56" t="str">
        <x:v>treatment.etiologic</x:v>
      </x:c>
      <x:c r="F520" s="56" t="str">
        <x:v>etiologic</x:v>
      </x:c>
      <x:c r="G520" s="56" t="n">
        <x:v>13</x:v>
      </x:c>
      <x:c r="H520" s="56" t="str">
        <x:v>病例特异得分项</x:v>
      </x:c>
      <x:c r="I520" s="56" t="str">
        <x:v>否</x:v>
      </x:c>
      <x:c r="J520" s="56" t="str">
        <x:v>否</x:v>
      </x:c>
      <x:c r="K520" s="56" t="str">
        <x:v>否</x:v>
      </x:c>
      <x:c r="L520" s="56" t="str">
        <x:v>按结构化事件证据给予0/部分/满分；不能由总结反推已完成</x:v>
      </x:c>
      <x:c r="M520" s="56" t="str"/>
      <x:c r="N520" s="56" t="n">
        <x:f>SUMIFS($G$4:$G$1673,$A$4:$A$1673,A520)</x:f>
        <x:v>360</x:v>
      </x:c>
      <x:c r="O520" s="56" t="str">
        <x:f>IF(N520=360,"通过","失败")</x:f>
        <x:v>通过</x:v>
      </x:c>
      <x:c r="P520" s="56" t="str"/>
      <x:c r="Q520" s="59" t="str">
        <x:v>待确认</x:v>
      </x:c>
    </x:row>
    <x:row r="521">
      <x:c r="A521" s="56" t="str">
        <x:v>P013</x:v>
      </x:c>
      <x:c r="B521" s="56" t="str">
        <x:v>HX-ADD-001</x:v>
      </x:c>
      <x:c r="C521" s="56" t="str">
        <x:v>treatment</x:v>
      </x:c>
      <x:c r="D521" s="56" t="n">
        <x:v>50</x:v>
      </x:c>
      <x:c r="E521" s="56" t="str">
        <x:v>treatment.definitive</x:v>
      </x:c>
      <x:c r="F521" s="56" t="str">
        <x:v>definitive</x:v>
      </x:c>
      <x:c r="G521" s="56" t="n">
        <x:v>12</x:v>
      </x:c>
      <x:c r="H521" s="56" t="str">
        <x:v>病例特异得分项</x:v>
      </x:c>
      <x:c r="I521" s="56" t="str">
        <x:v>否</x:v>
      </x:c>
      <x:c r="J521" s="56" t="str">
        <x:v>否</x:v>
      </x:c>
      <x:c r="K521" s="56" t="str">
        <x:v>否</x:v>
      </x:c>
      <x:c r="L521" s="56" t="str">
        <x:v>按结构化事件证据给予0/部分/满分；不能由总结反推已完成</x:v>
      </x:c>
      <x:c r="M521" s="56" t="str"/>
      <x:c r="N521" s="56" t="n">
        <x:f>SUMIFS($G$4:$G$1673,$A$4:$A$1673,A521)</x:f>
        <x:v>360</x:v>
      </x:c>
      <x:c r="O521" s="56" t="str">
        <x:f>IF(N521=360,"通过","失败")</x:f>
        <x:v>通过</x:v>
      </x:c>
      <x:c r="P521" s="56" t="str"/>
      <x:c r="Q521" s="59" t="str">
        <x:v>待确认</x:v>
      </x:c>
    </x:row>
    <x:row r="522">
      <x:c r="A522" s="56" t="str">
        <x:v>P013</x:v>
      </x:c>
      <x:c r="B522" s="56" t="str">
        <x:v>HX-ADD-001</x:v>
      </x:c>
      <x:c r="C522" s="56" t="str">
        <x:v>treatment</x:v>
      </x:c>
      <x:c r="D522" s="56" t="n">
        <x:v>50</x:v>
      </x:c>
      <x:c r="E522" s="56" t="str">
        <x:v>treatment.perioperative</x:v>
      </x:c>
      <x:c r="F522" s="56" t="str">
        <x:v>perioperative</x:v>
      </x:c>
      <x:c r="G522" s="56" t="n">
        <x:v>12</x:v>
      </x:c>
      <x:c r="H522" s="56" t="str">
        <x:v>病例特异得分项</x:v>
      </x:c>
      <x:c r="I522" s="56" t="str">
        <x:v>否</x:v>
      </x:c>
      <x:c r="J522" s="56" t="str">
        <x:v>否</x:v>
      </x:c>
      <x:c r="K522" s="56" t="str">
        <x:v>否</x:v>
      </x:c>
      <x:c r="L522" s="56" t="str">
        <x:v>按结构化事件证据给予0/部分/满分；不能由总结反推已完成</x:v>
      </x:c>
      <x:c r="M522" s="56" t="str"/>
      <x:c r="N522" s="56" t="n">
        <x:f>SUMIFS($G$4:$G$1673,$A$4:$A$1673,A522)</x:f>
        <x:v>360</x:v>
      </x:c>
      <x:c r="O522" s="56" t="str">
        <x:f>IF(N522=360,"通过","失败")</x:f>
        <x:v>通过</x:v>
      </x:c>
      <x:c r="P522" s="56" t="str"/>
      <x:c r="Q522" s="59" t="str">
        <x:v>待确认</x:v>
      </x:c>
    </x:row>
    <x:row r="523">
      <x:c r="A523" s="56" t="str">
        <x:v>P013</x:v>
      </x:c>
      <x:c r="B523" s="56" t="str">
        <x:v>HX-ADD-001</x:v>
      </x:c>
      <x:c r="C523" s="56" t="str">
        <x:v>followup</x:v>
      </x:c>
      <x:c r="D523" s="56" t="n">
        <x:v>40</x:v>
      </x:c>
      <x:c r="E523" s="56" t="str">
        <x:v>followup.plan</x:v>
      </x:c>
      <x:c r="F523" s="56" t="str">
        <x:v>随访复查</x:v>
      </x:c>
      <x:c r="G523" s="56" t="n">
        <x:v>10</x:v>
      </x:c>
      <x:c r="H523" s="56" t="str">
        <x:v>普通得分项</x:v>
      </x:c>
      <x:c r="I523" s="56" t="str">
        <x:v>否</x:v>
      </x:c>
      <x:c r="J523" s="56" t="str">
        <x:v>否</x:v>
      </x:c>
      <x:c r="K523" s="56" t="str">
        <x:v>否</x:v>
      </x:c>
      <x:c r="L523" s="56" t="str">
        <x:v>按结构化事件证据给予0/部分/满分；不能由总结反推已完成</x:v>
      </x:c>
      <x:c r="M523" s="56" t="str"/>
      <x:c r="N523" s="56" t="n">
        <x:f>SUMIFS($G$4:$G$1673,$A$4:$A$1673,A523)</x:f>
        <x:v>360</x:v>
      </x:c>
      <x:c r="O523" s="56" t="str">
        <x:f>IF(N523=360,"通过","失败")</x:f>
        <x:v>通过</x:v>
      </x:c>
      <x:c r="P523" s="56" t="str"/>
      <x:c r="Q523" s="59" t="str">
        <x:v>待确认</x:v>
      </x:c>
    </x:row>
    <x:row r="524">
      <x:c r="A524" s="56" t="str">
        <x:v>P013</x:v>
      </x:c>
      <x:c r="B524" s="56" t="str">
        <x:v>HX-ADD-001</x:v>
      </x:c>
      <x:c r="C524" s="56" t="str">
        <x:v>followup</x:v>
      </x:c>
      <x:c r="D524" s="56" t="n">
        <x:v>40</x:v>
      </x:c>
      <x:c r="E524" s="56" t="str">
        <x:v>followup.education</x:v>
      </x:c>
      <x:c r="F524" s="56" t="str">
        <x:v>患者教育</x:v>
      </x:c>
      <x:c r="G524" s="56" t="n">
        <x:v>10</x:v>
      </x:c>
      <x:c r="H524" s="56" t="str">
        <x:v>普通得分项</x:v>
      </x:c>
      <x:c r="I524" s="56" t="str">
        <x:v>否</x:v>
      </x:c>
      <x:c r="J524" s="56" t="str">
        <x:v>否</x:v>
      </x:c>
      <x:c r="K524" s="56" t="str">
        <x:v>否</x:v>
      </x:c>
      <x:c r="L524" s="56" t="str">
        <x:v>按结构化事件证据给予0/部分/满分；不能由总结反推已完成</x:v>
      </x:c>
      <x:c r="M524" s="56" t="str"/>
      <x:c r="N524" s="56" t="n">
        <x:f>SUMIFS($G$4:$G$1673,$A$4:$A$1673,A524)</x:f>
        <x:v>360</x:v>
      </x:c>
      <x:c r="O524" s="56" t="str">
        <x:f>IF(N524=360,"通过","失败")</x:f>
        <x:v>通过</x:v>
      </x:c>
      <x:c r="P524" s="56" t="str"/>
      <x:c r="Q524" s="59" t="str">
        <x:v>待确认</x:v>
      </x:c>
    </x:row>
    <x:row r="525">
      <x:c r="A525" s="56" t="str">
        <x:v>P013</x:v>
      </x:c>
      <x:c r="B525" s="56" t="str">
        <x:v>HX-ADD-001</x:v>
      </x:c>
      <x:c r="C525" s="56" t="str">
        <x:v>followup</x:v>
      </x:c>
      <x:c r="D525" s="56" t="n">
        <x:v>40</x:v>
      </x:c>
      <x:c r="E525" s="56" t="str">
        <x:v>followup.reflection</x:v>
      </x:c>
      <x:c r="F525" s="56" t="str">
        <x:v>学习反思质量</x:v>
      </x:c>
      <x:c r="G525" s="56" t="n">
        <x:v>10</x:v>
      </x:c>
      <x:c r="H525" s="56" t="str">
        <x:v>普通得分项</x:v>
      </x:c>
      <x:c r="I525" s="56" t="str">
        <x:v>否</x:v>
      </x:c>
      <x:c r="J525" s="56" t="str">
        <x:v>否</x:v>
      </x:c>
      <x:c r="K525" s="56" t="str">
        <x:v>否</x:v>
      </x:c>
      <x:c r="L525" s="56" t="str">
        <x:v>按结构化事件证据给予0/部分/满分；不能由总结反推已完成</x:v>
      </x:c>
      <x:c r="M525" s="56" t="str"/>
      <x:c r="N525" s="56" t="n">
        <x:f>SUMIFS($G$4:$G$1673,$A$4:$A$1673,A525)</x:f>
        <x:v>360</x:v>
      </x:c>
      <x:c r="O525" s="56" t="str">
        <x:f>IF(N525=360,"通过","失败")</x:f>
        <x:v>通过</x:v>
      </x:c>
      <x:c r="P525" s="56" t="str"/>
      <x:c r="Q525" s="59" t="str">
        <x:v>待确认</x:v>
      </x:c>
    </x:row>
    <x:row r="526">
      <x:c r="A526" s="56" t="str">
        <x:v>P013</x:v>
      </x:c>
      <x:c r="B526" s="56" t="str">
        <x:v>HX-ADD-001</x:v>
      </x:c>
      <x:c r="C526" s="56" t="str">
        <x:v>followup</x:v>
      </x:c>
      <x:c r="D526" s="56" t="n">
        <x:v>40</x:v>
      </x:c>
      <x:c r="E526" s="56" t="str">
        <x:v>followup.efficiency</x:v>
      </x:c>
      <x:c r="F526" s="56" t="str">
        <x:v>操作效率</x:v>
      </x:c>
      <x:c r="G526" s="56" t="n">
        <x:v>10</x:v>
      </x:c>
      <x:c r="H526" s="56" t="str">
        <x:v>普通得分项</x:v>
      </x:c>
      <x:c r="I526" s="56" t="str">
        <x:v>否</x:v>
      </x:c>
      <x:c r="J526" s="56" t="str">
        <x:v>否</x:v>
      </x:c>
      <x:c r="K526" s="56" t="str">
        <x:v>否</x:v>
      </x:c>
      <x:c r="L526" s="56" t="str">
        <x:v>按结构化事件证据给予0/部分/满分；不能由总结反推已完成</x:v>
      </x:c>
      <x:c r="M526" s="56" t="str"/>
      <x:c r="N526" s="56" t="n">
        <x:f>SUMIFS($G$4:$G$1673,$A$4:$A$1673,A526)</x:f>
        <x:v>360</x:v>
      </x:c>
      <x:c r="O526" s="56" t="str">
        <x:f>IF(N526=360,"通过","失败")</x:f>
        <x:v>通过</x:v>
      </x:c>
      <x:c r="P526" s="56" t="str"/>
      <x:c r="Q526" s="59" t="str">
        <x:v>待确认</x:v>
      </x:c>
    </x:row>
    <x:row r="527">
      <x:c r="A527" s="56" t="str">
        <x:v>P014</x:v>
      </x:c>
      <x:c r="B527" s="56" t="str">
        <x:v>HX-ADD-002</x:v>
      </x:c>
      <x:c r="C527" s="56" t="str">
        <x:v>history</x:v>
      </x:c>
      <x:c r="D527" s="56" t="n">
        <x:v>50</x:v>
      </x:c>
      <x:c r="E527" s="56" t="str">
        <x:v>history.hematuria_visibility</x:v>
      </x:c>
      <x:c r="F527" s="56" t="str">
        <x:v>hematuria_visibility</x:v>
      </x:c>
      <x:c r="G527" s="56" t="n">
        <x:v>5</x:v>
      </x:c>
      <x:c r="H527" s="56" t="str">
        <x:v>普通得分项</x:v>
      </x:c>
      <x:c r="I527" s="56" t="str">
        <x:v>否</x:v>
      </x:c>
      <x:c r="J527" s="56" t="str">
        <x:v>否</x:v>
      </x:c>
      <x:c r="K527" s="56" t="str">
        <x:v>否</x:v>
      </x:c>
      <x:c r="L527" s="56" t="str">
        <x:v>按结构化事件证据给予0/部分/满分；不能由总结反推已完成</x:v>
      </x:c>
      <x:c r="M527" s="56" t="str"/>
      <x:c r="N527" s="56" t="n">
        <x:f>SUMIFS($G$4:$G$1673,$A$4:$A$1673,A527)</x:f>
        <x:v>360</x:v>
      </x:c>
      <x:c r="O527" s="56" t="str">
        <x:f>IF(N527=360,"通过","失败")</x:f>
        <x:v>通过</x:v>
      </x:c>
      <x:c r="P527" s="56" t="str"/>
      <x:c r="Q527" s="59" t="str">
        <x:v>待确认</x:v>
      </x:c>
    </x:row>
    <x:row r="528">
      <x:c r="A528" s="56" t="str">
        <x:v>P014</x:v>
      </x:c>
      <x:c r="B528" s="56" t="str">
        <x:v>HX-ADD-002</x:v>
      </x:c>
      <x:c r="C528" s="56" t="str">
        <x:v>history</x:v>
      </x:c>
      <x:c r="D528" s="56" t="n">
        <x:v>50</x:v>
      </x:c>
      <x:c r="E528" s="56" t="str">
        <x:v>history.hematuria_onset</x:v>
      </x:c>
      <x:c r="F528" s="56" t="str">
        <x:v>hematuria_onset</x:v>
      </x:c>
      <x:c r="G528" s="56" t="n">
        <x:v>5</x:v>
      </x:c>
      <x:c r="H528" s="56" t="str">
        <x:v>普通得分项</x:v>
      </x:c>
      <x:c r="I528" s="56" t="str">
        <x:v>否</x:v>
      </x:c>
      <x:c r="J528" s="56" t="str">
        <x:v>否</x:v>
      </x:c>
      <x:c r="K528" s="56" t="str">
        <x:v>否</x:v>
      </x:c>
      <x:c r="L528" s="56" t="str">
        <x:v>按结构化事件证据给予0/部分/满分；不能由总结反推已完成</x:v>
      </x:c>
      <x:c r="M528" s="56" t="str"/>
      <x:c r="N528" s="56" t="n">
        <x:f>SUMIFS($G$4:$G$1673,$A$4:$A$1673,A528)</x:f>
        <x:v>360</x:v>
      </x:c>
      <x:c r="O528" s="56" t="str">
        <x:f>IF(N528=360,"通过","失败")</x:f>
        <x:v>通过</x:v>
      </x:c>
      <x:c r="P528" s="56" t="str"/>
      <x:c r="Q528" s="59" t="str">
        <x:v>待确认</x:v>
      </x:c>
    </x:row>
    <x:row r="529">
      <x:c r="A529" s="56" t="str">
        <x:v>P014</x:v>
      </x:c>
      <x:c r="B529" s="56" t="str">
        <x:v>HX-ADD-002</x:v>
      </x:c>
      <x:c r="C529" s="56" t="str">
        <x:v>history</x:v>
      </x:c>
      <x:c r="D529" s="56" t="n">
        <x:v>50</x:v>
      </x:c>
      <x:c r="E529" s="56" t="str">
        <x:v>history.hematuria_frequency</x:v>
      </x:c>
      <x:c r="F529" s="56" t="str">
        <x:v>hematuria_frequency</x:v>
      </x:c>
      <x:c r="G529" s="56" t="n">
        <x:v>4</x:v>
      </x:c>
      <x:c r="H529" s="56" t="str">
        <x:v>普通得分项</x:v>
      </x:c>
      <x:c r="I529" s="56" t="str">
        <x:v>否</x:v>
      </x:c>
      <x:c r="J529" s="56" t="str">
        <x:v>否</x:v>
      </x:c>
      <x:c r="K529" s="56" t="str">
        <x:v>否</x:v>
      </x:c>
      <x:c r="L529" s="56" t="str">
        <x:v>按结构化事件证据给予0/部分/满分；不能由总结反推已完成</x:v>
      </x:c>
      <x:c r="M529" s="56" t="str"/>
      <x:c r="N529" s="56" t="n">
        <x:f>SUMIFS($G$4:$G$1673,$A$4:$A$1673,A529)</x:f>
        <x:v>360</x:v>
      </x:c>
      <x:c r="O529" s="56" t="str">
        <x:f>IF(N529=360,"通过","失败")</x:f>
        <x:v>通过</x:v>
      </x:c>
      <x:c r="P529" s="56" t="str"/>
      <x:c r="Q529" s="59" t="str">
        <x:v>待确认</x:v>
      </x:c>
    </x:row>
    <x:row r="530">
      <x:c r="A530" s="56" t="str">
        <x:v>P014</x:v>
      </x:c>
      <x:c r="B530" s="56" t="str">
        <x:v>HX-ADD-002</x:v>
      </x:c>
      <x:c r="C530" s="56" t="str">
        <x:v>history</x:v>
      </x:c>
      <x:c r="D530" s="56" t="n">
        <x:v>50</x:v>
      </x:c>
      <x:c r="E530" s="56" t="str">
        <x:v>history.hematuria_phase</x:v>
      </x:c>
      <x:c r="F530" s="56" t="str">
        <x:v>hematuria_phase</x:v>
      </x:c>
      <x:c r="G530" s="56" t="n">
        <x:v>4</x:v>
      </x:c>
      <x:c r="H530" s="56" t="str">
        <x:v>普通得分项</x:v>
      </x:c>
      <x:c r="I530" s="56" t="str">
        <x:v>否</x:v>
      </x:c>
      <x:c r="J530" s="56" t="str">
        <x:v>否</x:v>
      </x:c>
      <x:c r="K530" s="56" t="str">
        <x:v>否</x:v>
      </x:c>
      <x:c r="L530" s="56" t="str">
        <x:v>按结构化事件证据给予0/部分/满分；不能由总结反推已完成</x:v>
      </x:c>
      <x:c r="M530" s="56" t="str"/>
      <x:c r="N530" s="56" t="n">
        <x:f>SUMIFS($G$4:$G$1673,$A$4:$A$1673,A530)</x:f>
        <x:v>360</x:v>
      </x:c>
      <x:c r="O530" s="56" t="str">
        <x:f>IF(N530=360,"通过","失败")</x:f>
        <x:v>通过</x:v>
      </x:c>
      <x:c r="P530" s="56" t="str"/>
      <x:c r="Q530" s="59" t="str">
        <x:v>待确认</x:v>
      </x:c>
    </x:row>
    <x:row r="531">
      <x:c r="A531" s="56" t="str">
        <x:v>P014</x:v>
      </x:c>
      <x:c r="B531" s="56" t="str">
        <x:v>HX-ADD-002</x:v>
      </x:c>
      <x:c r="C531" s="56" t="str">
        <x:v>history</x:v>
      </x:c>
      <x:c r="D531" s="56" t="n">
        <x:v>50</x:v>
      </x:c>
      <x:c r="E531" s="56" t="str">
        <x:v>history.urine_color</x:v>
      </x:c>
      <x:c r="F531" s="56" t="str">
        <x:v>urine_color</x:v>
      </x:c>
      <x:c r="G531" s="56" t="n">
        <x:v>4</x:v>
      </x:c>
      <x:c r="H531" s="56" t="str">
        <x:v>普通得分项</x:v>
      </x:c>
      <x:c r="I531" s="56" t="str">
        <x:v>否</x:v>
      </x:c>
      <x:c r="J531" s="56" t="str">
        <x:v>否</x:v>
      </x:c>
      <x:c r="K531" s="56" t="str">
        <x:v>否</x:v>
      </x:c>
      <x:c r="L531" s="56" t="str">
        <x:v>按结构化事件证据给予0/部分/满分；不能由总结反推已完成</x:v>
      </x:c>
      <x:c r="M531" s="56" t="str"/>
      <x:c r="N531" s="56" t="n">
        <x:f>SUMIFS($G$4:$G$1673,$A$4:$A$1673,A531)</x:f>
        <x:v>360</x:v>
      </x:c>
      <x:c r="O531" s="56" t="str">
        <x:f>IF(N531=360,"通过","失败")</x:f>
        <x:v>通过</x:v>
      </x:c>
      <x:c r="P531" s="56" t="str"/>
      <x:c r="Q531" s="59" t="str">
        <x:v>待确认</x:v>
      </x:c>
    </x:row>
    <x:row r="532">
      <x:c r="A532" s="56" t="str">
        <x:v>P014</x:v>
      </x:c>
      <x:c r="B532" s="56" t="str">
        <x:v>HX-ADD-002</x:v>
      </x:c>
      <x:c r="C532" s="56" t="str">
        <x:v>history</x:v>
      </x:c>
      <x:c r="D532" s="56" t="n">
        <x:v>50</x:v>
      </x:c>
      <x:c r="E532" s="56" t="str">
        <x:v>history.clots</x:v>
      </x:c>
      <x:c r="F532" s="56" t="str">
        <x:v>clots</x:v>
      </x:c>
      <x:c r="G532" s="56" t="n">
        <x:v>4</x:v>
      </x:c>
      <x:c r="H532" s="56" t="str">
        <x:v>普通得分项</x:v>
      </x:c>
      <x:c r="I532" s="56" t="str">
        <x:v>否</x:v>
      </x:c>
      <x:c r="J532" s="56" t="str">
        <x:v>否</x:v>
      </x:c>
      <x:c r="K532" s="56" t="str">
        <x:v>否</x:v>
      </x:c>
      <x:c r="L532" s="56" t="str">
        <x:v>按结构化事件证据给予0/部分/满分；不能由总结反推已完成</x:v>
      </x:c>
      <x:c r="M532" s="56" t="str"/>
      <x:c r="N532" s="56" t="n">
        <x:f>SUMIFS($G$4:$G$1673,$A$4:$A$1673,A532)</x:f>
        <x:v>360</x:v>
      </x:c>
      <x:c r="O532" s="56" t="str">
        <x:f>IF(N532=360,"通过","失败")</x:f>
        <x:v>通过</x:v>
      </x:c>
      <x:c r="P532" s="56" t="str"/>
      <x:c r="Q532" s="59" t="str">
        <x:v>待确认</x:v>
      </x:c>
    </x:row>
    <x:row r="533">
      <x:c r="A533" s="56" t="str">
        <x:v>P014</x:v>
      </x:c>
      <x:c r="B533" s="56" t="str">
        <x:v>HX-ADD-002</x:v>
      </x:c>
      <x:c r="C533" s="56" t="str">
        <x:v>history</x:v>
      </x:c>
      <x:c r="D533" s="56" t="n">
        <x:v>50</x:v>
      </x:c>
      <x:c r="E533" s="56" t="str">
        <x:v>history.pain</x:v>
      </x:c>
      <x:c r="F533" s="56" t="str">
        <x:v>pain</x:v>
      </x:c>
      <x:c r="G533" s="56" t="n">
        <x:v>4</x:v>
      </x:c>
      <x:c r="H533" s="56" t="str">
        <x:v>普通得分项</x:v>
      </x:c>
      <x:c r="I533" s="56" t="str">
        <x:v>否</x:v>
      </x:c>
      <x:c r="J533" s="56" t="str">
        <x:v>否</x:v>
      </x:c>
      <x:c r="K533" s="56" t="str">
        <x:v>否</x:v>
      </x:c>
      <x:c r="L533" s="56" t="str">
        <x:v>按结构化事件证据给予0/部分/满分；不能由总结反推已完成</x:v>
      </x:c>
      <x:c r="M533" s="56" t="str"/>
      <x:c r="N533" s="56" t="n">
        <x:f>SUMIFS($G$4:$G$1673,$A$4:$A$1673,A533)</x:f>
        <x:v>360</x:v>
      </x:c>
      <x:c r="O533" s="56" t="str">
        <x:f>IF(N533=360,"通过","失败")</x:f>
        <x:v>通过</x:v>
      </x:c>
      <x:c r="P533" s="56" t="str"/>
      <x:c r="Q533" s="59" t="str">
        <x:v>待确认</x:v>
      </x:c>
    </x:row>
    <x:row r="534">
      <x:c r="A534" s="56" t="str">
        <x:v>P014</x:v>
      </x:c>
      <x:c r="B534" s="56" t="str">
        <x:v>HX-ADD-002</x:v>
      </x:c>
      <x:c r="C534" s="56" t="str">
        <x:v>history</x:v>
      </x:c>
      <x:c r="D534" s="56" t="n">
        <x:v>50</x:v>
      </x:c>
      <x:c r="E534" s="56" t="str">
        <x:v>history.dysuria</x:v>
      </x:c>
      <x:c r="F534" s="56" t="str">
        <x:v>dysuria</x:v>
      </x:c>
      <x:c r="G534" s="56" t="n">
        <x:v>4</x:v>
      </x:c>
      <x:c r="H534" s="56" t="str">
        <x:v>普通得分项</x:v>
      </x:c>
      <x:c r="I534" s="56" t="str">
        <x:v>否</x:v>
      </x:c>
      <x:c r="J534" s="56" t="str">
        <x:v>否</x:v>
      </x:c>
      <x:c r="K534" s="56" t="str">
        <x:v>否</x:v>
      </x:c>
      <x:c r="L534" s="56" t="str">
        <x:v>按结构化事件证据给予0/部分/满分；不能由总结反推已完成</x:v>
      </x:c>
      <x:c r="M534" s="56" t="str"/>
      <x:c r="N534" s="56" t="n">
        <x:f>SUMIFS($G$4:$G$1673,$A$4:$A$1673,A534)</x:f>
        <x:v>360</x:v>
      </x:c>
      <x:c r="O534" s="56" t="str">
        <x:f>IF(N534=360,"通过","失败")</x:f>
        <x:v>通过</x:v>
      </x:c>
      <x:c r="P534" s="56" t="str"/>
      <x:c r="Q534" s="59" t="str">
        <x:v>待确认</x:v>
      </x:c>
    </x:row>
    <x:row r="535">
      <x:c r="A535" s="56" t="str">
        <x:v>P014</x:v>
      </x:c>
      <x:c r="B535" s="56" t="str">
        <x:v>HX-ADD-002</x:v>
      </x:c>
      <x:c r="C535" s="56" t="str">
        <x:v>history</x:v>
      </x:c>
      <x:c r="D535" s="56" t="n">
        <x:v>50</x:v>
      </x:c>
      <x:c r="E535" s="56" t="str">
        <x:v>history.urinary_frequency</x:v>
      </x:c>
      <x:c r="F535" s="56" t="str">
        <x:v>urinary_frequency</x:v>
      </x:c>
      <x:c r="G535" s="56" t="n">
        <x:v>4</x:v>
      </x:c>
      <x:c r="H535" s="56" t="str">
        <x:v>普通得分项</x:v>
      </x:c>
      <x:c r="I535" s="56" t="str">
        <x:v>否</x:v>
      </x:c>
      <x:c r="J535" s="56" t="str">
        <x:v>否</x:v>
      </x:c>
      <x:c r="K535" s="56" t="str">
        <x:v>否</x:v>
      </x:c>
      <x:c r="L535" s="56" t="str">
        <x:v>按结构化事件证据给予0/部分/满分；不能由总结反推已完成</x:v>
      </x:c>
      <x:c r="M535" s="56" t="str"/>
      <x:c r="N535" s="56" t="n">
        <x:f>SUMIFS($G$4:$G$1673,$A$4:$A$1673,A535)</x:f>
        <x:v>360</x:v>
      </x:c>
      <x:c r="O535" s="56" t="str">
        <x:f>IF(N535=360,"通过","失败")</x:f>
        <x:v>通过</x:v>
      </x:c>
      <x:c r="P535" s="56" t="str"/>
      <x:c r="Q535" s="59" t="str">
        <x:v>待确认</x:v>
      </x:c>
    </x:row>
    <x:row r="536">
      <x:c r="A536" s="56" t="str">
        <x:v>P014</x:v>
      </x:c>
      <x:c r="B536" s="56" t="str">
        <x:v>HX-ADD-002</x:v>
      </x:c>
      <x:c r="C536" s="56" t="str">
        <x:v>history</x:v>
      </x:c>
      <x:c r="D536" s="56" t="n">
        <x:v>50</x:v>
      </x:c>
      <x:c r="E536" s="56" t="str">
        <x:v>history.urinary_urgency</x:v>
      </x:c>
      <x:c r="F536" s="56" t="str">
        <x:v>urinary_urgency</x:v>
      </x:c>
      <x:c r="G536" s="56" t="n">
        <x:v>4</x:v>
      </x:c>
      <x:c r="H536" s="56" t="str">
        <x:v>普通得分项</x:v>
      </x:c>
      <x:c r="I536" s="56" t="str">
        <x:v>否</x:v>
      </x:c>
      <x:c r="J536" s="56" t="str">
        <x:v>否</x:v>
      </x:c>
      <x:c r="K536" s="56" t="str">
        <x:v>否</x:v>
      </x:c>
      <x:c r="L536" s="56" t="str">
        <x:v>按结构化事件证据给予0/部分/满分；不能由总结反推已完成</x:v>
      </x:c>
      <x:c r="M536" s="56" t="str"/>
      <x:c r="N536" s="56" t="n">
        <x:f>SUMIFS($G$4:$G$1673,$A$4:$A$1673,A536)</x:f>
        <x:v>360</x:v>
      </x:c>
      <x:c r="O536" s="56" t="str">
        <x:f>IF(N536=360,"通过","失败")</x:f>
        <x:v>通过</x:v>
      </x:c>
      <x:c r="P536" s="56" t="str"/>
      <x:c r="Q536" s="59" t="str">
        <x:v>待确认</x:v>
      </x:c>
    </x:row>
    <x:row r="537">
      <x:c r="A537" s="56" t="str">
        <x:v>P014</x:v>
      </x:c>
      <x:c r="B537" s="56" t="str">
        <x:v>HX-ADD-002</x:v>
      </x:c>
      <x:c r="C537" s="56" t="str">
        <x:v>history</x:v>
      </x:c>
      <x:c r="D537" s="56" t="n">
        <x:v>50</x:v>
      </x:c>
      <x:c r="E537" s="56" t="str">
        <x:v>history.flank_pain</x:v>
      </x:c>
      <x:c r="F537" s="56" t="str">
        <x:v>flank_pain</x:v>
      </x:c>
      <x:c r="G537" s="56" t="n">
        <x:v>4</x:v>
      </x:c>
      <x:c r="H537" s="56" t="str">
        <x:v>普通得分项</x:v>
      </x:c>
      <x:c r="I537" s="56" t="str">
        <x:v>否</x:v>
      </x:c>
      <x:c r="J537" s="56" t="str">
        <x:v>否</x:v>
      </x:c>
      <x:c r="K537" s="56" t="str">
        <x:v>否</x:v>
      </x:c>
      <x:c r="L537" s="56" t="str">
        <x:v>按结构化事件证据给予0/部分/满分；不能由总结反推已完成</x:v>
      </x:c>
      <x:c r="M537" s="56" t="str"/>
      <x:c r="N537" s="56" t="n">
        <x:f>SUMIFS($G$4:$G$1673,$A$4:$A$1673,A537)</x:f>
        <x:v>360</x:v>
      </x:c>
      <x:c r="O537" s="56" t="str">
        <x:f>IF(N537=360,"通过","失败")</x:f>
        <x:v>通过</x:v>
      </x:c>
      <x:c r="P537" s="56" t="str"/>
      <x:c r="Q537" s="59" t="str">
        <x:v>待确认</x:v>
      </x:c>
    </x:row>
    <x:row r="538">
      <x:c r="A538" s="56" t="str">
        <x:v>P014</x:v>
      </x:c>
      <x:c r="B538" s="56" t="str">
        <x:v>HX-ADD-002</x:v>
      </x:c>
      <x:c r="C538" s="56" t="str">
        <x:v>history</x:v>
      </x:c>
      <x:c r="D538" s="56" t="n">
        <x:v>50</x:v>
      </x:c>
      <x:c r="E538" s="56" t="str">
        <x:v>history.fever_chills</x:v>
      </x:c>
      <x:c r="F538" s="56" t="str">
        <x:v>fever_chills</x:v>
      </x:c>
      <x:c r="G538" s="56" t="n">
        <x:v>4</x:v>
      </x:c>
      <x:c r="H538" s="56" t="str">
        <x:v>普通得分项</x:v>
      </x:c>
      <x:c r="I538" s="56" t="str">
        <x:v>否</x:v>
      </x:c>
      <x:c r="J538" s="56" t="str">
        <x:v>否</x:v>
      </x:c>
      <x:c r="K538" s="56" t="str">
        <x:v>否</x:v>
      </x:c>
      <x:c r="L538" s="56" t="str">
        <x:v>按结构化事件证据给予0/部分/满分；不能由总结反推已完成</x:v>
      </x:c>
      <x:c r="M538" s="56" t="str"/>
      <x:c r="N538" s="56" t="n">
        <x:f>SUMIFS($G$4:$G$1673,$A$4:$A$1673,A538)</x:f>
        <x:v>360</x:v>
      </x:c>
      <x:c r="O538" s="56" t="str">
        <x:f>IF(N538=360,"通过","失败")</x:f>
        <x:v>通过</x:v>
      </x:c>
      <x:c r="P538" s="56" t="str"/>
      <x:c r="Q538" s="59" t="str">
        <x:v>待确认</x:v>
      </x:c>
    </x:row>
    <x:row r="539">
      <x:c r="A539" s="56" t="str">
        <x:v>P014</x:v>
      </x:c>
      <x:c r="B539" s="56" t="str">
        <x:v>HX-ADD-002</x:v>
      </x:c>
      <x:c r="C539" s="56" t="str">
        <x:v>risk</x:v>
      </x:c>
      <x:c r="D539" s="56" t="n">
        <x:v>40</x:v>
      </x:c>
      <x:c r="E539" s="56" t="str">
        <x:v>risk.smoking</x:v>
      </x:c>
      <x:c r="F539" s="56" t="str">
        <x:v>smoking</x:v>
      </x:c>
      <x:c r="G539" s="56" t="n">
        <x:v>7</x:v>
      </x:c>
      <x:c r="H539" s="56" t="str">
        <x:v>普通得分项</x:v>
      </x:c>
      <x:c r="I539" s="56" t="str">
        <x:v>否</x:v>
      </x:c>
      <x:c r="J539" s="56" t="str">
        <x:v>否</x:v>
      </x:c>
      <x:c r="K539" s="56" t="str">
        <x:v>否</x:v>
      </x:c>
      <x:c r="L539" s="56" t="str">
        <x:v>按结构化事件证据给予0/部分/满分；不能由总结反推已完成</x:v>
      </x:c>
      <x:c r="M539" s="56" t="str"/>
      <x:c r="N539" s="56" t="n">
        <x:f>SUMIFS($G$4:$G$1673,$A$4:$A$1673,A539)</x:f>
        <x:v>360</x:v>
      </x:c>
      <x:c r="O539" s="56" t="str">
        <x:f>IF(N539=360,"通过","失败")</x:f>
        <x:v>通过</x:v>
      </x:c>
      <x:c r="P539" s="56" t="str"/>
      <x:c r="Q539" s="59" t="str">
        <x:v>待确认</x:v>
      </x:c>
    </x:row>
    <x:row r="540">
      <x:c r="A540" s="56" t="str">
        <x:v>P014</x:v>
      </x:c>
      <x:c r="B540" s="56" t="str">
        <x:v>HX-ADD-002</x:v>
      </x:c>
      <x:c r="C540" s="56" t="str">
        <x:v>risk</x:v>
      </x:c>
      <x:c r="D540" s="56" t="n">
        <x:v>40</x:v>
      </x:c>
      <x:c r="E540" s="56" t="str">
        <x:v>risk.occupation_exposure</x:v>
      </x:c>
      <x:c r="F540" s="56" t="str">
        <x:v>occupation_exposure</x:v>
      </x:c>
      <x:c r="G540" s="56" t="n">
        <x:v>7</x:v>
      </x:c>
      <x:c r="H540" s="56" t="str">
        <x:v>普通得分项</x:v>
      </x:c>
      <x:c r="I540" s="56" t="str">
        <x:v>否</x:v>
      </x:c>
      <x:c r="J540" s="56" t="str">
        <x:v>否</x:v>
      </x:c>
      <x:c r="K540" s="56" t="str">
        <x:v>否</x:v>
      </x:c>
      <x:c r="L540" s="56" t="str">
        <x:v>按结构化事件证据给予0/部分/满分；不能由总结反推已完成</x:v>
      </x:c>
      <x:c r="M540" s="56" t="str"/>
      <x:c r="N540" s="56" t="n">
        <x:f>SUMIFS($G$4:$G$1673,$A$4:$A$1673,A540)</x:f>
        <x:v>360</x:v>
      </x:c>
      <x:c r="O540" s="56" t="str">
        <x:f>IF(N540=360,"通过","失败")</x:f>
        <x:v>通过</x:v>
      </x:c>
      <x:c r="P540" s="56" t="str"/>
      <x:c r="Q540" s="59" t="str">
        <x:v>待确认</x:v>
      </x:c>
    </x:row>
    <x:row r="541">
      <x:c r="A541" s="56" t="str">
        <x:v>P014</x:v>
      </x:c>
      <x:c r="B541" s="56" t="str">
        <x:v>HX-ADD-002</x:v>
      </x:c>
      <x:c r="C541" s="56" t="str">
        <x:v>risk</x:v>
      </x:c>
      <x:c r="D541" s="56" t="n">
        <x:v>40</x:v>
      </x:c>
      <x:c r="E541" s="56" t="str">
        <x:v>risk.tumor_history</x:v>
      </x:c>
      <x:c r="F541" s="56" t="str">
        <x:v>tumor_history</x:v>
      </x:c>
      <x:c r="G541" s="56" t="n">
        <x:v>7</x:v>
      </x:c>
      <x:c r="H541" s="56" t="str">
        <x:v>普通得分项</x:v>
      </x:c>
      <x:c r="I541" s="56" t="str">
        <x:v>否</x:v>
      </x:c>
      <x:c r="J541" s="56" t="str">
        <x:v>否</x:v>
      </x:c>
      <x:c r="K541" s="56" t="str">
        <x:v>否</x:v>
      </x:c>
      <x:c r="L541" s="56" t="str">
        <x:v>按结构化事件证据给予0/部分/满分；不能由总结反推已完成</x:v>
      </x:c>
      <x:c r="M541" s="56" t="str"/>
      <x:c r="N541" s="56" t="n">
        <x:f>SUMIFS($G$4:$G$1673,$A$4:$A$1673,A541)</x:f>
        <x:v>360</x:v>
      </x:c>
      <x:c r="O541" s="56" t="str">
        <x:f>IF(N541=360,"通过","失败")</x:f>
        <x:v>通过</x:v>
      </x:c>
      <x:c r="P541" s="56" t="str"/>
      <x:c r="Q541" s="59" t="str">
        <x:v>待确认</x:v>
      </x:c>
    </x:row>
    <x:row r="542">
      <x:c r="A542" s="56" t="str">
        <x:v>P014</x:v>
      </x:c>
      <x:c r="B542" s="56" t="str">
        <x:v>HX-ADD-002</x:v>
      </x:c>
      <x:c r="C542" s="56" t="str">
        <x:v>risk</x:v>
      </x:c>
      <x:c r="D542" s="56" t="n">
        <x:v>40</x:v>
      </x:c>
      <x:c r="E542" s="56" t="str">
        <x:v>risk.anticoagulant</x:v>
      </x:c>
      <x:c r="F542" s="56" t="str">
        <x:v>anticoagulant</x:v>
      </x:c>
      <x:c r="G542" s="56" t="n">
        <x:v>7</x:v>
      </x:c>
      <x:c r="H542" s="56" t="str">
        <x:v>普通得分项</x:v>
      </x:c>
      <x:c r="I542" s="56" t="str">
        <x:v>否</x:v>
      </x:c>
      <x:c r="J542" s="56" t="str">
        <x:v>否</x:v>
      </x:c>
      <x:c r="K542" s="56" t="str">
        <x:v>否</x:v>
      </x:c>
      <x:c r="L542" s="56" t="str">
        <x:v>按结构化事件证据给予0/部分/满分；不能由总结反推已完成</x:v>
      </x:c>
      <x:c r="M542" s="56" t="str"/>
      <x:c r="N542" s="56" t="n">
        <x:f>SUMIFS($G$4:$G$1673,$A$4:$A$1673,A542)</x:f>
        <x:v>360</x:v>
      </x:c>
      <x:c r="O542" s="56" t="str">
        <x:f>IF(N542=360,"通过","失败")</x:f>
        <x:v>通过</x:v>
      </x:c>
      <x:c r="P542" s="56" t="str"/>
      <x:c r="Q542" s="59" t="str">
        <x:v>待确认</x:v>
      </x:c>
    </x:row>
    <x:row r="543">
      <x:c r="A543" s="56" t="str">
        <x:v>P014</x:v>
      </x:c>
      <x:c r="B543" s="56" t="str">
        <x:v>HX-ADD-002</x:v>
      </x:c>
      <x:c r="C543" s="56" t="str">
        <x:v>risk</x:v>
      </x:c>
      <x:c r="D543" s="56" t="n">
        <x:v>40</x:v>
      </x:c>
      <x:c r="E543" s="56" t="str">
        <x:v>risk.antiplatelet</x:v>
      </x:c>
      <x:c r="F543" s="56" t="str">
        <x:v>antiplatelet</x:v>
      </x:c>
      <x:c r="G543" s="56" t="n">
        <x:v>6</x:v>
      </x:c>
      <x:c r="H543" s="56" t="str">
        <x:v>普通得分项</x:v>
      </x:c>
      <x:c r="I543" s="56" t="str">
        <x:v>否</x:v>
      </x:c>
      <x:c r="J543" s="56" t="str">
        <x:v>否</x:v>
      </x:c>
      <x:c r="K543" s="56" t="str">
        <x:v>否</x:v>
      </x:c>
      <x:c r="L543" s="56" t="str">
        <x:v>按结构化事件证据给予0/部分/满分；不能由总结反推已完成</x:v>
      </x:c>
      <x:c r="M543" s="56" t="str"/>
      <x:c r="N543" s="56" t="n">
        <x:f>SUMIFS($G$4:$G$1673,$A$4:$A$1673,A543)</x:f>
        <x:v>360</x:v>
      </x:c>
      <x:c r="O543" s="56" t="str">
        <x:f>IF(N543=360,"通过","失败")</x:f>
        <x:v>通过</x:v>
      </x:c>
      <x:c r="P543" s="56" t="str"/>
      <x:c r="Q543" s="59" t="str">
        <x:v>待确认</x:v>
      </x:c>
    </x:row>
    <x:row r="544">
      <x:c r="A544" s="56" t="str">
        <x:v>P014</x:v>
      </x:c>
      <x:c r="B544" s="56" t="str">
        <x:v>HX-ADD-002</x:v>
      </x:c>
      <x:c r="C544" s="56" t="str">
        <x:v>risk</x:v>
      </x:c>
      <x:c r="D544" s="56" t="n">
        <x:v>40</x:v>
      </x:c>
      <x:c r="E544" s="56" t="str">
        <x:v>risk.gynecologic_contamination</x:v>
      </x:c>
      <x:c r="F544" s="56" t="str">
        <x:v>gynecologic_contamination</x:v>
      </x:c>
      <x:c r="G544" s="56" t="n">
        <x:v>6</x:v>
      </x:c>
      <x:c r="H544" s="56" t="str">
        <x:v>普通得分项</x:v>
      </x:c>
      <x:c r="I544" s="56" t="str">
        <x:v>否</x:v>
      </x:c>
      <x:c r="J544" s="56" t="str">
        <x:v>否</x:v>
      </x:c>
      <x:c r="K544" s="56" t="str">
        <x:v>否</x:v>
      </x:c>
      <x:c r="L544" s="56" t="str">
        <x:v>按结构化事件证据给予0/部分/满分；不能由总结反推已完成</x:v>
      </x:c>
      <x:c r="M544" s="56" t="str"/>
      <x:c r="N544" s="56" t="n">
        <x:f>SUMIFS($G$4:$G$1673,$A$4:$A$1673,A544)</x:f>
        <x:v>360</x:v>
      </x:c>
      <x:c r="O544" s="56" t="str">
        <x:f>IF(N544=360,"通过","失败")</x:f>
        <x:v>通过</x:v>
      </x:c>
      <x:c r="P544" s="56" t="str"/>
      <x:c r="Q544" s="59" t="str">
        <x:v>待确认</x:v>
      </x:c>
    </x:row>
    <x:row r="545">
      <x:c r="A545" s="56" t="str">
        <x:v>P014</x:v>
      </x:c>
      <x:c r="B545" s="56" t="str">
        <x:v>HX-ADD-002</x:v>
      </x:c>
      <x:c r="C545" s="56" t="str">
        <x:v>exam</x:v>
      </x:c>
      <x:c r="D545" s="56" t="n">
        <x:v>35</x:v>
      </x:c>
      <x:c r="E545" s="56" t="str">
        <x:v>exam.temperature</x:v>
      </x:c>
      <x:c r="F545" s="56" t="str">
        <x:v>体温</x:v>
      </x:c>
      <x:c r="G545" s="56" t="n">
        <x:v>12</x:v>
      </x:c>
      <x:c r="H545" s="56" t="str">
        <x:v>普通得分项</x:v>
      </x:c>
      <x:c r="I545" s="56" t="str">
        <x:v>否</x:v>
      </x:c>
      <x:c r="J545" s="56" t="str">
        <x:v>否</x:v>
      </x:c>
      <x:c r="K545" s="56" t="str">
        <x:v>否</x:v>
      </x:c>
      <x:c r="L545" s="56" t="str">
        <x:v>按结构化事件证据给予0/部分/满分；不能由总结反推已完成</x:v>
      </x:c>
      <x:c r="M545" s="56" t="str"/>
      <x:c r="N545" s="56" t="n">
        <x:f>SUMIFS($G$4:$G$1673,$A$4:$A$1673,A545)</x:f>
        <x:v>360</x:v>
      </x:c>
      <x:c r="O545" s="56" t="str">
        <x:f>IF(N545=360,"通过","失败")</x:f>
        <x:v>通过</x:v>
      </x:c>
      <x:c r="P545" s="56" t="str"/>
      <x:c r="Q545" s="59" t="str">
        <x:v>待确认</x:v>
      </x:c>
    </x:row>
    <x:row r="546">
      <x:c r="A546" s="56" t="str">
        <x:v>P014</x:v>
      </x:c>
      <x:c r="B546" s="56" t="str">
        <x:v>HX-ADD-002</x:v>
      </x:c>
      <x:c r="C546" s="56" t="str">
        <x:v>exam</x:v>
      </x:c>
      <x:c r="D546" s="56" t="n">
        <x:v>35</x:v>
      </x:c>
      <x:c r="E546" s="56" t="str">
        <x:v>exam.blood_pressure</x:v>
      </x:c>
      <x:c r="F546" s="56" t="str">
        <x:v>血压</x:v>
      </x:c>
      <x:c r="G546" s="56" t="n">
        <x:v>12</x:v>
      </x:c>
      <x:c r="H546" s="56" t="str">
        <x:v>普通得分项</x:v>
      </x:c>
      <x:c r="I546" s="56" t="str">
        <x:v>否</x:v>
      </x:c>
      <x:c r="J546" s="56" t="str">
        <x:v>否</x:v>
      </x:c>
      <x:c r="K546" s="56" t="str">
        <x:v>否</x:v>
      </x:c>
      <x:c r="L546" s="56" t="str">
        <x:v>按结构化事件证据给予0/部分/满分；不能由总结反推已完成</x:v>
      </x:c>
      <x:c r="M546" s="56" t="str"/>
      <x:c r="N546" s="56" t="n">
        <x:f>SUMIFS($G$4:$G$1673,$A$4:$A$1673,A546)</x:f>
        <x:v>360</x:v>
      </x:c>
      <x:c r="O546" s="56" t="str">
        <x:f>IF(N546=360,"通过","失败")</x:f>
        <x:v>通过</x:v>
      </x:c>
      <x:c r="P546" s="56" t="str"/>
      <x:c r="Q546" s="59" t="str">
        <x:v>待确认</x:v>
      </x:c>
    </x:row>
    <x:row r="547">
      <x:c r="A547" s="56" t="str">
        <x:v>P014</x:v>
      </x:c>
      <x:c r="B547" s="56" t="str">
        <x:v>HX-ADD-002</x:v>
      </x:c>
      <x:c r="C547" s="56" t="str">
        <x:v>exam</x:v>
      </x:c>
      <x:c r="D547" s="56" t="n">
        <x:v>35</x:v>
      </x:c>
      <x:c r="E547" s="56" t="str">
        <x:v>exam.targeted</x:v>
      </x:c>
      <x:c r="F547" s="56" t="str">
        <x:v>病例针对性查体</x:v>
      </x:c>
      <x:c r="G547" s="56" t="n">
        <x:v>11</x:v>
      </x:c>
      <x:c r="H547" s="56" t="str">
        <x:v>普通得分项</x:v>
      </x:c>
      <x:c r="I547" s="56" t="str">
        <x:v>否</x:v>
      </x:c>
      <x:c r="J547" s="56" t="str">
        <x:v>否</x:v>
      </x:c>
      <x:c r="K547" s="56" t="str">
        <x:v>否</x:v>
      </x:c>
      <x:c r="L547" s="56" t="str">
        <x:v>按结构化事件证据给予0/部分/满分；不能由总结反推已完成</x:v>
      </x:c>
      <x:c r="M547" s="56" t="str"/>
      <x:c r="N547" s="56" t="n">
        <x:f>SUMIFS($G$4:$G$1673,$A$4:$A$1673,A547)</x:f>
        <x:v>360</x:v>
      </x:c>
      <x:c r="O547" s="56" t="str">
        <x:f>IF(N547=360,"通过","失败")</x:f>
        <x:v>通过</x:v>
      </x:c>
      <x:c r="P547" s="56" t="str"/>
      <x:c r="Q547" s="59" t="str">
        <x:v>待确认</x:v>
      </x:c>
    </x:row>
    <x:row r="548">
      <x:c r="A548" s="56" t="str">
        <x:v>P014</x:v>
      </x:c>
      <x:c r="B548" s="56" t="str">
        <x:v>HX-ADD-002</x:v>
      </x:c>
      <x:c r="C548" s="56" t="str">
        <x:v>diagnosis</x:v>
      </x:c>
      <x:c r="D548" s="56" t="n">
        <x:v>45</x:v>
      </x:c>
      <x:c r="E548" s="56" t="str">
        <x:v>diagnosis.primary</x:v>
      </x:c>
      <x:c r="F548" s="56" t="str">
        <x:v>最可能诊断及依据</x:v>
      </x:c>
      <x:c r="G548" s="56" t="n">
        <x:v>15</x:v>
      </x:c>
      <x:c r="H548" s="56" t="str">
        <x:v>普通得分项</x:v>
      </x:c>
      <x:c r="I548" s="56" t="str">
        <x:v>否</x:v>
      </x:c>
      <x:c r="J548" s="56" t="str">
        <x:v>否</x:v>
      </x:c>
      <x:c r="K548" s="56" t="str">
        <x:v>否</x:v>
      </x:c>
      <x:c r="L548" s="56" t="str">
        <x:v>按结构化事件证据给予0/部分/满分；不能由总结反推已完成</x:v>
      </x:c>
      <x:c r="M548" s="56" t="str"/>
      <x:c r="N548" s="56" t="n">
        <x:f>SUMIFS($G$4:$G$1673,$A$4:$A$1673,A548)</x:f>
        <x:v>360</x:v>
      </x:c>
      <x:c r="O548" s="56" t="str">
        <x:f>IF(N548=360,"通过","失败")</x:f>
        <x:v>通过</x:v>
      </x:c>
      <x:c r="P548" s="56" t="str"/>
      <x:c r="Q548" s="59" t="str">
        <x:v>待确认</x:v>
      </x:c>
    </x:row>
    <x:row r="549">
      <x:c r="A549" s="56" t="str">
        <x:v>P014</x:v>
      </x:c>
      <x:c r="B549" s="56" t="str">
        <x:v>HX-ADD-002</x:v>
      </x:c>
      <x:c r="C549" s="56" t="str">
        <x:v>diagnosis</x:v>
      </x:c>
      <x:c r="D549" s="56" t="n">
        <x:v>45</x:v>
      </x:c>
      <x:c r="E549" s="56" t="str">
        <x:v>diagnosis.differentials</x:v>
      </x:c>
      <x:c r="F549" s="56" t="str">
        <x:v>至少3项鉴别及支持/反对点</x:v>
      </x:c>
      <x:c r="G549" s="56" t="n">
        <x:v>15</x:v>
      </x:c>
      <x:c r="H549" s="56" t="str">
        <x:v>普通得分项</x:v>
      </x:c>
      <x:c r="I549" s="56" t="str">
        <x:v>否</x:v>
      </x:c>
      <x:c r="J549" s="56" t="str">
        <x:v>否</x:v>
      </x:c>
      <x:c r="K549" s="56" t="str">
        <x:v>否</x:v>
      </x:c>
      <x:c r="L549" s="56" t="str">
        <x:v>按结构化事件证据给予0/部分/满分；不能由总结反推已完成</x:v>
      </x:c>
      <x:c r="M549" s="56" t="str"/>
      <x:c r="N549" s="56" t="n">
        <x:f>SUMIFS($G$4:$G$1673,$A$4:$A$1673,A549)</x:f>
        <x:v>360</x:v>
      </x:c>
      <x:c r="O549" s="56" t="str">
        <x:f>IF(N549=360,"通过","失败")</x:f>
        <x:v>通过</x:v>
      </x:c>
      <x:c r="P549" s="56" t="str"/>
      <x:c r="Q549" s="59" t="str">
        <x:v>待确认</x:v>
      </x:c>
    </x:row>
    <x:row r="550">
      <x:c r="A550" s="56" t="str">
        <x:v>P014</x:v>
      </x:c>
      <x:c r="B550" s="56" t="str">
        <x:v>HX-ADD-002</x:v>
      </x:c>
      <x:c r="C550" s="56" t="str">
        <x:v>diagnosis</x:v>
      </x:c>
      <x:c r="D550" s="56" t="n">
        <x:v>45</x:v>
      </x:c>
      <x:c r="E550" s="56" t="str">
        <x:v>diagnosis.confirmation</x:v>
      </x:c>
      <x:c r="F550" s="56" t="str">
        <x:v>确认计划</x:v>
      </x:c>
      <x:c r="G550" s="56" t="n">
        <x:v>15</x:v>
      </x:c>
      <x:c r="H550" s="56" t="str">
        <x:v>普通得分项</x:v>
      </x:c>
      <x:c r="I550" s="56" t="str">
        <x:v>否</x:v>
      </x:c>
      <x:c r="J550" s="56" t="str">
        <x:v>否</x:v>
      </x:c>
      <x:c r="K550" s="56" t="str">
        <x:v>否</x:v>
      </x:c>
      <x:c r="L550" s="56" t="str">
        <x:v>按结构化事件证据给予0/部分/满分；不能由总结反推已完成</x:v>
      </x:c>
      <x:c r="M550" s="56" t="str"/>
      <x:c r="N550" s="56" t="n">
        <x:f>SUMIFS($G$4:$G$1673,$A$4:$A$1673,A550)</x:f>
        <x:v>360</x:v>
      </x:c>
      <x:c r="O550" s="56" t="str">
        <x:f>IF(N550=360,"通过","失败")</x:f>
        <x:v>通过</x:v>
      </x:c>
      <x:c r="P550" s="56" t="str"/>
      <x:c r="Q550" s="59" t="str">
        <x:v>待确认</x:v>
      </x:c>
    </x:row>
    <x:row r="551">
      <x:c r="A551" s="56" t="str">
        <x:v>P014</x:v>
      </x:c>
      <x:c r="B551" s="56" t="str">
        <x:v>HX-ADD-002</x:v>
      </x:c>
      <x:c r="C551" s="56" t="str">
        <x:v>orders</x:v>
      </x:c>
      <x:c r="D551" s="56" t="n">
        <x:v>55</x:v>
      </x:c>
      <x:c r="E551" s="56" t="str">
        <x:v>orders.LAB-UR-001</x:v>
      </x:c>
      <x:c r="F551" s="56" t="str">
        <x:v>LAB-UR-001</x:v>
      </x:c>
      <x:c r="G551" s="56" t="n">
        <x:v>10</x:v>
      </x:c>
      <x:c r="H551" s="56" t="str">
        <x:v>病例特异得分项</x:v>
      </x:c>
      <x:c r="I551" s="56" t="str">
        <x:v>否</x:v>
      </x:c>
      <x:c r="J551" s="56" t="str">
        <x:v>否</x:v>
      </x:c>
      <x:c r="K551" s="56" t="str">
        <x:v>否</x:v>
      </x:c>
      <x:c r="L551" s="56" t="str">
        <x:v>按结构化事件证据给予0/部分/满分；不能由总结反推已完成</x:v>
      </x:c>
      <x:c r="M551" s="56" t="str"/>
      <x:c r="N551" s="56" t="n">
        <x:f>SUMIFS($G$4:$G$1673,$A$4:$A$1673,A551)</x:f>
        <x:v>360</x:v>
      </x:c>
      <x:c r="O551" s="56" t="str">
        <x:f>IF(N551=360,"通过","失败")</x:f>
        <x:v>通过</x:v>
      </x:c>
      <x:c r="P551" s="56" t="str"/>
      <x:c r="Q551" s="59" t="str">
        <x:v>待确认</x:v>
      </x:c>
    </x:row>
    <x:row r="552">
      <x:c r="A552" s="56" t="str">
        <x:v>P014</x:v>
      </x:c>
      <x:c r="B552" s="56" t="str">
        <x:v>HX-ADD-002</x:v>
      </x:c>
      <x:c r="C552" s="56" t="str">
        <x:v>orders</x:v>
      </x:c>
      <x:c r="D552" s="56" t="n">
        <x:v>55</x:v>
      </x:c>
      <x:c r="E552" s="56" t="str">
        <x:v>orders.LAB-UR-002</x:v>
      </x:c>
      <x:c r="F552" s="56" t="str">
        <x:v>LAB-UR-002</x:v>
      </x:c>
      <x:c r="G552" s="56" t="n">
        <x:v>9</x:v>
      </x:c>
      <x:c r="H552" s="56" t="str">
        <x:v>病例特异得分项</x:v>
      </x:c>
      <x:c r="I552" s="56" t="str">
        <x:v>否</x:v>
      </x:c>
      <x:c r="J552" s="56" t="str">
        <x:v>否</x:v>
      </x:c>
      <x:c r="K552" s="56" t="str">
        <x:v>否</x:v>
      </x:c>
      <x:c r="L552" s="56" t="str">
        <x:v>按结构化事件证据给予0/部分/满分；不能由总结反推已完成</x:v>
      </x:c>
      <x:c r="M552" s="56" t="str"/>
      <x:c r="N552" s="56" t="n">
        <x:f>SUMIFS($G$4:$G$1673,$A$4:$A$1673,A552)</x:f>
        <x:v>360</x:v>
      </x:c>
      <x:c r="O552" s="56" t="str">
        <x:f>IF(N552=360,"通过","失败")</x:f>
        <x:v>通过</x:v>
      </x:c>
      <x:c r="P552" s="56" t="str"/>
      <x:c r="Q552" s="59" t="str">
        <x:v>待确认</x:v>
      </x:c>
    </x:row>
    <x:row r="553">
      <x:c r="A553" s="56" t="str">
        <x:v>P014</x:v>
      </x:c>
      <x:c r="B553" s="56" t="str">
        <x:v>HX-ADD-002</x:v>
      </x:c>
      <x:c r="C553" s="56" t="str">
        <x:v>orders</x:v>
      </x:c>
      <x:c r="D553" s="56" t="n">
        <x:v>55</x:v>
      </x:c>
      <x:c r="E553" s="56" t="str">
        <x:v>orders.LAB-UR-006</x:v>
      </x:c>
      <x:c r="F553" s="56" t="str">
        <x:v>LAB-UR-006</x:v>
      </x:c>
      <x:c r="G553" s="56" t="n">
        <x:v>9</x:v>
      </x:c>
      <x:c r="H553" s="56" t="str">
        <x:v>病例特异得分项</x:v>
      </x:c>
      <x:c r="I553" s="56" t="str">
        <x:v>否</x:v>
      </x:c>
      <x:c r="J553" s="56" t="str">
        <x:v>否</x:v>
      </x:c>
      <x:c r="K553" s="56" t="str">
        <x:v>否</x:v>
      </x:c>
      <x:c r="L553" s="56" t="str">
        <x:v>按结构化事件证据给予0/部分/满分；不能由总结反推已完成</x:v>
      </x:c>
      <x:c r="M553" s="56" t="str"/>
      <x:c r="N553" s="56" t="n">
        <x:f>SUMIFS($G$4:$G$1673,$A$4:$A$1673,A553)</x:f>
        <x:v>360</x:v>
      </x:c>
      <x:c r="O553" s="56" t="str">
        <x:f>IF(N553=360,"通过","失败")</x:f>
        <x:v>通过</x:v>
      </x:c>
      <x:c r="P553" s="56" t="str"/>
      <x:c r="Q553" s="59" t="str">
        <x:v>待确认</x:v>
      </x:c>
    </x:row>
    <x:row r="554">
      <x:c r="A554" s="56" t="str">
        <x:v>P014</x:v>
      </x:c>
      <x:c r="B554" s="56" t="str">
        <x:v>HX-ADD-002</x:v>
      </x:c>
      <x:c r="C554" s="56" t="str">
        <x:v>orders</x:v>
      </x:c>
      <x:c r="D554" s="56" t="n">
        <x:v>55</x:v>
      </x:c>
      <x:c r="E554" s="56" t="str">
        <x:v>orders.LAB-BL-003</x:v>
      </x:c>
      <x:c r="F554" s="56" t="str">
        <x:v>LAB-BL-003</x:v>
      </x:c>
      <x:c r="G554" s="56" t="n">
        <x:v>9</x:v>
      </x:c>
      <x:c r="H554" s="56" t="str">
        <x:v>病例特异得分项</x:v>
      </x:c>
      <x:c r="I554" s="56" t="str">
        <x:v>否</x:v>
      </x:c>
      <x:c r="J554" s="56" t="str">
        <x:v>否</x:v>
      </x:c>
      <x:c r="K554" s="56" t="str">
        <x:v>否</x:v>
      </x:c>
      <x:c r="L554" s="56" t="str">
        <x:v>按结构化事件证据给予0/部分/满分；不能由总结反推已完成</x:v>
      </x:c>
      <x:c r="M554" s="56" t="str"/>
      <x:c r="N554" s="56" t="n">
        <x:f>SUMIFS($G$4:$G$1673,$A$4:$A$1673,A554)</x:f>
        <x:v>360</x:v>
      </x:c>
      <x:c r="O554" s="56" t="str">
        <x:f>IF(N554=360,"通过","失败")</x:f>
        <x:v>通过</x:v>
      </x:c>
      <x:c r="P554" s="56" t="str"/>
      <x:c r="Q554" s="59" t="str">
        <x:v>待确认</x:v>
      </x:c>
    </x:row>
    <x:row r="555">
      <x:c r="A555" s="56" t="str">
        <x:v>P014</x:v>
      </x:c>
      <x:c r="B555" s="56" t="str">
        <x:v>HX-ADD-002</x:v>
      </x:c>
      <x:c r="C555" s="56" t="str">
        <x:v>orders</x:v>
      </x:c>
      <x:c r="D555" s="56" t="n">
        <x:v>55</x:v>
      </x:c>
      <x:c r="E555" s="56" t="str">
        <x:v>orders.IMG-CT-002</x:v>
      </x:c>
      <x:c r="F555" s="56" t="str">
        <x:v>IMG-CT-002</x:v>
      </x:c>
      <x:c r="G555" s="56" t="n">
        <x:v>9</x:v>
      </x:c>
      <x:c r="H555" s="56" t="str">
        <x:v>病例特异得分项</x:v>
      </x:c>
      <x:c r="I555" s="56" t="str">
        <x:v>否</x:v>
      </x:c>
      <x:c r="J555" s="56" t="str">
        <x:v>否</x:v>
      </x:c>
      <x:c r="K555" s="56" t="str">
        <x:v>否</x:v>
      </x:c>
      <x:c r="L555" s="56" t="str">
        <x:v>按结构化事件证据给予0/部分/满分；不能由总结反推已完成</x:v>
      </x:c>
      <x:c r="M555" s="56" t="str"/>
      <x:c r="N555" s="56" t="n">
        <x:f>SUMIFS($G$4:$G$1673,$A$4:$A$1673,A555)</x:f>
        <x:v>360</x:v>
      </x:c>
      <x:c r="O555" s="56" t="str">
        <x:f>IF(N555=360,"通过","失败")</x:f>
        <x:v>通过</x:v>
      </x:c>
      <x:c r="P555" s="56" t="str"/>
      <x:c r="Q555" s="59" t="str">
        <x:v>待确认</x:v>
      </x:c>
    </x:row>
    <x:row r="556">
      <x:c r="A556" s="56" t="str">
        <x:v>P014</x:v>
      </x:c>
      <x:c r="B556" s="56" t="str">
        <x:v>HX-ADD-002</x:v>
      </x:c>
      <x:c r="C556" s="56" t="str">
        <x:v>orders</x:v>
      </x:c>
      <x:c r="D556" s="56" t="n">
        <x:v>55</x:v>
      </x:c>
      <x:c r="E556" s="56" t="str">
        <x:v>orders.END-001</x:v>
      </x:c>
      <x:c r="F556" s="56" t="str">
        <x:v>END-001</x:v>
      </x:c>
      <x:c r="G556" s="56" t="n">
        <x:v>9</x:v>
      </x:c>
      <x:c r="H556" s="56" t="str">
        <x:v>病例特异得分项</x:v>
      </x:c>
      <x:c r="I556" s="56" t="str">
        <x:v>否</x:v>
      </x:c>
      <x:c r="J556" s="56" t="str">
        <x:v>否</x:v>
      </x:c>
      <x:c r="K556" s="56" t="str">
        <x:v>否</x:v>
      </x:c>
      <x:c r="L556" s="56" t="str">
        <x:v>按结构化事件证据给予0/部分/满分；不能由总结反推已完成</x:v>
      </x:c>
      <x:c r="M556" s="56" t="str"/>
      <x:c r="N556" s="56" t="n">
        <x:f>SUMIFS($G$4:$G$1673,$A$4:$A$1673,A556)</x:f>
        <x:v>360</x:v>
      </x:c>
      <x:c r="O556" s="56" t="str">
        <x:f>IF(N556=360,"通过","失败")</x:f>
        <x:v>通过</x:v>
      </x:c>
      <x:c r="P556" s="56" t="str"/>
      <x:c r="Q556" s="59" t="str">
        <x:v>待确认</x:v>
      </x:c>
    </x:row>
    <x:row r="557">
      <x:c r="A557" s="56" t="str">
        <x:v>P014</x:v>
      </x:c>
      <x:c r="B557" s="56" t="str">
        <x:v>HX-ADD-002</x:v>
      </x:c>
      <x:c r="C557" s="56" t="str">
        <x:v>mdt</x:v>
      </x:c>
      <x:c r="D557" s="56" t="n">
        <x:v>45</x:v>
      </x:c>
      <x:c r="E557" s="56" t="str">
        <x:v>mdt.department</x:v>
      </x:c>
      <x:c r="F557" s="56" t="str">
        <x:v>department</x:v>
      </x:c>
      <x:c r="G557" s="56" t="n">
        <x:v>12</x:v>
      </x:c>
      <x:c r="H557" s="56" t="str">
        <x:v>病例特异得分项</x:v>
      </x:c>
      <x:c r="I557" s="56" t="str">
        <x:v>否</x:v>
      </x:c>
      <x:c r="J557" s="56" t="str">
        <x:v>否</x:v>
      </x:c>
      <x:c r="K557" s="56" t="str">
        <x:v>否</x:v>
      </x:c>
      <x:c r="L557" s="56" t="str">
        <x:v>按结构化事件证据给予0/部分/满分；不能由总结反推已完成</x:v>
      </x:c>
      <x:c r="M557" s="56" t="str"/>
      <x:c r="N557" s="56" t="n">
        <x:f>SUMIFS($G$4:$G$1673,$A$4:$A$1673,A557)</x:f>
        <x:v>360</x:v>
      </x:c>
      <x:c r="O557" s="56" t="str">
        <x:f>IF(N557=360,"通过","失败")</x:f>
        <x:v>通过</x:v>
      </x:c>
      <x:c r="P557" s="56" t="str"/>
      <x:c r="Q557" s="59" t="str">
        <x:v>待确认</x:v>
      </x:c>
    </x:row>
    <x:row r="558">
      <x:c r="A558" s="56" t="str">
        <x:v>P014</x:v>
      </x:c>
      <x:c r="B558" s="56" t="str">
        <x:v>HX-ADD-002</x:v>
      </x:c>
      <x:c r="C558" s="56" t="str">
        <x:v>mdt</x:v>
      </x:c>
      <x:c r="D558" s="56" t="n">
        <x:v>45</x:v>
      </x:c>
      <x:c r="E558" s="56" t="str">
        <x:v>mdt.trigger</x:v>
      </x:c>
      <x:c r="F558" s="56" t="str">
        <x:v>trigger</x:v>
      </x:c>
      <x:c r="G558" s="56" t="n">
        <x:v>11</x:v>
      </x:c>
      <x:c r="H558" s="56" t="str">
        <x:v>病例特异得分项</x:v>
      </x:c>
      <x:c r="I558" s="56" t="str">
        <x:v>否</x:v>
      </x:c>
      <x:c r="J558" s="56" t="str">
        <x:v>否</x:v>
      </x:c>
      <x:c r="K558" s="56" t="str">
        <x:v>否</x:v>
      </x:c>
      <x:c r="L558" s="56" t="str">
        <x:v>按结构化事件证据给予0/部分/满分；不能由总结反推已完成</x:v>
      </x:c>
      <x:c r="M558" s="56" t="str"/>
      <x:c r="N558" s="56" t="n">
        <x:f>SUMIFS($G$4:$G$1673,$A$4:$A$1673,A558)</x:f>
        <x:v>360</x:v>
      </x:c>
      <x:c r="O558" s="56" t="str">
        <x:f>IF(N558=360,"通过","失败")</x:f>
        <x:v>通过</x:v>
      </x:c>
      <x:c r="P558" s="56" t="str"/>
      <x:c r="Q558" s="59" t="str">
        <x:v>待确认</x:v>
      </x:c>
    </x:row>
    <x:row r="559">
      <x:c r="A559" s="56" t="str">
        <x:v>P014</x:v>
      </x:c>
      <x:c r="B559" s="56" t="str">
        <x:v>HX-ADD-002</x:v>
      </x:c>
      <x:c r="C559" s="56" t="str">
        <x:v>mdt</x:v>
      </x:c>
      <x:c r="D559" s="56" t="n">
        <x:v>45</x:v>
      </x:c>
      <x:c r="E559" s="56" t="str">
        <x:v>mdt.question</x:v>
      </x:c>
      <x:c r="F559" s="56" t="str">
        <x:v>question</x:v>
      </x:c>
      <x:c r="G559" s="56" t="n">
        <x:v>11</x:v>
      </x:c>
      <x:c r="H559" s="56" t="str">
        <x:v>病例特异得分项</x:v>
      </x:c>
      <x:c r="I559" s="56" t="str">
        <x:v>否</x:v>
      </x:c>
      <x:c r="J559" s="56" t="str">
        <x:v>否</x:v>
      </x:c>
      <x:c r="K559" s="56" t="str">
        <x:v>否</x:v>
      </x:c>
      <x:c r="L559" s="56" t="str">
        <x:v>按结构化事件证据给予0/部分/满分；不能由总结反推已完成</x:v>
      </x:c>
      <x:c r="M559" s="56" t="str"/>
      <x:c r="N559" s="56" t="n">
        <x:f>SUMIFS($G$4:$G$1673,$A$4:$A$1673,A559)</x:f>
        <x:v>360</x:v>
      </x:c>
      <x:c r="O559" s="56" t="str">
        <x:f>IF(N559=360,"通过","失败")</x:f>
        <x:v>通过</x:v>
      </x:c>
      <x:c r="P559" s="56" t="str"/>
      <x:c r="Q559" s="59" t="str">
        <x:v>待确认</x:v>
      </x:c>
    </x:row>
    <x:row r="560">
      <x:c r="A560" s="56" t="str">
        <x:v>P014</x:v>
      </x:c>
      <x:c r="B560" s="56" t="str">
        <x:v>HX-ADD-002</x:v>
      </x:c>
      <x:c r="C560" s="56" t="str">
        <x:v>mdt</x:v>
      </x:c>
      <x:c r="D560" s="56" t="n">
        <x:v>45</x:v>
      </x:c>
      <x:c r="E560" s="56" t="str">
        <x:v>mdt.evidence</x:v>
      </x:c>
      <x:c r="F560" s="56" t="str">
        <x:v>evidence</x:v>
      </x:c>
      <x:c r="G560" s="56" t="n">
        <x:v>11</x:v>
      </x:c>
      <x:c r="H560" s="56" t="str">
        <x:v>病例特异得分项</x:v>
      </x:c>
      <x:c r="I560" s="56" t="str">
        <x:v>否</x:v>
      </x:c>
      <x:c r="J560" s="56" t="str">
        <x:v>否</x:v>
      </x:c>
      <x:c r="K560" s="56" t="str">
        <x:v>否</x:v>
      </x:c>
      <x:c r="L560" s="56" t="str">
        <x:v>按结构化事件证据给予0/部分/满分；不能由总结反推已完成</x:v>
      </x:c>
      <x:c r="M560" s="56" t="str"/>
      <x:c r="N560" s="56" t="n">
        <x:f>SUMIFS($G$4:$G$1673,$A$4:$A$1673,A560)</x:f>
        <x:v>360</x:v>
      </x:c>
      <x:c r="O560" s="56" t="str">
        <x:f>IF(N560=360,"通过","失败")</x:f>
        <x:v>通过</x:v>
      </x:c>
      <x:c r="P560" s="56" t="str"/>
      <x:c r="Q560" s="59" t="str">
        <x:v>待确认</x:v>
      </x:c>
    </x:row>
    <x:row r="561">
      <x:c r="A561" s="56" t="str">
        <x:v>P014</x:v>
      </x:c>
      <x:c r="B561" s="56" t="str">
        <x:v>HX-ADD-002</x:v>
      </x:c>
      <x:c r="C561" s="56" t="str">
        <x:v>treatment</x:v>
      </x:c>
      <x:c r="D561" s="56" t="n">
        <x:v>50</x:v>
      </x:c>
      <x:c r="E561" s="56" t="str">
        <x:v>treatment.immediate</x:v>
      </x:c>
      <x:c r="F561" s="56" t="str">
        <x:v>immediate</x:v>
      </x:c>
      <x:c r="G561" s="56" t="n">
        <x:v>13</x:v>
      </x:c>
      <x:c r="H561" s="56" t="str">
        <x:v>病例特异得分项</x:v>
      </x:c>
      <x:c r="I561" s="56" t="str">
        <x:v>否</x:v>
      </x:c>
      <x:c r="J561" s="56" t="str">
        <x:v>否</x:v>
      </x:c>
      <x:c r="K561" s="56" t="str">
        <x:v>否</x:v>
      </x:c>
      <x:c r="L561" s="56" t="str">
        <x:v>按结构化事件证据给予0/部分/满分；不能由总结反推已完成</x:v>
      </x:c>
      <x:c r="M561" s="56" t="str"/>
      <x:c r="N561" s="56" t="n">
        <x:f>SUMIFS($G$4:$G$1673,$A$4:$A$1673,A561)</x:f>
        <x:v>360</x:v>
      </x:c>
      <x:c r="O561" s="56" t="str">
        <x:f>IF(N561=360,"通过","失败")</x:f>
        <x:v>通过</x:v>
      </x:c>
      <x:c r="P561" s="56" t="str"/>
      <x:c r="Q561" s="59" t="str">
        <x:v>待确认</x:v>
      </x:c>
    </x:row>
    <x:row r="562">
      <x:c r="A562" s="56" t="str">
        <x:v>P014</x:v>
      </x:c>
      <x:c r="B562" s="56" t="str">
        <x:v>HX-ADD-002</x:v>
      </x:c>
      <x:c r="C562" s="56" t="str">
        <x:v>treatment</x:v>
      </x:c>
      <x:c r="D562" s="56" t="n">
        <x:v>50</x:v>
      </x:c>
      <x:c r="E562" s="56" t="str">
        <x:v>treatment.etiologic</x:v>
      </x:c>
      <x:c r="F562" s="56" t="str">
        <x:v>etiologic</x:v>
      </x:c>
      <x:c r="G562" s="56" t="n">
        <x:v>13</x:v>
      </x:c>
      <x:c r="H562" s="56" t="str">
        <x:v>病例特异得分项</x:v>
      </x:c>
      <x:c r="I562" s="56" t="str">
        <x:v>否</x:v>
      </x:c>
      <x:c r="J562" s="56" t="str">
        <x:v>否</x:v>
      </x:c>
      <x:c r="K562" s="56" t="str">
        <x:v>否</x:v>
      </x:c>
      <x:c r="L562" s="56" t="str">
        <x:v>按结构化事件证据给予0/部分/满分；不能由总结反推已完成</x:v>
      </x:c>
      <x:c r="M562" s="56" t="str"/>
      <x:c r="N562" s="56" t="n">
        <x:f>SUMIFS($G$4:$G$1673,$A$4:$A$1673,A562)</x:f>
        <x:v>360</x:v>
      </x:c>
      <x:c r="O562" s="56" t="str">
        <x:f>IF(N562=360,"通过","失败")</x:f>
        <x:v>通过</x:v>
      </x:c>
      <x:c r="P562" s="56" t="str"/>
      <x:c r="Q562" s="59" t="str">
        <x:v>待确认</x:v>
      </x:c>
    </x:row>
    <x:row r="563">
      <x:c r="A563" s="56" t="str">
        <x:v>P014</x:v>
      </x:c>
      <x:c r="B563" s="56" t="str">
        <x:v>HX-ADD-002</x:v>
      </x:c>
      <x:c r="C563" s="56" t="str">
        <x:v>treatment</x:v>
      </x:c>
      <x:c r="D563" s="56" t="n">
        <x:v>50</x:v>
      </x:c>
      <x:c r="E563" s="56" t="str">
        <x:v>treatment.definitive</x:v>
      </x:c>
      <x:c r="F563" s="56" t="str">
        <x:v>definitive</x:v>
      </x:c>
      <x:c r="G563" s="56" t="n">
        <x:v>12</x:v>
      </x:c>
      <x:c r="H563" s="56" t="str">
        <x:v>病例特异得分项</x:v>
      </x:c>
      <x:c r="I563" s="56" t="str">
        <x:v>否</x:v>
      </x:c>
      <x:c r="J563" s="56" t="str">
        <x:v>否</x:v>
      </x:c>
      <x:c r="K563" s="56" t="str">
        <x:v>否</x:v>
      </x:c>
      <x:c r="L563" s="56" t="str">
        <x:v>按结构化事件证据给予0/部分/满分；不能由总结反推已完成</x:v>
      </x:c>
      <x:c r="M563" s="56" t="str"/>
      <x:c r="N563" s="56" t="n">
        <x:f>SUMIFS($G$4:$G$1673,$A$4:$A$1673,A563)</x:f>
        <x:v>360</x:v>
      </x:c>
      <x:c r="O563" s="56" t="str">
        <x:f>IF(N563=360,"通过","失败")</x:f>
        <x:v>通过</x:v>
      </x:c>
      <x:c r="P563" s="56" t="str"/>
      <x:c r="Q563" s="59" t="str">
        <x:v>待确认</x:v>
      </x:c>
    </x:row>
    <x:row r="564">
      <x:c r="A564" s="56" t="str">
        <x:v>P014</x:v>
      </x:c>
      <x:c r="B564" s="56" t="str">
        <x:v>HX-ADD-002</x:v>
      </x:c>
      <x:c r="C564" s="56" t="str">
        <x:v>treatment</x:v>
      </x:c>
      <x:c r="D564" s="56" t="n">
        <x:v>50</x:v>
      </x:c>
      <x:c r="E564" s="56" t="str">
        <x:v>treatment.perioperative</x:v>
      </x:c>
      <x:c r="F564" s="56" t="str">
        <x:v>perioperative</x:v>
      </x:c>
      <x:c r="G564" s="56" t="n">
        <x:v>12</x:v>
      </x:c>
      <x:c r="H564" s="56" t="str">
        <x:v>病例特异得分项</x:v>
      </x:c>
      <x:c r="I564" s="56" t="str">
        <x:v>否</x:v>
      </x:c>
      <x:c r="J564" s="56" t="str">
        <x:v>否</x:v>
      </x:c>
      <x:c r="K564" s="56" t="str">
        <x:v>否</x:v>
      </x:c>
      <x:c r="L564" s="56" t="str">
        <x:v>按结构化事件证据给予0/部分/满分；不能由总结反推已完成</x:v>
      </x:c>
      <x:c r="M564" s="56" t="str"/>
      <x:c r="N564" s="56" t="n">
        <x:f>SUMIFS($G$4:$G$1673,$A$4:$A$1673,A564)</x:f>
        <x:v>360</x:v>
      </x:c>
      <x:c r="O564" s="56" t="str">
        <x:f>IF(N564=360,"通过","失败")</x:f>
        <x:v>通过</x:v>
      </x:c>
      <x:c r="P564" s="56" t="str"/>
      <x:c r="Q564" s="59" t="str">
        <x:v>待确认</x:v>
      </x:c>
    </x:row>
    <x:row r="565">
      <x:c r="A565" s="56" t="str">
        <x:v>P014</x:v>
      </x:c>
      <x:c r="B565" s="56" t="str">
        <x:v>HX-ADD-002</x:v>
      </x:c>
      <x:c r="C565" s="56" t="str">
        <x:v>followup</x:v>
      </x:c>
      <x:c r="D565" s="56" t="n">
        <x:v>40</x:v>
      </x:c>
      <x:c r="E565" s="56" t="str">
        <x:v>followup.plan</x:v>
      </x:c>
      <x:c r="F565" s="56" t="str">
        <x:v>随访复查</x:v>
      </x:c>
      <x:c r="G565" s="56" t="n">
        <x:v>10</x:v>
      </x:c>
      <x:c r="H565" s="56" t="str">
        <x:v>普通得分项</x:v>
      </x:c>
      <x:c r="I565" s="56" t="str">
        <x:v>否</x:v>
      </x:c>
      <x:c r="J565" s="56" t="str">
        <x:v>否</x:v>
      </x:c>
      <x:c r="K565" s="56" t="str">
        <x:v>否</x:v>
      </x:c>
      <x:c r="L565" s="56" t="str">
        <x:v>按结构化事件证据给予0/部分/满分；不能由总结反推已完成</x:v>
      </x:c>
      <x:c r="M565" s="56" t="str"/>
      <x:c r="N565" s="56" t="n">
        <x:f>SUMIFS($G$4:$G$1673,$A$4:$A$1673,A565)</x:f>
        <x:v>360</x:v>
      </x:c>
      <x:c r="O565" s="56" t="str">
        <x:f>IF(N565=360,"通过","失败")</x:f>
        <x:v>通过</x:v>
      </x:c>
      <x:c r="P565" s="56" t="str"/>
      <x:c r="Q565" s="59" t="str">
        <x:v>待确认</x:v>
      </x:c>
    </x:row>
    <x:row r="566">
      <x:c r="A566" s="56" t="str">
        <x:v>P014</x:v>
      </x:c>
      <x:c r="B566" s="56" t="str">
        <x:v>HX-ADD-002</x:v>
      </x:c>
      <x:c r="C566" s="56" t="str">
        <x:v>followup</x:v>
      </x:c>
      <x:c r="D566" s="56" t="n">
        <x:v>40</x:v>
      </x:c>
      <x:c r="E566" s="56" t="str">
        <x:v>followup.education</x:v>
      </x:c>
      <x:c r="F566" s="56" t="str">
        <x:v>患者教育</x:v>
      </x:c>
      <x:c r="G566" s="56" t="n">
        <x:v>10</x:v>
      </x:c>
      <x:c r="H566" s="56" t="str">
        <x:v>普通得分项</x:v>
      </x:c>
      <x:c r="I566" s="56" t="str">
        <x:v>否</x:v>
      </x:c>
      <x:c r="J566" s="56" t="str">
        <x:v>否</x:v>
      </x:c>
      <x:c r="K566" s="56" t="str">
        <x:v>否</x:v>
      </x:c>
      <x:c r="L566" s="56" t="str">
        <x:v>按结构化事件证据给予0/部分/满分；不能由总结反推已完成</x:v>
      </x:c>
      <x:c r="M566" s="56" t="str"/>
      <x:c r="N566" s="56" t="n">
        <x:f>SUMIFS($G$4:$G$1673,$A$4:$A$1673,A566)</x:f>
        <x:v>360</x:v>
      </x:c>
      <x:c r="O566" s="56" t="str">
        <x:f>IF(N566=360,"通过","失败")</x:f>
        <x:v>通过</x:v>
      </x:c>
      <x:c r="P566" s="56" t="str"/>
      <x:c r="Q566" s="59" t="str">
        <x:v>待确认</x:v>
      </x:c>
    </x:row>
    <x:row r="567">
      <x:c r="A567" s="56" t="str">
        <x:v>P014</x:v>
      </x:c>
      <x:c r="B567" s="56" t="str">
        <x:v>HX-ADD-002</x:v>
      </x:c>
      <x:c r="C567" s="56" t="str">
        <x:v>followup</x:v>
      </x:c>
      <x:c r="D567" s="56" t="n">
        <x:v>40</x:v>
      </x:c>
      <x:c r="E567" s="56" t="str">
        <x:v>followup.reflection</x:v>
      </x:c>
      <x:c r="F567" s="56" t="str">
        <x:v>学习反思质量</x:v>
      </x:c>
      <x:c r="G567" s="56" t="n">
        <x:v>10</x:v>
      </x:c>
      <x:c r="H567" s="56" t="str">
        <x:v>普通得分项</x:v>
      </x:c>
      <x:c r="I567" s="56" t="str">
        <x:v>否</x:v>
      </x:c>
      <x:c r="J567" s="56" t="str">
        <x:v>否</x:v>
      </x:c>
      <x:c r="K567" s="56" t="str">
        <x:v>否</x:v>
      </x:c>
      <x:c r="L567" s="56" t="str">
        <x:v>按结构化事件证据给予0/部分/满分；不能由总结反推已完成</x:v>
      </x:c>
      <x:c r="M567" s="56" t="str"/>
      <x:c r="N567" s="56" t="n">
        <x:f>SUMIFS($G$4:$G$1673,$A$4:$A$1673,A567)</x:f>
        <x:v>360</x:v>
      </x:c>
      <x:c r="O567" s="56" t="str">
        <x:f>IF(N567=360,"通过","失败")</x:f>
        <x:v>通过</x:v>
      </x:c>
      <x:c r="P567" s="56" t="str"/>
      <x:c r="Q567" s="59" t="str">
        <x:v>待确认</x:v>
      </x:c>
    </x:row>
    <x:row r="568">
      <x:c r="A568" s="56" t="str">
        <x:v>P014</x:v>
      </x:c>
      <x:c r="B568" s="56" t="str">
        <x:v>HX-ADD-002</x:v>
      </x:c>
      <x:c r="C568" s="56" t="str">
        <x:v>followup</x:v>
      </x:c>
      <x:c r="D568" s="56" t="n">
        <x:v>40</x:v>
      </x:c>
      <x:c r="E568" s="56" t="str">
        <x:v>followup.efficiency</x:v>
      </x:c>
      <x:c r="F568" s="56" t="str">
        <x:v>操作效率</x:v>
      </x:c>
      <x:c r="G568" s="56" t="n">
        <x:v>10</x:v>
      </x:c>
      <x:c r="H568" s="56" t="str">
        <x:v>普通得分项</x:v>
      </x:c>
      <x:c r="I568" s="56" t="str">
        <x:v>否</x:v>
      </x:c>
      <x:c r="J568" s="56" t="str">
        <x:v>否</x:v>
      </x:c>
      <x:c r="K568" s="56" t="str">
        <x:v>否</x:v>
      </x:c>
      <x:c r="L568" s="56" t="str">
        <x:v>按结构化事件证据给予0/部分/满分；不能由总结反推已完成</x:v>
      </x:c>
      <x:c r="M568" s="56" t="str"/>
      <x:c r="N568" s="56" t="n">
        <x:f>SUMIFS($G$4:$G$1673,$A$4:$A$1673,A568)</x:f>
        <x:v>360</x:v>
      </x:c>
      <x:c r="O568" s="56" t="str">
        <x:f>IF(N568=360,"通过","失败")</x:f>
        <x:v>通过</x:v>
      </x:c>
      <x:c r="P568" s="56" t="str"/>
      <x:c r="Q568" s="59" t="str">
        <x:v>待确认</x:v>
      </x:c>
    </x:row>
    <x:row r="569">
      <x:c r="A569" s="56" t="str">
        <x:v>P015</x:v>
      </x:c>
      <x:c r="B569" s="56" t="str">
        <x:v>HX-ADD-003</x:v>
      </x:c>
      <x:c r="C569" s="56" t="str">
        <x:v>history</x:v>
      </x:c>
      <x:c r="D569" s="56" t="n">
        <x:v>50</x:v>
      </x:c>
      <x:c r="E569" s="56" t="str">
        <x:v>history.hematuria_visibility</x:v>
      </x:c>
      <x:c r="F569" s="56" t="str">
        <x:v>hematuria_visibility</x:v>
      </x:c>
      <x:c r="G569" s="56" t="n">
        <x:v>5</x:v>
      </x:c>
      <x:c r="H569" s="56" t="str">
        <x:v>普通得分项</x:v>
      </x:c>
      <x:c r="I569" s="56" t="str">
        <x:v>否</x:v>
      </x:c>
      <x:c r="J569" s="56" t="str">
        <x:v>否</x:v>
      </x:c>
      <x:c r="K569" s="56" t="str">
        <x:v>否</x:v>
      </x:c>
      <x:c r="L569" s="56" t="str">
        <x:v>按结构化事件证据给予0/部分/满分；不能由总结反推已完成</x:v>
      </x:c>
      <x:c r="M569" s="56" t="str"/>
      <x:c r="N569" s="56" t="n">
        <x:f>SUMIFS($G$4:$G$1673,$A$4:$A$1673,A569)</x:f>
        <x:v>360</x:v>
      </x:c>
      <x:c r="O569" s="56" t="str">
        <x:f>IF(N569=360,"通过","失败")</x:f>
        <x:v>通过</x:v>
      </x:c>
      <x:c r="P569" s="56" t="str"/>
      <x:c r="Q569" s="59" t="str">
        <x:v>待确认</x:v>
      </x:c>
    </x:row>
    <x:row r="570">
      <x:c r="A570" s="56" t="str">
        <x:v>P015</x:v>
      </x:c>
      <x:c r="B570" s="56" t="str">
        <x:v>HX-ADD-003</x:v>
      </x:c>
      <x:c r="C570" s="56" t="str">
        <x:v>history</x:v>
      </x:c>
      <x:c r="D570" s="56" t="n">
        <x:v>50</x:v>
      </x:c>
      <x:c r="E570" s="56" t="str">
        <x:v>history.hematuria_onset</x:v>
      </x:c>
      <x:c r="F570" s="56" t="str">
        <x:v>hematuria_onset</x:v>
      </x:c>
      <x:c r="G570" s="56" t="n">
        <x:v>5</x:v>
      </x:c>
      <x:c r="H570" s="56" t="str">
        <x:v>普通得分项</x:v>
      </x:c>
      <x:c r="I570" s="56" t="str">
        <x:v>否</x:v>
      </x:c>
      <x:c r="J570" s="56" t="str">
        <x:v>否</x:v>
      </x:c>
      <x:c r="K570" s="56" t="str">
        <x:v>否</x:v>
      </x:c>
      <x:c r="L570" s="56" t="str">
        <x:v>按结构化事件证据给予0/部分/满分；不能由总结反推已完成</x:v>
      </x:c>
      <x:c r="M570" s="56" t="str"/>
      <x:c r="N570" s="56" t="n">
        <x:f>SUMIFS($G$4:$G$1673,$A$4:$A$1673,A570)</x:f>
        <x:v>360</x:v>
      </x:c>
      <x:c r="O570" s="56" t="str">
        <x:f>IF(N570=360,"通过","失败")</x:f>
        <x:v>通过</x:v>
      </x:c>
      <x:c r="P570" s="56" t="str"/>
      <x:c r="Q570" s="59" t="str">
        <x:v>待确认</x:v>
      </x:c>
    </x:row>
    <x:row r="571">
      <x:c r="A571" s="56" t="str">
        <x:v>P015</x:v>
      </x:c>
      <x:c r="B571" s="56" t="str">
        <x:v>HX-ADD-003</x:v>
      </x:c>
      <x:c r="C571" s="56" t="str">
        <x:v>history</x:v>
      </x:c>
      <x:c r="D571" s="56" t="n">
        <x:v>50</x:v>
      </x:c>
      <x:c r="E571" s="56" t="str">
        <x:v>history.hematuria_frequency</x:v>
      </x:c>
      <x:c r="F571" s="56" t="str">
        <x:v>hematuria_frequency</x:v>
      </x:c>
      <x:c r="G571" s="56" t="n">
        <x:v>4</x:v>
      </x:c>
      <x:c r="H571" s="56" t="str">
        <x:v>普通得分项</x:v>
      </x:c>
      <x:c r="I571" s="56" t="str">
        <x:v>否</x:v>
      </x:c>
      <x:c r="J571" s="56" t="str">
        <x:v>否</x:v>
      </x:c>
      <x:c r="K571" s="56" t="str">
        <x:v>否</x:v>
      </x:c>
      <x:c r="L571" s="56" t="str">
        <x:v>按结构化事件证据给予0/部分/满分；不能由总结反推已完成</x:v>
      </x:c>
      <x:c r="M571" s="56" t="str"/>
      <x:c r="N571" s="56" t="n">
        <x:f>SUMIFS($G$4:$G$1673,$A$4:$A$1673,A571)</x:f>
        <x:v>360</x:v>
      </x:c>
      <x:c r="O571" s="56" t="str">
        <x:f>IF(N571=360,"通过","失败")</x:f>
        <x:v>通过</x:v>
      </x:c>
      <x:c r="P571" s="56" t="str"/>
      <x:c r="Q571" s="59" t="str">
        <x:v>待确认</x:v>
      </x:c>
    </x:row>
    <x:row r="572">
      <x:c r="A572" s="56" t="str">
        <x:v>P015</x:v>
      </x:c>
      <x:c r="B572" s="56" t="str">
        <x:v>HX-ADD-003</x:v>
      </x:c>
      <x:c r="C572" s="56" t="str">
        <x:v>history</x:v>
      </x:c>
      <x:c r="D572" s="56" t="n">
        <x:v>50</x:v>
      </x:c>
      <x:c r="E572" s="56" t="str">
        <x:v>history.hematuria_phase</x:v>
      </x:c>
      <x:c r="F572" s="56" t="str">
        <x:v>hematuria_phase</x:v>
      </x:c>
      <x:c r="G572" s="56" t="n">
        <x:v>4</x:v>
      </x:c>
      <x:c r="H572" s="56" t="str">
        <x:v>普通得分项</x:v>
      </x:c>
      <x:c r="I572" s="56" t="str">
        <x:v>否</x:v>
      </x:c>
      <x:c r="J572" s="56" t="str">
        <x:v>否</x:v>
      </x:c>
      <x:c r="K572" s="56" t="str">
        <x:v>否</x:v>
      </x:c>
      <x:c r="L572" s="56" t="str">
        <x:v>按结构化事件证据给予0/部分/满分；不能由总结反推已完成</x:v>
      </x:c>
      <x:c r="M572" s="56" t="str"/>
      <x:c r="N572" s="56" t="n">
        <x:f>SUMIFS($G$4:$G$1673,$A$4:$A$1673,A572)</x:f>
        <x:v>360</x:v>
      </x:c>
      <x:c r="O572" s="56" t="str">
        <x:f>IF(N572=360,"通过","失败")</x:f>
        <x:v>通过</x:v>
      </x:c>
      <x:c r="P572" s="56" t="str"/>
      <x:c r="Q572" s="59" t="str">
        <x:v>待确认</x:v>
      </x:c>
    </x:row>
    <x:row r="573">
      <x:c r="A573" s="56" t="str">
        <x:v>P015</x:v>
      </x:c>
      <x:c r="B573" s="56" t="str">
        <x:v>HX-ADD-003</x:v>
      </x:c>
      <x:c r="C573" s="56" t="str">
        <x:v>history</x:v>
      </x:c>
      <x:c r="D573" s="56" t="n">
        <x:v>50</x:v>
      </x:c>
      <x:c r="E573" s="56" t="str">
        <x:v>history.urine_color</x:v>
      </x:c>
      <x:c r="F573" s="56" t="str">
        <x:v>urine_color</x:v>
      </x:c>
      <x:c r="G573" s="56" t="n">
        <x:v>4</x:v>
      </x:c>
      <x:c r="H573" s="56" t="str">
        <x:v>普通得分项</x:v>
      </x:c>
      <x:c r="I573" s="56" t="str">
        <x:v>否</x:v>
      </x:c>
      <x:c r="J573" s="56" t="str">
        <x:v>否</x:v>
      </x:c>
      <x:c r="K573" s="56" t="str">
        <x:v>否</x:v>
      </x:c>
      <x:c r="L573" s="56" t="str">
        <x:v>按结构化事件证据给予0/部分/满分；不能由总结反推已完成</x:v>
      </x:c>
      <x:c r="M573" s="56" t="str"/>
      <x:c r="N573" s="56" t="n">
        <x:f>SUMIFS($G$4:$G$1673,$A$4:$A$1673,A573)</x:f>
        <x:v>360</x:v>
      </x:c>
      <x:c r="O573" s="56" t="str">
        <x:f>IF(N573=360,"通过","失败")</x:f>
        <x:v>通过</x:v>
      </x:c>
      <x:c r="P573" s="56" t="str"/>
      <x:c r="Q573" s="59" t="str">
        <x:v>待确认</x:v>
      </x:c>
    </x:row>
    <x:row r="574">
      <x:c r="A574" s="56" t="str">
        <x:v>P015</x:v>
      </x:c>
      <x:c r="B574" s="56" t="str">
        <x:v>HX-ADD-003</x:v>
      </x:c>
      <x:c r="C574" s="56" t="str">
        <x:v>history</x:v>
      </x:c>
      <x:c r="D574" s="56" t="n">
        <x:v>50</x:v>
      </x:c>
      <x:c r="E574" s="56" t="str">
        <x:v>history.clots</x:v>
      </x:c>
      <x:c r="F574" s="56" t="str">
        <x:v>clots</x:v>
      </x:c>
      <x:c r="G574" s="56" t="n">
        <x:v>4</x:v>
      </x:c>
      <x:c r="H574" s="56" t="str">
        <x:v>普通得分项</x:v>
      </x:c>
      <x:c r="I574" s="56" t="str">
        <x:v>否</x:v>
      </x:c>
      <x:c r="J574" s="56" t="str">
        <x:v>否</x:v>
      </x:c>
      <x:c r="K574" s="56" t="str">
        <x:v>否</x:v>
      </x:c>
      <x:c r="L574" s="56" t="str">
        <x:v>按结构化事件证据给予0/部分/满分；不能由总结反推已完成</x:v>
      </x:c>
      <x:c r="M574" s="56" t="str"/>
      <x:c r="N574" s="56" t="n">
        <x:f>SUMIFS($G$4:$G$1673,$A$4:$A$1673,A574)</x:f>
        <x:v>360</x:v>
      </x:c>
      <x:c r="O574" s="56" t="str">
        <x:f>IF(N574=360,"通过","失败")</x:f>
        <x:v>通过</x:v>
      </x:c>
      <x:c r="P574" s="56" t="str"/>
      <x:c r="Q574" s="59" t="str">
        <x:v>待确认</x:v>
      </x:c>
    </x:row>
    <x:row r="575">
      <x:c r="A575" s="56" t="str">
        <x:v>P015</x:v>
      </x:c>
      <x:c r="B575" s="56" t="str">
        <x:v>HX-ADD-003</x:v>
      </x:c>
      <x:c r="C575" s="56" t="str">
        <x:v>history</x:v>
      </x:c>
      <x:c r="D575" s="56" t="n">
        <x:v>50</x:v>
      </x:c>
      <x:c r="E575" s="56" t="str">
        <x:v>history.pain</x:v>
      </x:c>
      <x:c r="F575" s="56" t="str">
        <x:v>pain</x:v>
      </x:c>
      <x:c r="G575" s="56" t="n">
        <x:v>4</x:v>
      </x:c>
      <x:c r="H575" s="56" t="str">
        <x:v>普通得分项</x:v>
      </x:c>
      <x:c r="I575" s="56" t="str">
        <x:v>否</x:v>
      </x:c>
      <x:c r="J575" s="56" t="str">
        <x:v>否</x:v>
      </x:c>
      <x:c r="K575" s="56" t="str">
        <x:v>否</x:v>
      </x:c>
      <x:c r="L575" s="56" t="str">
        <x:v>按结构化事件证据给予0/部分/满分；不能由总结反推已完成</x:v>
      </x:c>
      <x:c r="M575" s="56" t="str"/>
      <x:c r="N575" s="56" t="n">
        <x:f>SUMIFS($G$4:$G$1673,$A$4:$A$1673,A575)</x:f>
        <x:v>360</x:v>
      </x:c>
      <x:c r="O575" s="56" t="str">
        <x:f>IF(N575=360,"通过","失败")</x:f>
        <x:v>通过</x:v>
      </x:c>
      <x:c r="P575" s="56" t="str"/>
      <x:c r="Q575" s="59" t="str">
        <x:v>待确认</x:v>
      </x:c>
    </x:row>
    <x:row r="576">
      <x:c r="A576" s="56" t="str">
        <x:v>P015</x:v>
      </x:c>
      <x:c r="B576" s="56" t="str">
        <x:v>HX-ADD-003</x:v>
      </x:c>
      <x:c r="C576" s="56" t="str">
        <x:v>history</x:v>
      </x:c>
      <x:c r="D576" s="56" t="n">
        <x:v>50</x:v>
      </x:c>
      <x:c r="E576" s="56" t="str">
        <x:v>history.dysuria</x:v>
      </x:c>
      <x:c r="F576" s="56" t="str">
        <x:v>dysuria</x:v>
      </x:c>
      <x:c r="G576" s="56" t="n">
        <x:v>4</x:v>
      </x:c>
      <x:c r="H576" s="56" t="str">
        <x:v>普通得分项</x:v>
      </x:c>
      <x:c r="I576" s="56" t="str">
        <x:v>否</x:v>
      </x:c>
      <x:c r="J576" s="56" t="str">
        <x:v>否</x:v>
      </x:c>
      <x:c r="K576" s="56" t="str">
        <x:v>否</x:v>
      </x:c>
      <x:c r="L576" s="56" t="str">
        <x:v>按结构化事件证据给予0/部分/满分；不能由总结反推已完成</x:v>
      </x:c>
      <x:c r="M576" s="56" t="str"/>
      <x:c r="N576" s="56" t="n">
        <x:f>SUMIFS($G$4:$G$1673,$A$4:$A$1673,A576)</x:f>
        <x:v>360</x:v>
      </x:c>
      <x:c r="O576" s="56" t="str">
        <x:f>IF(N576=360,"通过","失败")</x:f>
        <x:v>通过</x:v>
      </x:c>
      <x:c r="P576" s="56" t="str"/>
      <x:c r="Q576" s="59" t="str">
        <x:v>待确认</x:v>
      </x:c>
    </x:row>
    <x:row r="577">
      <x:c r="A577" s="56" t="str">
        <x:v>P015</x:v>
      </x:c>
      <x:c r="B577" s="56" t="str">
        <x:v>HX-ADD-003</x:v>
      </x:c>
      <x:c r="C577" s="56" t="str">
        <x:v>history</x:v>
      </x:c>
      <x:c r="D577" s="56" t="n">
        <x:v>50</x:v>
      </x:c>
      <x:c r="E577" s="56" t="str">
        <x:v>history.urinary_frequency</x:v>
      </x:c>
      <x:c r="F577" s="56" t="str">
        <x:v>urinary_frequency</x:v>
      </x:c>
      <x:c r="G577" s="56" t="n">
        <x:v>4</x:v>
      </x:c>
      <x:c r="H577" s="56" t="str">
        <x:v>普通得分项</x:v>
      </x:c>
      <x:c r="I577" s="56" t="str">
        <x:v>否</x:v>
      </x:c>
      <x:c r="J577" s="56" t="str">
        <x:v>否</x:v>
      </x:c>
      <x:c r="K577" s="56" t="str">
        <x:v>否</x:v>
      </x:c>
      <x:c r="L577" s="56" t="str">
        <x:v>按结构化事件证据给予0/部分/满分；不能由总结反推已完成</x:v>
      </x:c>
      <x:c r="M577" s="56" t="str"/>
      <x:c r="N577" s="56" t="n">
        <x:f>SUMIFS($G$4:$G$1673,$A$4:$A$1673,A577)</x:f>
        <x:v>360</x:v>
      </x:c>
      <x:c r="O577" s="56" t="str">
        <x:f>IF(N577=360,"通过","失败")</x:f>
        <x:v>通过</x:v>
      </x:c>
      <x:c r="P577" s="56" t="str"/>
      <x:c r="Q577" s="59" t="str">
        <x:v>待确认</x:v>
      </x:c>
    </x:row>
    <x:row r="578">
      <x:c r="A578" s="56" t="str">
        <x:v>P015</x:v>
      </x:c>
      <x:c r="B578" s="56" t="str">
        <x:v>HX-ADD-003</x:v>
      </x:c>
      <x:c r="C578" s="56" t="str">
        <x:v>history</x:v>
      </x:c>
      <x:c r="D578" s="56" t="n">
        <x:v>50</x:v>
      </x:c>
      <x:c r="E578" s="56" t="str">
        <x:v>history.urinary_urgency</x:v>
      </x:c>
      <x:c r="F578" s="56" t="str">
        <x:v>urinary_urgency</x:v>
      </x:c>
      <x:c r="G578" s="56" t="n">
        <x:v>4</x:v>
      </x:c>
      <x:c r="H578" s="56" t="str">
        <x:v>普通得分项</x:v>
      </x:c>
      <x:c r="I578" s="56" t="str">
        <x:v>否</x:v>
      </x:c>
      <x:c r="J578" s="56" t="str">
        <x:v>否</x:v>
      </x:c>
      <x:c r="K578" s="56" t="str">
        <x:v>否</x:v>
      </x:c>
      <x:c r="L578" s="56" t="str">
        <x:v>按结构化事件证据给予0/部分/满分；不能由总结反推已完成</x:v>
      </x:c>
      <x:c r="M578" s="56" t="str"/>
      <x:c r="N578" s="56" t="n">
        <x:f>SUMIFS($G$4:$G$1673,$A$4:$A$1673,A578)</x:f>
        <x:v>360</x:v>
      </x:c>
      <x:c r="O578" s="56" t="str">
        <x:f>IF(N578=360,"通过","失败")</x:f>
        <x:v>通过</x:v>
      </x:c>
      <x:c r="P578" s="56" t="str"/>
      <x:c r="Q578" s="59" t="str">
        <x:v>待确认</x:v>
      </x:c>
    </x:row>
    <x:row r="579">
      <x:c r="A579" s="56" t="str">
        <x:v>P015</x:v>
      </x:c>
      <x:c r="B579" s="56" t="str">
        <x:v>HX-ADD-003</x:v>
      </x:c>
      <x:c r="C579" s="56" t="str">
        <x:v>history</x:v>
      </x:c>
      <x:c r="D579" s="56" t="n">
        <x:v>50</x:v>
      </x:c>
      <x:c r="E579" s="56" t="str">
        <x:v>history.flank_pain</x:v>
      </x:c>
      <x:c r="F579" s="56" t="str">
        <x:v>flank_pain</x:v>
      </x:c>
      <x:c r="G579" s="56" t="n">
        <x:v>4</x:v>
      </x:c>
      <x:c r="H579" s="56" t="str">
        <x:v>普通得分项</x:v>
      </x:c>
      <x:c r="I579" s="56" t="str">
        <x:v>否</x:v>
      </x:c>
      <x:c r="J579" s="56" t="str">
        <x:v>否</x:v>
      </x:c>
      <x:c r="K579" s="56" t="str">
        <x:v>否</x:v>
      </x:c>
      <x:c r="L579" s="56" t="str">
        <x:v>按结构化事件证据给予0/部分/满分；不能由总结反推已完成</x:v>
      </x:c>
      <x:c r="M579" s="56" t="str"/>
      <x:c r="N579" s="56" t="n">
        <x:f>SUMIFS($G$4:$G$1673,$A$4:$A$1673,A579)</x:f>
        <x:v>360</x:v>
      </x:c>
      <x:c r="O579" s="56" t="str">
        <x:f>IF(N579=360,"通过","失败")</x:f>
        <x:v>通过</x:v>
      </x:c>
      <x:c r="P579" s="56" t="str"/>
      <x:c r="Q579" s="59" t="str">
        <x:v>待确认</x:v>
      </x:c>
    </x:row>
    <x:row r="580">
      <x:c r="A580" s="56" t="str">
        <x:v>P015</x:v>
      </x:c>
      <x:c r="B580" s="56" t="str">
        <x:v>HX-ADD-003</x:v>
      </x:c>
      <x:c r="C580" s="56" t="str">
        <x:v>history</x:v>
      </x:c>
      <x:c r="D580" s="56" t="n">
        <x:v>50</x:v>
      </x:c>
      <x:c r="E580" s="56" t="str">
        <x:v>history.fever_chills</x:v>
      </x:c>
      <x:c r="F580" s="56" t="str">
        <x:v>fever_chills</x:v>
      </x:c>
      <x:c r="G580" s="56" t="n">
        <x:v>4</x:v>
      </x:c>
      <x:c r="H580" s="56" t="str">
        <x:v>普通得分项</x:v>
      </x:c>
      <x:c r="I580" s="56" t="str">
        <x:v>否</x:v>
      </x:c>
      <x:c r="J580" s="56" t="str">
        <x:v>否</x:v>
      </x:c>
      <x:c r="K580" s="56" t="str">
        <x:v>否</x:v>
      </x:c>
      <x:c r="L580" s="56" t="str">
        <x:v>按结构化事件证据给予0/部分/满分；不能由总结反推已完成</x:v>
      </x:c>
      <x:c r="M580" s="56" t="str"/>
      <x:c r="N580" s="56" t="n">
        <x:f>SUMIFS($G$4:$G$1673,$A$4:$A$1673,A580)</x:f>
        <x:v>360</x:v>
      </x:c>
      <x:c r="O580" s="56" t="str">
        <x:f>IF(N580=360,"通过","失败")</x:f>
        <x:v>通过</x:v>
      </x:c>
      <x:c r="P580" s="56" t="str"/>
      <x:c r="Q580" s="59" t="str">
        <x:v>待确认</x:v>
      </x:c>
    </x:row>
    <x:row r="581">
      <x:c r="A581" s="56" t="str">
        <x:v>P015</x:v>
      </x:c>
      <x:c r="B581" s="56" t="str">
        <x:v>HX-ADD-003</x:v>
      </x:c>
      <x:c r="C581" s="56" t="str">
        <x:v>risk</x:v>
      </x:c>
      <x:c r="D581" s="56" t="n">
        <x:v>40</x:v>
      </x:c>
      <x:c r="E581" s="56" t="str">
        <x:v>risk.smoking</x:v>
      </x:c>
      <x:c r="F581" s="56" t="str">
        <x:v>smoking</x:v>
      </x:c>
      <x:c r="G581" s="56" t="n">
        <x:v>8</x:v>
      </x:c>
      <x:c r="H581" s="56" t="str">
        <x:v>普通得分项</x:v>
      </x:c>
      <x:c r="I581" s="56" t="str">
        <x:v>否</x:v>
      </x:c>
      <x:c r="J581" s="56" t="str">
        <x:v>否</x:v>
      </x:c>
      <x:c r="K581" s="56" t="str">
        <x:v>否</x:v>
      </x:c>
      <x:c r="L581" s="56" t="str">
        <x:v>按结构化事件证据给予0/部分/满分；不能由总结反推已完成</x:v>
      </x:c>
      <x:c r="M581" s="56" t="str"/>
      <x:c r="N581" s="56" t="n">
        <x:f>SUMIFS($G$4:$G$1673,$A$4:$A$1673,A581)</x:f>
        <x:v>360</x:v>
      </x:c>
      <x:c r="O581" s="56" t="str">
        <x:f>IF(N581=360,"通过","失败")</x:f>
        <x:v>通过</x:v>
      </x:c>
      <x:c r="P581" s="56" t="str"/>
      <x:c r="Q581" s="59" t="str">
        <x:v>待确认</x:v>
      </x:c>
    </x:row>
    <x:row r="582">
      <x:c r="A582" s="56" t="str">
        <x:v>P015</x:v>
      </x:c>
      <x:c r="B582" s="56" t="str">
        <x:v>HX-ADD-003</x:v>
      </x:c>
      <x:c r="C582" s="56" t="str">
        <x:v>risk</x:v>
      </x:c>
      <x:c r="D582" s="56" t="n">
        <x:v>40</x:v>
      </x:c>
      <x:c r="E582" s="56" t="str">
        <x:v>risk.occupation_exposure</x:v>
      </x:c>
      <x:c r="F582" s="56" t="str">
        <x:v>occupation_exposure</x:v>
      </x:c>
      <x:c r="G582" s="56" t="n">
        <x:v>8</x:v>
      </x:c>
      <x:c r="H582" s="56" t="str">
        <x:v>普通得分项</x:v>
      </x:c>
      <x:c r="I582" s="56" t="str">
        <x:v>否</x:v>
      </x:c>
      <x:c r="J582" s="56" t="str">
        <x:v>否</x:v>
      </x:c>
      <x:c r="K582" s="56" t="str">
        <x:v>否</x:v>
      </x:c>
      <x:c r="L582" s="56" t="str">
        <x:v>按结构化事件证据给予0/部分/满分；不能由总结反推已完成</x:v>
      </x:c>
      <x:c r="M582" s="56" t="str"/>
      <x:c r="N582" s="56" t="n">
        <x:f>SUMIFS($G$4:$G$1673,$A$4:$A$1673,A582)</x:f>
        <x:v>360</x:v>
      </x:c>
      <x:c r="O582" s="56" t="str">
        <x:f>IF(N582=360,"通过","失败")</x:f>
        <x:v>通过</x:v>
      </x:c>
      <x:c r="P582" s="56" t="str"/>
      <x:c r="Q582" s="59" t="str">
        <x:v>待确认</x:v>
      </x:c>
    </x:row>
    <x:row r="583">
      <x:c r="A583" s="56" t="str">
        <x:v>P015</x:v>
      </x:c>
      <x:c r="B583" s="56" t="str">
        <x:v>HX-ADD-003</x:v>
      </x:c>
      <x:c r="C583" s="56" t="str">
        <x:v>risk</x:v>
      </x:c>
      <x:c r="D583" s="56" t="n">
        <x:v>40</x:v>
      </x:c>
      <x:c r="E583" s="56" t="str">
        <x:v>risk.tumor_history</x:v>
      </x:c>
      <x:c r="F583" s="56" t="str">
        <x:v>tumor_history</x:v>
      </x:c>
      <x:c r="G583" s="56" t="n">
        <x:v>8</x:v>
      </x:c>
      <x:c r="H583" s="56" t="str">
        <x:v>普通得分项</x:v>
      </x:c>
      <x:c r="I583" s="56" t="str">
        <x:v>否</x:v>
      </x:c>
      <x:c r="J583" s="56" t="str">
        <x:v>否</x:v>
      </x:c>
      <x:c r="K583" s="56" t="str">
        <x:v>否</x:v>
      </x:c>
      <x:c r="L583" s="56" t="str">
        <x:v>按结构化事件证据给予0/部分/满分；不能由总结反推已完成</x:v>
      </x:c>
      <x:c r="M583" s="56" t="str"/>
      <x:c r="N583" s="56" t="n">
        <x:f>SUMIFS($G$4:$G$1673,$A$4:$A$1673,A583)</x:f>
        <x:v>360</x:v>
      </x:c>
      <x:c r="O583" s="56" t="str">
        <x:f>IF(N583=360,"通过","失败")</x:f>
        <x:v>通过</x:v>
      </x:c>
      <x:c r="P583" s="56" t="str"/>
      <x:c r="Q583" s="59" t="str">
        <x:v>待确认</x:v>
      </x:c>
    </x:row>
    <x:row r="584">
      <x:c r="A584" s="56" t="str">
        <x:v>P015</x:v>
      </x:c>
      <x:c r="B584" s="56" t="str">
        <x:v>HX-ADD-003</x:v>
      </x:c>
      <x:c r="C584" s="56" t="str">
        <x:v>risk</x:v>
      </x:c>
      <x:c r="D584" s="56" t="n">
        <x:v>40</x:v>
      </x:c>
      <x:c r="E584" s="56" t="str">
        <x:v>risk.anticoagulant</x:v>
      </x:c>
      <x:c r="F584" s="56" t="str">
        <x:v>anticoagulant</x:v>
      </x:c>
      <x:c r="G584" s="56" t="n">
        <x:v>8</x:v>
      </x:c>
      <x:c r="H584" s="56" t="str">
        <x:v>普通得分项</x:v>
      </x:c>
      <x:c r="I584" s="56" t="str">
        <x:v>否</x:v>
      </x:c>
      <x:c r="J584" s="56" t="str">
        <x:v>否</x:v>
      </x:c>
      <x:c r="K584" s="56" t="str">
        <x:v>否</x:v>
      </x:c>
      <x:c r="L584" s="56" t="str">
        <x:v>按结构化事件证据给予0/部分/满分；不能由总结反推已完成</x:v>
      </x:c>
      <x:c r="M584" s="56" t="str"/>
      <x:c r="N584" s="56" t="n">
        <x:f>SUMIFS($G$4:$G$1673,$A$4:$A$1673,A584)</x:f>
        <x:v>360</x:v>
      </x:c>
      <x:c r="O584" s="56" t="str">
        <x:f>IF(N584=360,"通过","失败")</x:f>
        <x:v>通过</x:v>
      </x:c>
      <x:c r="P584" s="56" t="str"/>
      <x:c r="Q584" s="59" t="str">
        <x:v>待确认</x:v>
      </x:c>
    </x:row>
    <x:row r="585">
      <x:c r="A585" s="56" t="str">
        <x:v>P015</x:v>
      </x:c>
      <x:c r="B585" s="56" t="str">
        <x:v>HX-ADD-003</x:v>
      </x:c>
      <x:c r="C585" s="56" t="str">
        <x:v>risk</x:v>
      </x:c>
      <x:c r="D585" s="56" t="n">
        <x:v>40</x:v>
      </x:c>
      <x:c r="E585" s="56" t="str">
        <x:v>risk.antiplatelet</x:v>
      </x:c>
      <x:c r="F585" s="56" t="str">
        <x:v>antiplatelet</x:v>
      </x:c>
      <x:c r="G585" s="56" t="n">
        <x:v>8</x:v>
      </x:c>
      <x:c r="H585" s="56" t="str">
        <x:v>普通得分项</x:v>
      </x:c>
      <x:c r="I585" s="56" t="str">
        <x:v>否</x:v>
      </x:c>
      <x:c r="J585" s="56" t="str">
        <x:v>否</x:v>
      </x:c>
      <x:c r="K585" s="56" t="str">
        <x:v>否</x:v>
      </x:c>
      <x:c r="L585" s="56" t="str">
        <x:v>按结构化事件证据给予0/部分/满分；不能由总结反推已完成</x:v>
      </x:c>
      <x:c r="M585" s="56" t="str"/>
      <x:c r="N585" s="56" t="n">
        <x:f>SUMIFS($G$4:$G$1673,$A$4:$A$1673,A585)</x:f>
        <x:v>360</x:v>
      </x:c>
      <x:c r="O585" s="56" t="str">
        <x:f>IF(N585=360,"通过","失败")</x:f>
        <x:v>通过</x:v>
      </x:c>
      <x:c r="P585" s="56" t="str"/>
      <x:c r="Q585" s="59" t="str">
        <x:v>待确认</x:v>
      </x:c>
    </x:row>
    <x:row r="586">
      <x:c r="A586" s="56" t="str">
        <x:v>P015</x:v>
      </x:c>
      <x:c r="B586" s="56" t="str">
        <x:v>HX-ADD-003</x:v>
      </x:c>
      <x:c r="C586" s="56" t="str">
        <x:v>exam</x:v>
      </x:c>
      <x:c r="D586" s="56" t="n">
        <x:v>35</x:v>
      </x:c>
      <x:c r="E586" s="56" t="str">
        <x:v>exam.temperature</x:v>
      </x:c>
      <x:c r="F586" s="56" t="str">
        <x:v>体温</x:v>
      </x:c>
      <x:c r="G586" s="56" t="n">
        <x:v>12</x:v>
      </x:c>
      <x:c r="H586" s="56" t="str">
        <x:v>普通得分项</x:v>
      </x:c>
      <x:c r="I586" s="56" t="str">
        <x:v>否</x:v>
      </x:c>
      <x:c r="J586" s="56" t="str">
        <x:v>否</x:v>
      </x:c>
      <x:c r="K586" s="56" t="str">
        <x:v>否</x:v>
      </x:c>
      <x:c r="L586" s="56" t="str">
        <x:v>按结构化事件证据给予0/部分/满分；不能由总结反推已完成</x:v>
      </x:c>
      <x:c r="M586" s="56" t="str"/>
      <x:c r="N586" s="56" t="n">
        <x:f>SUMIFS($G$4:$G$1673,$A$4:$A$1673,A586)</x:f>
        <x:v>360</x:v>
      </x:c>
      <x:c r="O586" s="56" t="str">
        <x:f>IF(N586=360,"通过","失败")</x:f>
        <x:v>通过</x:v>
      </x:c>
      <x:c r="P586" s="56" t="str"/>
      <x:c r="Q586" s="59" t="str">
        <x:v>待确认</x:v>
      </x:c>
    </x:row>
    <x:row r="587">
      <x:c r="A587" s="56" t="str">
        <x:v>P015</x:v>
      </x:c>
      <x:c r="B587" s="56" t="str">
        <x:v>HX-ADD-003</x:v>
      </x:c>
      <x:c r="C587" s="56" t="str">
        <x:v>exam</x:v>
      </x:c>
      <x:c r="D587" s="56" t="n">
        <x:v>35</x:v>
      </x:c>
      <x:c r="E587" s="56" t="str">
        <x:v>exam.blood_pressure</x:v>
      </x:c>
      <x:c r="F587" s="56" t="str">
        <x:v>血压</x:v>
      </x:c>
      <x:c r="G587" s="56" t="n">
        <x:v>12</x:v>
      </x:c>
      <x:c r="H587" s="56" t="str">
        <x:v>普通得分项</x:v>
      </x:c>
      <x:c r="I587" s="56" t="str">
        <x:v>否</x:v>
      </x:c>
      <x:c r="J587" s="56" t="str">
        <x:v>否</x:v>
      </x:c>
      <x:c r="K587" s="56" t="str">
        <x:v>否</x:v>
      </x:c>
      <x:c r="L587" s="56" t="str">
        <x:v>按结构化事件证据给予0/部分/满分；不能由总结反推已完成</x:v>
      </x:c>
      <x:c r="M587" s="56" t="str"/>
      <x:c r="N587" s="56" t="n">
        <x:f>SUMIFS($G$4:$G$1673,$A$4:$A$1673,A587)</x:f>
        <x:v>360</x:v>
      </x:c>
      <x:c r="O587" s="56" t="str">
        <x:f>IF(N587=360,"通过","失败")</x:f>
        <x:v>通过</x:v>
      </x:c>
      <x:c r="P587" s="56" t="str"/>
      <x:c r="Q587" s="59" t="str">
        <x:v>待确认</x:v>
      </x:c>
    </x:row>
    <x:row r="588">
      <x:c r="A588" s="56" t="str">
        <x:v>P015</x:v>
      </x:c>
      <x:c r="B588" s="56" t="str">
        <x:v>HX-ADD-003</x:v>
      </x:c>
      <x:c r="C588" s="56" t="str">
        <x:v>exam</x:v>
      </x:c>
      <x:c r="D588" s="56" t="n">
        <x:v>35</x:v>
      </x:c>
      <x:c r="E588" s="56" t="str">
        <x:v>exam.targeted</x:v>
      </x:c>
      <x:c r="F588" s="56" t="str">
        <x:v>病例针对性查体</x:v>
      </x:c>
      <x:c r="G588" s="56" t="n">
        <x:v>11</x:v>
      </x:c>
      <x:c r="H588" s="56" t="str">
        <x:v>普通得分项</x:v>
      </x:c>
      <x:c r="I588" s="56" t="str">
        <x:v>否</x:v>
      </x:c>
      <x:c r="J588" s="56" t="str">
        <x:v>否</x:v>
      </x:c>
      <x:c r="K588" s="56" t="str">
        <x:v>否</x:v>
      </x:c>
      <x:c r="L588" s="56" t="str">
        <x:v>按结构化事件证据给予0/部分/满分；不能由总结反推已完成</x:v>
      </x:c>
      <x:c r="M588" s="56" t="str"/>
      <x:c r="N588" s="56" t="n">
        <x:f>SUMIFS($G$4:$G$1673,$A$4:$A$1673,A588)</x:f>
        <x:v>360</x:v>
      </x:c>
      <x:c r="O588" s="56" t="str">
        <x:f>IF(N588=360,"通过","失败")</x:f>
        <x:v>通过</x:v>
      </x:c>
      <x:c r="P588" s="56" t="str"/>
      <x:c r="Q588" s="59" t="str">
        <x:v>待确认</x:v>
      </x:c>
    </x:row>
    <x:row r="589">
      <x:c r="A589" s="56" t="str">
        <x:v>P015</x:v>
      </x:c>
      <x:c r="B589" s="56" t="str">
        <x:v>HX-ADD-003</x:v>
      </x:c>
      <x:c r="C589" s="56" t="str">
        <x:v>diagnosis</x:v>
      </x:c>
      <x:c r="D589" s="56" t="n">
        <x:v>45</x:v>
      </x:c>
      <x:c r="E589" s="56" t="str">
        <x:v>diagnosis.primary</x:v>
      </x:c>
      <x:c r="F589" s="56" t="str">
        <x:v>最可能诊断及依据</x:v>
      </x:c>
      <x:c r="G589" s="56" t="n">
        <x:v>15</x:v>
      </x:c>
      <x:c r="H589" s="56" t="str">
        <x:v>普通得分项</x:v>
      </x:c>
      <x:c r="I589" s="56" t="str">
        <x:v>否</x:v>
      </x:c>
      <x:c r="J589" s="56" t="str">
        <x:v>否</x:v>
      </x:c>
      <x:c r="K589" s="56" t="str">
        <x:v>否</x:v>
      </x:c>
      <x:c r="L589" s="56" t="str">
        <x:v>按结构化事件证据给予0/部分/满分；不能由总结反推已完成</x:v>
      </x:c>
      <x:c r="M589" s="56" t="str"/>
      <x:c r="N589" s="56" t="n">
        <x:f>SUMIFS($G$4:$G$1673,$A$4:$A$1673,A589)</x:f>
        <x:v>360</x:v>
      </x:c>
      <x:c r="O589" s="56" t="str">
        <x:f>IF(N589=360,"通过","失败")</x:f>
        <x:v>通过</x:v>
      </x:c>
      <x:c r="P589" s="56" t="str"/>
      <x:c r="Q589" s="59" t="str">
        <x:v>待确认</x:v>
      </x:c>
    </x:row>
    <x:row r="590">
      <x:c r="A590" s="56" t="str">
        <x:v>P015</x:v>
      </x:c>
      <x:c r="B590" s="56" t="str">
        <x:v>HX-ADD-003</x:v>
      </x:c>
      <x:c r="C590" s="56" t="str">
        <x:v>diagnosis</x:v>
      </x:c>
      <x:c r="D590" s="56" t="n">
        <x:v>45</x:v>
      </x:c>
      <x:c r="E590" s="56" t="str">
        <x:v>diagnosis.differentials</x:v>
      </x:c>
      <x:c r="F590" s="56" t="str">
        <x:v>至少3项鉴别及支持/反对点</x:v>
      </x:c>
      <x:c r="G590" s="56" t="n">
        <x:v>15</x:v>
      </x:c>
      <x:c r="H590" s="56" t="str">
        <x:v>普通得分项</x:v>
      </x:c>
      <x:c r="I590" s="56" t="str">
        <x:v>否</x:v>
      </x:c>
      <x:c r="J590" s="56" t="str">
        <x:v>否</x:v>
      </x:c>
      <x:c r="K590" s="56" t="str">
        <x:v>否</x:v>
      </x:c>
      <x:c r="L590" s="56" t="str">
        <x:v>按结构化事件证据给予0/部分/满分；不能由总结反推已完成</x:v>
      </x:c>
      <x:c r="M590" s="56" t="str"/>
      <x:c r="N590" s="56" t="n">
        <x:f>SUMIFS($G$4:$G$1673,$A$4:$A$1673,A590)</x:f>
        <x:v>360</x:v>
      </x:c>
      <x:c r="O590" s="56" t="str">
        <x:f>IF(N590=360,"通过","失败")</x:f>
        <x:v>通过</x:v>
      </x:c>
      <x:c r="P590" s="56" t="str"/>
      <x:c r="Q590" s="59" t="str">
        <x:v>待确认</x:v>
      </x:c>
    </x:row>
    <x:row r="591">
      <x:c r="A591" s="56" t="str">
        <x:v>P015</x:v>
      </x:c>
      <x:c r="B591" s="56" t="str">
        <x:v>HX-ADD-003</x:v>
      </x:c>
      <x:c r="C591" s="56" t="str">
        <x:v>diagnosis</x:v>
      </x:c>
      <x:c r="D591" s="56" t="n">
        <x:v>45</x:v>
      </x:c>
      <x:c r="E591" s="56" t="str">
        <x:v>diagnosis.confirmation</x:v>
      </x:c>
      <x:c r="F591" s="56" t="str">
        <x:v>确认计划</x:v>
      </x:c>
      <x:c r="G591" s="56" t="n">
        <x:v>15</x:v>
      </x:c>
      <x:c r="H591" s="56" t="str">
        <x:v>普通得分项</x:v>
      </x:c>
      <x:c r="I591" s="56" t="str">
        <x:v>否</x:v>
      </x:c>
      <x:c r="J591" s="56" t="str">
        <x:v>否</x:v>
      </x:c>
      <x:c r="K591" s="56" t="str">
        <x:v>否</x:v>
      </x:c>
      <x:c r="L591" s="56" t="str">
        <x:v>按结构化事件证据给予0/部分/满分；不能由总结反推已完成</x:v>
      </x:c>
      <x:c r="M591" s="56" t="str"/>
      <x:c r="N591" s="56" t="n">
        <x:f>SUMIFS($G$4:$G$1673,$A$4:$A$1673,A591)</x:f>
        <x:v>360</x:v>
      </x:c>
      <x:c r="O591" s="56" t="str">
        <x:f>IF(N591=360,"通过","失败")</x:f>
        <x:v>通过</x:v>
      </x:c>
      <x:c r="P591" s="56" t="str"/>
      <x:c r="Q591" s="59" t="str">
        <x:v>待确认</x:v>
      </x:c>
    </x:row>
    <x:row r="592">
      <x:c r="A592" s="56" t="str">
        <x:v>P015</x:v>
      </x:c>
      <x:c r="B592" s="56" t="str">
        <x:v>HX-ADD-003</x:v>
      </x:c>
      <x:c r="C592" s="56" t="str">
        <x:v>orders</x:v>
      </x:c>
      <x:c r="D592" s="56" t="n">
        <x:v>55</x:v>
      </x:c>
      <x:c r="E592" s="56" t="str">
        <x:v>orders.LAB-UR-001</x:v>
      </x:c>
      <x:c r="F592" s="56" t="str">
        <x:v>LAB-UR-001</x:v>
      </x:c>
      <x:c r="G592" s="56" t="n">
        <x:v>10</x:v>
      </x:c>
      <x:c r="H592" s="56" t="str">
        <x:v>病例特异得分项</x:v>
      </x:c>
      <x:c r="I592" s="56" t="str">
        <x:v>否</x:v>
      </x:c>
      <x:c r="J592" s="56" t="str">
        <x:v>否</x:v>
      </x:c>
      <x:c r="K592" s="56" t="str">
        <x:v>否</x:v>
      </x:c>
      <x:c r="L592" s="56" t="str">
        <x:v>按结构化事件证据给予0/部分/满分；不能由总结反推已完成</x:v>
      </x:c>
      <x:c r="M592" s="56" t="str"/>
      <x:c r="N592" s="56" t="n">
        <x:f>SUMIFS($G$4:$G$1673,$A$4:$A$1673,A592)</x:f>
        <x:v>360</x:v>
      </x:c>
      <x:c r="O592" s="56" t="str">
        <x:f>IF(N592=360,"通过","失败")</x:f>
        <x:v>通过</x:v>
      </x:c>
      <x:c r="P592" s="56" t="str"/>
      <x:c r="Q592" s="59" t="str">
        <x:v>待确认</x:v>
      </x:c>
    </x:row>
    <x:row r="593">
      <x:c r="A593" s="56" t="str">
        <x:v>P015</x:v>
      </x:c>
      <x:c r="B593" s="56" t="str">
        <x:v>HX-ADD-003</x:v>
      </x:c>
      <x:c r="C593" s="56" t="str">
        <x:v>orders</x:v>
      </x:c>
      <x:c r="D593" s="56" t="n">
        <x:v>55</x:v>
      </x:c>
      <x:c r="E593" s="56" t="str">
        <x:v>orders.LAB-UR-002</x:v>
      </x:c>
      <x:c r="F593" s="56" t="str">
        <x:v>LAB-UR-002</x:v>
      </x:c>
      <x:c r="G593" s="56" t="n">
        <x:v>9</x:v>
      </x:c>
      <x:c r="H593" s="56" t="str">
        <x:v>病例特异得分项</x:v>
      </x:c>
      <x:c r="I593" s="56" t="str">
        <x:v>否</x:v>
      </x:c>
      <x:c r="J593" s="56" t="str">
        <x:v>否</x:v>
      </x:c>
      <x:c r="K593" s="56" t="str">
        <x:v>否</x:v>
      </x:c>
      <x:c r="L593" s="56" t="str">
        <x:v>按结构化事件证据给予0/部分/满分；不能由总结反推已完成</x:v>
      </x:c>
      <x:c r="M593" s="56" t="str"/>
      <x:c r="N593" s="56" t="n">
        <x:f>SUMIFS($G$4:$G$1673,$A$4:$A$1673,A593)</x:f>
        <x:v>360</x:v>
      </x:c>
      <x:c r="O593" s="56" t="str">
        <x:f>IF(N593=360,"通过","失败")</x:f>
        <x:v>通过</x:v>
      </x:c>
      <x:c r="P593" s="56" t="str"/>
      <x:c r="Q593" s="59" t="str">
        <x:v>待确认</x:v>
      </x:c>
    </x:row>
    <x:row r="594">
      <x:c r="A594" s="56" t="str">
        <x:v>P015</x:v>
      </x:c>
      <x:c r="B594" s="56" t="str">
        <x:v>HX-ADD-003</x:v>
      </x:c>
      <x:c r="C594" s="56" t="str">
        <x:v>orders</x:v>
      </x:c>
      <x:c r="D594" s="56" t="n">
        <x:v>55</x:v>
      </x:c>
      <x:c r="E594" s="56" t="str">
        <x:v>orders.LAB-UR-006</x:v>
      </x:c>
      <x:c r="F594" s="56" t="str">
        <x:v>LAB-UR-006</x:v>
      </x:c>
      <x:c r="G594" s="56" t="n">
        <x:v>9</x:v>
      </x:c>
      <x:c r="H594" s="56" t="str">
        <x:v>病例特异得分项</x:v>
      </x:c>
      <x:c r="I594" s="56" t="str">
        <x:v>否</x:v>
      </x:c>
      <x:c r="J594" s="56" t="str">
        <x:v>否</x:v>
      </x:c>
      <x:c r="K594" s="56" t="str">
        <x:v>否</x:v>
      </x:c>
      <x:c r="L594" s="56" t="str">
        <x:v>按结构化事件证据给予0/部分/满分；不能由总结反推已完成</x:v>
      </x:c>
      <x:c r="M594" s="56" t="str"/>
      <x:c r="N594" s="56" t="n">
        <x:f>SUMIFS($G$4:$G$1673,$A$4:$A$1673,A594)</x:f>
        <x:v>360</x:v>
      </x:c>
      <x:c r="O594" s="56" t="str">
        <x:f>IF(N594=360,"通过","失败")</x:f>
        <x:v>通过</x:v>
      </x:c>
      <x:c r="P594" s="56" t="str"/>
      <x:c r="Q594" s="59" t="str">
        <x:v>待确认</x:v>
      </x:c>
    </x:row>
    <x:row r="595">
      <x:c r="A595" s="56" t="str">
        <x:v>P015</x:v>
      </x:c>
      <x:c r="B595" s="56" t="str">
        <x:v>HX-ADD-003</x:v>
      </x:c>
      <x:c r="C595" s="56" t="str">
        <x:v>orders</x:v>
      </x:c>
      <x:c r="D595" s="56" t="n">
        <x:v>55</x:v>
      </x:c>
      <x:c r="E595" s="56" t="str">
        <x:v>orders.LAB-BL-003</x:v>
      </x:c>
      <x:c r="F595" s="56" t="str">
        <x:v>LAB-BL-003</x:v>
      </x:c>
      <x:c r="G595" s="56" t="n">
        <x:v>9</x:v>
      </x:c>
      <x:c r="H595" s="56" t="str">
        <x:v>病例特异得分项</x:v>
      </x:c>
      <x:c r="I595" s="56" t="str">
        <x:v>否</x:v>
      </x:c>
      <x:c r="J595" s="56" t="str">
        <x:v>否</x:v>
      </x:c>
      <x:c r="K595" s="56" t="str">
        <x:v>否</x:v>
      </x:c>
      <x:c r="L595" s="56" t="str">
        <x:v>按结构化事件证据给予0/部分/满分；不能由总结反推已完成</x:v>
      </x:c>
      <x:c r="M595" s="56" t="str"/>
      <x:c r="N595" s="56" t="n">
        <x:f>SUMIFS($G$4:$G$1673,$A$4:$A$1673,A595)</x:f>
        <x:v>360</x:v>
      </x:c>
      <x:c r="O595" s="56" t="str">
        <x:f>IF(N595=360,"通过","失败")</x:f>
        <x:v>通过</x:v>
      </x:c>
      <x:c r="P595" s="56" t="str"/>
      <x:c r="Q595" s="59" t="str">
        <x:v>待确认</x:v>
      </x:c>
    </x:row>
    <x:row r="596">
      <x:c r="A596" s="56" t="str">
        <x:v>P015</x:v>
      </x:c>
      <x:c r="B596" s="56" t="str">
        <x:v>HX-ADD-003</x:v>
      </x:c>
      <x:c r="C596" s="56" t="str">
        <x:v>orders</x:v>
      </x:c>
      <x:c r="D596" s="56" t="n">
        <x:v>55</x:v>
      </x:c>
      <x:c r="E596" s="56" t="str">
        <x:v>orders.IMG-CT-002</x:v>
      </x:c>
      <x:c r="F596" s="56" t="str">
        <x:v>IMG-CT-002</x:v>
      </x:c>
      <x:c r="G596" s="56" t="n">
        <x:v>9</x:v>
      </x:c>
      <x:c r="H596" s="56" t="str">
        <x:v>病例特异得分项</x:v>
      </x:c>
      <x:c r="I596" s="56" t="str">
        <x:v>否</x:v>
      </x:c>
      <x:c r="J596" s="56" t="str">
        <x:v>否</x:v>
      </x:c>
      <x:c r="K596" s="56" t="str">
        <x:v>否</x:v>
      </x:c>
      <x:c r="L596" s="56" t="str">
        <x:v>按结构化事件证据给予0/部分/满分；不能由总结反推已完成</x:v>
      </x:c>
      <x:c r="M596" s="56" t="str"/>
      <x:c r="N596" s="56" t="n">
        <x:f>SUMIFS($G$4:$G$1673,$A$4:$A$1673,A596)</x:f>
        <x:v>360</x:v>
      </x:c>
      <x:c r="O596" s="56" t="str">
        <x:f>IF(N596=360,"通过","失败")</x:f>
        <x:v>通过</x:v>
      </x:c>
      <x:c r="P596" s="56" t="str"/>
      <x:c r="Q596" s="59" t="str">
        <x:v>待确认</x:v>
      </x:c>
    </x:row>
    <x:row r="597">
      <x:c r="A597" s="56" t="str">
        <x:v>P015</x:v>
      </x:c>
      <x:c r="B597" s="56" t="str">
        <x:v>HX-ADD-003</x:v>
      </x:c>
      <x:c r="C597" s="56" t="str">
        <x:v>orders</x:v>
      </x:c>
      <x:c r="D597" s="56" t="n">
        <x:v>55</x:v>
      </x:c>
      <x:c r="E597" s="56" t="str">
        <x:v>orders.END-001</x:v>
      </x:c>
      <x:c r="F597" s="56" t="str">
        <x:v>END-001</x:v>
      </x:c>
      <x:c r="G597" s="56" t="n">
        <x:v>9</x:v>
      </x:c>
      <x:c r="H597" s="56" t="str">
        <x:v>病例特异得分项</x:v>
      </x:c>
      <x:c r="I597" s="56" t="str">
        <x:v>否</x:v>
      </x:c>
      <x:c r="J597" s="56" t="str">
        <x:v>否</x:v>
      </x:c>
      <x:c r="K597" s="56" t="str">
        <x:v>否</x:v>
      </x:c>
      <x:c r="L597" s="56" t="str">
        <x:v>按结构化事件证据给予0/部分/满分；不能由总结反推已完成</x:v>
      </x:c>
      <x:c r="M597" s="56" t="str"/>
      <x:c r="N597" s="56" t="n">
        <x:f>SUMIFS($G$4:$G$1673,$A$4:$A$1673,A597)</x:f>
        <x:v>360</x:v>
      </x:c>
      <x:c r="O597" s="56" t="str">
        <x:f>IF(N597=360,"通过","失败")</x:f>
        <x:v>通过</x:v>
      </x:c>
      <x:c r="P597" s="56" t="str"/>
      <x:c r="Q597" s="59" t="str">
        <x:v>待确认</x:v>
      </x:c>
    </x:row>
    <x:row r="598">
      <x:c r="A598" s="56" t="str">
        <x:v>P015</x:v>
      </x:c>
      <x:c r="B598" s="56" t="str">
        <x:v>HX-ADD-003</x:v>
      </x:c>
      <x:c r="C598" s="56" t="str">
        <x:v>mdt</x:v>
      </x:c>
      <x:c r="D598" s="56" t="n">
        <x:v>45</x:v>
      </x:c>
      <x:c r="E598" s="56" t="str">
        <x:v>mdt.department</x:v>
      </x:c>
      <x:c r="F598" s="56" t="str">
        <x:v>department</x:v>
      </x:c>
      <x:c r="G598" s="56" t="n">
        <x:v>12</x:v>
      </x:c>
      <x:c r="H598" s="56" t="str">
        <x:v>病例特异得分项</x:v>
      </x:c>
      <x:c r="I598" s="56" t="str">
        <x:v>否</x:v>
      </x:c>
      <x:c r="J598" s="56" t="str">
        <x:v>否</x:v>
      </x:c>
      <x:c r="K598" s="56" t="str">
        <x:v>否</x:v>
      </x:c>
      <x:c r="L598" s="56" t="str">
        <x:v>按结构化事件证据给予0/部分/满分；不能由总结反推已完成</x:v>
      </x:c>
      <x:c r="M598" s="56" t="str"/>
      <x:c r="N598" s="56" t="n">
        <x:f>SUMIFS($G$4:$G$1673,$A$4:$A$1673,A598)</x:f>
        <x:v>360</x:v>
      </x:c>
      <x:c r="O598" s="56" t="str">
        <x:f>IF(N598=360,"通过","失败")</x:f>
        <x:v>通过</x:v>
      </x:c>
      <x:c r="P598" s="56" t="str"/>
      <x:c r="Q598" s="59" t="str">
        <x:v>待确认</x:v>
      </x:c>
    </x:row>
    <x:row r="599">
      <x:c r="A599" s="56" t="str">
        <x:v>P015</x:v>
      </x:c>
      <x:c r="B599" s="56" t="str">
        <x:v>HX-ADD-003</x:v>
      </x:c>
      <x:c r="C599" s="56" t="str">
        <x:v>mdt</x:v>
      </x:c>
      <x:c r="D599" s="56" t="n">
        <x:v>45</x:v>
      </x:c>
      <x:c r="E599" s="56" t="str">
        <x:v>mdt.trigger</x:v>
      </x:c>
      <x:c r="F599" s="56" t="str">
        <x:v>trigger</x:v>
      </x:c>
      <x:c r="G599" s="56" t="n">
        <x:v>11</x:v>
      </x:c>
      <x:c r="H599" s="56" t="str">
        <x:v>病例特异得分项</x:v>
      </x:c>
      <x:c r="I599" s="56" t="str">
        <x:v>否</x:v>
      </x:c>
      <x:c r="J599" s="56" t="str">
        <x:v>否</x:v>
      </x:c>
      <x:c r="K599" s="56" t="str">
        <x:v>否</x:v>
      </x:c>
      <x:c r="L599" s="56" t="str">
        <x:v>按结构化事件证据给予0/部分/满分；不能由总结反推已完成</x:v>
      </x:c>
      <x:c r="M599" s="56" t="str"/>
      <x:c r="N599" s="56" t="n">
        <x:f>SUMIFS($G$4:$G$1673,$A$4:$A$1673,A599)</x:f>
        <x:v>360</x:v>
      </x:c>
      <x:c r="O599" s="56" t="str">
        <x:f>IF(N599=360,"通过","失败")</x:f>
        <x:v>通过</x:v>
      </x:c>
      <x:c r="P599" s="56" t="str"/>
      <x:c r="Q599" s="59" t="str">
        <x:v>待确认</x:v>
      </x:c>
    </x:row>
    <x:row r="600">
      <x:c r="A600" s="56" t="str">
        <x:v>P015</x:v>
      </x:c>
      <x:c r="B600" s="56" t="str">
        <x:v>HX-ADD-003</x:v>
      </x:c>
      <x:c r="C600" s="56" t="str">
        <x:v>mdt</x:v>
      </x:c>
      <x:c r="D600" s="56" t="n">
        <x:v>45</x:v>
      </x:c>
      <x:c r="E600" s="56" t="str">
        <x:v>mdt.question</x:v>
      </x:c>
      <x:c r="F600" s="56" t="str">
        <x:v>question</x:v>
      </x:c>
      <x:c r="G600" s="56" t="n">
        <x:v>11</x:v>
      </x:c>
      <x:c r="H600" s="56" t="str">
        <x:v>病例特异得分项</x:v>
      </x:c>
      <x:c r="I600" s="56" t="str">
        <x:v>否</x:v>
      </x:c>
      <x:c r="J600" s="56" t="str">
        <x:v>否</x:v>
      </x:c>
      <x:c r="K600" s="56" t="str">
        <x:v>否</x:v>
      </x:c>
      <x:c r="L600" s="56" t="str">
        <x:v>按结构化事件证据给予0/部分/满分；不能由总结反推已完成</x:v>
      </x:c>
      <x:c r="M600" s="56" t="str"/>
      <x:c r="N600" s="56" t="n">
        <x:f>SUMIFS($G$4:$G$1673,$A$4:$A$1673,A600)</x:f>
        <x:v>360</x:v>
      </x:c>
      <x:c r="O600" s="56" t="str">
        <x:f>IF(N600=360,"通过","失败")</x:f>
        <x:v>通过</x:v>
      </x:c>
      <x:c r="P600" s="56" t="str"/>
      <x:c r="Q600" s="59" t="str">
        <x:v>待确认</x:v>
      </x:c>
    </x:row>
    <x:row r="601">
      <x:c r="A601" s="56" t="str">
        <x:v>P015</x:v>
      </x:c>
      <x:c r="B601" s="56" t="str">
        <x:v>HX-ADD-003</x:v>
      </x:c>
      <x:c r="C601" s="56" t="str">
        <x:v>mdt</x:v>
      </x:c>
      <x:c r="D601" s="56" t="n">
        <x:v>45</x:v>
      </x:c>
      <x:c r="E601" s="56" t="str">
        <x:v>mdt.evidence</x:v>
      </x:c>
      <x:c r="F601" s="56" t="str">
        <x:v>evidence</x:v>
      </x:c>
      <x:c r="G601" s="56" t="n">
        <x:v>11</x:v>
      </x:c>
      <x:c r="H601" s="56" t="str">
        <x:v>病例特异得分项</x:v>
      </x:c>
      <x:c r="I601" s="56" t="str">
        <x:v>否</x:v>
      </x:c>
      <x:c r="J601" s="56" t="str">
        <x:v>否</x:v>
      </x:c>
      <x:c r="K601" s="56" t="str">
        <x:v>否</x:v>
      </x:c>
      <x:c r="L601" s="56" t="str">
        <x:v>按结构化事件证据给予0/部分/满分；不能由总结反推已完成</x:v>
      </x:c>
      <x:c r="M601" s="56" t="str"/>
      <x:c r="N601" s="56" t="n">
        <x:f>SUMIFS($G$4:$G$1673,$A$4:$A$1673,A601)</x:f>
        <x:v>360</x:v>
      </x:c>
      <x:c r="O601" s="56" t="str">
        <x:f>IF(N601=360,"通过","失败")</x:f>
        <x:v>通过</x:v>
      </x:c>
      <x:c r="P601" s="56" t="str"/>
      <x:c r="Q601" s="59" t="str">
        <x:v>待确认</x:v>
      </x:c>
    </x:row>
    <x:row r="602">
      <x:c r="A602" s="56" t="str">
        <x:v>P015</x:v>
      </x:c>
      <x:c r="B602" s="56" t="str">
        <x:v>HX-ADD-003</x:v>
      </x:c>
      <x:c r="C602" s="56" t="str">
        <x:v>treatment</x:v>
      </x:c>
      <x:c r="D602" s="56" t="n">
        <x:v>50</x:v>
      </x:c>
      <x:c r="E602" s="56" t="str">
        <x:v>treatment.immediate</x:v>
      </x:c>
      <x:c r="F602" s="56" t="str">
        <x:v>immediate</x:v>
      </x:c>
      <x:c r="G602" s="56" t="n">
        <x:v>13</x:v>
      </x:c>
      <x:c r="H602" s="56" t="str">
        <x:v>病例特异得分项</x:v>
      </x:c>
      <x:c r="I602" s="56" t="str">
        <x:v>否</x:v>
      </x:c>
      <x:c r="J602" s="56" t="str">
        <x:v>否</x:v>
      </x:c>
      <x:c r="K602" s="56" t="str">
        <x:v>否</x:v>
      </x:c>
      <x:c r="L602" s="56" t="str">
        <x:v>按结构化事件证据给予0/部分/满分；不能由总结反推已完成</x:v>
      </x:c>
      <x:c r="M602" s="56" t="str"/>
      <x:c r="N602" s="56" t="n">
        <x:f>SUMIFS($G$4:$G$1673,$A$4:$A$1673,A602)</x:f>
        <x:v>360</x:v>
      </x:c>
      <x:c r="O602" s="56" t="str">
        <x:f>IF(N602=360,"通过","失败")</x:f>
        <x:v>通过</x:v>
      </x:c>
      <x:c r="P602" s="56" t="str"/>
      <x:c r="Q602" s="59" t="str">
        <x:v>待确认</x:v>
      </x:c>
    </x:row>
    <x:row r="603">
      <x:c r="A603" s="56" t="str">
        <x:v>P015</x:v>
      </x:c>
      <x:c r="B603" s="56" t="str">
        <x:v>HX-ADD-003</x:v>
      </x:c>
      <x:c r="C603" s="56" t="str">
        <x:v>treatment</x:v>
      </x:c>
      <x:c r="D603" s="56" t="n">
        <x:v>50</x:v>
      </x:c>
      <x:c r="E603" s="56" t="str">
        <x:v>treatment.etiologic</x:v>
      </x:c>
      <x:c r="F603" s="56" t="str">
        <x:v>etiologic</x:v>
      </x:c>
      <x:c r="G603" s="56" t="n">
        <x:v>13</x:v>
      </x:c>
      <x:c r="H603" s="56" t="str">
        <x:v>病例特异得分项</x:v>
      </x:c>
      <x:c r="I603" s="56" t="str">
        <x:v>否</x:v>
      </x:c>
      <x:c r="J603" s="56" t="str">
        <x:v>否</x:v>
      </x:c>
      <x:c r="K603" s="56" t="str">
        <x:v>否</x:v>
      </x:c>
      <x:c r="L603" s="56" t="str">
        <x:v>按结构化事件证据给予0/部分/满分；不能由总结反推已完成</x:v>
      </x:c>
      <x:c r="M603" s="56" t="str"/>
      <x:c r="N603" s="56" t="n">
        <x:f>SUMIFS($G$4:$G$1673,$A$4:$A$1673,A603)</x:f>
        <x:v>360</x:v>
      </x:c>
      <x:c r="O603" s="56" t="str">
        <x:f>IF(N603=360,"通过","失败")</x:f>
        <x:v>通过</x:v>
      </x:c>
      <x:c r="P603" s="56" t="str"/>
      <x:c r="Q603" s="59" t="str">
        <x:v>待确认</x:v>
      </x:c>
    </x:row>
    <x:row r="604">
      <x:c r="A604" s="56" t="str">
        <x:v>P015</x:v>
      </x:c>
      <x:c r="B604" s="56" t="str">
        <x:v>HX-ADD-003</x:v>
      </x:c>
      <x:c r="C604" s="56" t="str">
        <x:v>treatment</x:v>
      </x:c>
      <x:c r="D604" s="56" t="n">
        <x:v>50</x:v>
      </x:c>
      <x:c r="E604" s="56" t="str">
        <x:v>treatment.definitive</x:v>
      </x:c>
      <x:c r="F604" s="56" t="str">
        <x:v>definitive</x:v>
      </x:c>
      <x:c r="G604" s="56" t="n">
        <x:v>12</x:v>
      </x:c>
      <x:c r="H604" s="56" t="str">
        <x:v>病例特异得分项</x:v>
      </x:c>
      <x:c r="I604" s="56" t="str">
        <x:v>否</x:v>
      </x:c>
      <x:c r="J604" s="56" t="str">
        <x:v>否</x:v>
      </x:c>
      <x:c r="K604" s="56" t="str">
        <x:v>否</x:v>
      </x:c>
      <x:c r="L604" s="56" t="str">
        <x:v>按结构化事件证据给予0/部分/满分；不能由总结反推已完成</x:v>
      </x:c>
      <x:c r="M604" s="56" t="str"/>
      <x:c r="N604" s="56" t="n">
        <x:f>SUMIFS($G$4:$G$1673,$A$4:$A$1673,A604)</x:f>
        <x:v>360</x:v>
      </x:c>
      <x:c r="O604" s="56" t="str">
        <x:f>IF(N604=360,"通过","失败")</x:f>
        <x:v>通过</x:v>
      </x:c>
      <x:c r="P604" s="56" t="str"/>
      <x:c r="Q604" s="59" t="str">
        <x:v>待确认</x:v>
      </x:c>
    </x:row>
    <x:row r="605">
      <x:c r="A605" s="56" t="str">
        <x:v>P015</x:v>
      </x:c>
      <x:c r="B605" s="56" t="str">
        <x:v>HX-ADD-003</x:v>
      </x:c>
      <x:c r="C605" s="56" t="str">
        <x:v>treatment</x:v>
      </x:c>
      <x:c r="D605" s="56" t="n">
        <x:v>50</x:v>
      </x:c>
      <x:c r="E605" s="56" t="str">
        <x:v>treatment.perioperative</x:v>
      </x:c>
      <x:c r="F605" s="56" t="str">
        <x:v>perioperative</x:v>
      </x:c>
      <x:c r="G605" s="56" t="n">
        <x:v>12</x:v>
      </x:c>
      <x:c r="H605" s="56" t="str">
        <x:v>病例特异得分项</x:v>
      </x:c>
      <x:c r="I605" s="56" t="str">
        <x:v>否</x:v>
      </x:c>
      <x:c r="J605" s="56" t="str">
        <x:v>否</x:v>
      </x:c>
      <x:c r="K605" s="56" t="str">
        <x:v>否</x:v>
      </x:c>
      <x:c r="L605" s="56" t="str">
        <x:v>按结构化事件证据给予0/部分/满分；不能由总结反推已完成</x:v>
      </x:c>
      <x:c r="M605" s="56" t="str"/>
      <x:c r="N605" s="56" t="n">
        <x:f>SUMIFS($G$4:$G$1673,$A$4:$A$1673,A605)</x:f>
        <x:v>360</x:v>
      </x:c>
      <x:c r="O605" s="56" t="str">
        <x:f>IF(N605=360,"通过","失败")</x:f>
        <x:v>通过</x:v>
      </x:c>
      <x:c r="P605" s="56" t="str"/>
      <x:c r="Q605" s="59" t="str">
        <x:v>待确认</x:v>
      </x:c>
    </x:row>
    <x:row r="606">
      <x:c r="A606" s="56" t="str">
        <x:v>P015</x:v>
      </x:c>
      <x:c r="B606" s="56" t="str">
        <x:v>HX-ADD-003</x:v>
      </x:c>
      <x:c r="C606" s="56" t="str">
        <x:v>followup</x:v>
      </x:c>
      <x:c r="D606" s="56" t="n">
        <x:v>40</x:v>
      </x:c>
      <x:c r="E606" s="56" t="str">
        <x:v>followup.plan</x:v>
      </x:c>
      <x:c r="F606" s="56" t="str">
        <x:v>随访复查</x:v>
      </x:c>
      <x:c r="G606" s="56" t="n">
        <x:v>10</x:v>
      </x:c>
      <x:c r="H606" s="56" t="str">
        <x:v>普通得分项</x:v>
      </x:c>
      <x:c r="I606" s="56" t="str">
        <x:v>否</x:v>
      </x:c>
      <x:c r="J606" s="56" t="str">
        <x:v>否</x:v>
      </x:c>
      <x:c r="K606" s="56" t="str">
        <x:v>否</x:v>
      </x:c>
      <x:c r="L606" s="56" t="str">
        <x:v>按结构化事件证据给予0/部分/满分；不能由总结反推已完成</x:v>
      </x:c>
      <x:c r="M606" s="56" t="str"/>
      <x:c r="N606" s="56" t="n">
        <x:f>SUMIFS($G$4:$G$1673,$A$4:$A$1673,A606)</x:f>
        <x:v>360</x:v>
      </x:c>
      <x:c r="O606" s="56" t="str">
        <x:f>IF(N606=360,"通过","失败")</x:f>
        <x:v>通过</x:v>
      </x:c>
      <x:c r="P606" s="56" t="str"/>
      <x:c r="Q606" s="59" t="str">
        <x:v>待确认</x:v>
      </x:c>
    </x:row>
    <x:row r="607">
      <x:c r="A607" s="56" t="str">
        <x:v>P015</x:v>
      </x:c>
      <x:c r="B607" s="56" t="str">
        <x:v>HX-ADD-003</x:v>
      </x:c>
      <x:c r="C607" s="56" t="str">
        <x:v>followup</x:v>
      </x:c>
      <x:c r="D607" s="56" t="n">
        <x:v>40</x:v>
      </x:c>
      <x:c r="E607" s="56" t="str">
        <x:v>followup.education</x:v>
      </x:c>
      <x:c r="F607" s="56" t="str">
        <x:v>患者教育</x:v>
      </x:c>
      <x:c r="G607" s="56" t="n">
        <x:v>10</x:v>
      </x:c>
      <x:c r="H607" s="56" t="str">
        <x:v>普通得分项</x:v>
      </x:c>
      <x:c r="I607" s="56" t="str">
        <x:v>否</x:v>
      </x:c>
      <x:c r="J607" s="56" t="str">
        <x:v>否</x:v>
      </x:c>
      <x:c r="K607" s="56" t="str">
        <x:v>否</x:v>
      </x:c>
      <x:c r="L607" s="56" t="str">
        <x:v>按结构化事件证据给予0/部分/满分；不能由总结反推已完成</x:v>
      </x:c>
      <x:c r="M607" s="56" t="str"/>
      <x:c r="N607" s="56" t="n">
        <x:f>SUMIFS($G$4:$G$1673,$A$4:$A$1673,A607)</x:f>
        <x:v>360</x:v>
      </x:c>
      <x:c r="O607" s="56" t="str">
        <x:f>IF(N607=360,"通过","失败")</x:f>
        <x:v>通过</x:v>
      </x:c>
      <x:c r="P607" s="56" t="str"/>
      <x:c r="Q607" s="59" t="str">
        <x:v>待确认</x:v>
      </x:c>
    </x:row>
    <x:row r="608">
      <x:c r="A608" s="56" t="str">
        <x:v>P015</x:v>
      </x:c>
      <x:c r="B608" s="56" t="str">
        <x:v>HX-ADD-003</x:v>
      </x:c>
      <x:c r="C608" s="56" t="str">
        <x:v>followup</x:v>
      </x:c>
      <x:c r="D608" s="56" t="n">
        <x:v>40</x:v>
      </x:c>
      <x:c r="E608" s="56" t="str">
        <x:v>followup.reflection</x:v>
      </x:c>
      <x:c r="F608" s="56" t="str">
        <x:v>学习反思质量</x:v>
      </x:c>
      <x:c r="G608" s="56" t="n">
        <x:v>10</x:v>
      </x:c>
      <x:c r="H608" s="56" t="str">
        <x:v>普通得分项</x:v>
      </x:c>
      <x:c r="I608" s="56" t="str">
        <x:v>否</x:v>
      </x:c>
      <x:c r="J608" s="56" t="str">
        <x:v>否</x:v>
      </x:c>
      <x:c r="K608" s="56" t="str">
        <x:v>否</x:v>
      </x:c>
      <x:c r="L608" s="56" t="str">
        <x:v>按结构化事件证据给予0/部分/满分；不能由总结反推已完成</x:v>
      </x:c>
      <x:c r="M608" s="56" t="str"/>
      <x:c r="N608" s="56" t="n">
        <x:f>SUMIFS($G$4:$G$1673,$A$4:$A$1673,A608)</x:f>
        <x:v>360</x:v>
      </x:c>
      <x:c r="O608" s="56" t="str">
        <x:f>IF(N608=360,"通过","失败")</x:f>
        <x:v>通过</x:v>
      </x:c>
      <x:c r="P608" s="56" t="str"/>
      <x:c r="Q608" s="59" t="str">
        <x:v>待确认</x:v>
      </x:c>
    </x:row>
    <x:row r="609">
      <x:c r="A609" s="56" t="str">
        <x:v>P015</x:v>
      </x:c>
      <x:c r="B609" s="56" t="str">
        <x:v>HX-ADD-003</x:v>
      </x:c>
      <x:c r="C609" s="56" t="str">
        <x:v>followup</x:v>
      </x:c>
      <x:c r="D609" s="56" t="n">
        <x:v>40</x:v>
      </x:c>
      <x:c r="E609" s="56" t="str">
        <x:v>followup.efficiency</x:v>
      </x:c>
      <x:c r="F609" s="56" t="str">
        <x:v>操作效率</x:v>
      </x:c>
      <x:c r="G609" s="56" t="n">
        <x:v>10</x:v>
      </x:c>
      <x:c r="H609" s="56" t="str">
        <x:v>普通得分项</x:v>
      </x:c>
      <x:c r="I609" s="56" t="str">
        <x:v>否</x:v>
      </x:c>
      <x:c r="J609" s="56" t="str">
        <x:v>否</x:v>
      </x:c>
      <x:c r="K609" s="56" t="str">
        <x:v>否</x:v>
      </x:c>
      <x:c r="L609" s="56" t="str">
        <x:v>按结构化事件证据给予0/部分/满分；不能由总结反推已完成</x:v>
      </x:c>
      <x:c r="M609" s="56" t="str"/>
      <x:c r="N609" s="56" t="n">
        <x:f>SUMIFS($G$4:$G$1673,$A$4:$A$1673,A609)</x:f>
        <x:v>360</x:v>
      </x:c>
      <x:c r="O609" s="56" t="str">
        <x:f>IF(N609=360,"通过","失败")</x:f>
        <x:v>通过</x:v>
      </x:c>
      <x:c r="P609" s="56" t="str"/>
      <x:c r="Q609" s="59" t="str">
        <x:v>待确认</x:v>
      </x:c>
    </x:row>
    <x:row r="610">
      <x:c r="A610" s="56" t="str">
        <x:v>P016</x:v>
      </x:c>
      <x:c r="B610" s="56" t="str">
        <x:v>HX-ADD-004</x:v>
      </x:c>
      <x:c r="C610" s="56" t="str">
        <x:v>history</x:v>
      </x:c>
      <x:c r="D610" s="56" t="n">
        <x:v>50</x:v>
      </x:c>
      <x:c r="E610" s="56" t="str">
        <x:v>history.hematuria_visibility</x:v>
      </x:c>
      <x:c r="F610" s="56" t="str">
        <x:v>hematuria_visibility</x:v>
      </x:c>
      <x:c r="G610" s="56" t="n">
        <x:v>5</x:v>
      </x:c>
      <x:c r="H610" s="56" t="str">
        <x:v>普通得分项</x:v>
      </x:c>
      <x:c r="I610" s="56" t="str">
        <x:v>否</x:v>
      </x:c>
      <x:c r="J610" s="56" t="str">
        <x:v>否</x:v>
      </x:c>
      <x:c r="K610" s="56" t="str">
        <x:v>否</x:v>
      </x:c>
      <x:c r="L610" s="56" t="str">
        <x:v>按结构化事件证据给予0/部分/满分；不能由总结反推已完成</x:v>
      </x:c>
      <x:c r="M610" s="56" t="str"/>
      <x:c r="N610" s="56" t="n">
        <x:f>SUMIFS($G$4:$G$1673,$A$4:$A$1673,A610)</x:f>
        <x:v>360</x:v>
      </x:c>
      <x:c r="O610" s="56" t="str">
        <x:f>IF(N610=360,"通过","失败")</x:f>
        <x:v>通过</x:v>
      </x:c>
      <x:c r="P610" s="56" t="str"/>
      <x:c r="Q610" s="59" t="str">
        <x:v>待确认</x:v>
      </x:c>
    </x:row>
    <x:row r="611">
      <x:c r="A611" s="56" t="str">
        <x:v>P016</x:v>
      </x:c>
      <x:c r="B611" s="56" t="str">
        <x:v>HX-ADD-004</x:v>
      </x:c>
      <x:c r="C611" s="56" t="str">
        <x:v>history</x:v>
      </x:c>
      <x:c r="D611" s="56" t="n">
        <x:v>50</x:v>
      </x:c>
      <x:c r="E611" s="56" t="str">
        <x:v>history.hematuria_onset</x:v>
      </x:c>
      <x:c r="F611" s="56" t="str">
        <x:v>hematuria_onset</x:v>
      </x:c>
      <x:c r="G611" s="56" t="n">
        <x:v>5</x:v>
      </x:c>
      <x:c r="H611" s="56" t="str">
        <x:v>普通得分项</x:v>
      </x:c>
      <x:c r="I611" s="56" t="str">
        <x:v>否</x:v>
      </x:c>
      <x:c r="J611" s="56" t="str">
        <x:v>否</x:v>
      </x:c>
      <x:c r="K611" s="56" t="str">
        <x:v>否</x:v>
      </x:c>
      <x:c r="L611" s="56" t="str">
        <x:v>按结构化事件证据给予0/部分/满分；不能由总结反推已完成</x:v>
      </x:c>
      <x:c r="M611" s="56" t="str"/>
      <x:c r="N611" s="56" t="n">
        <x:f>SUMIFS($G$4:$G$1673,$A$4:$A$1673,A611)</x:f>
        <x:v>360</x:v>
      </x:c>
      <x:c r="O611" s="56" t="str">
        <x:f>IF(N611=360,"通过","失败")</x:f>
        <x:v>通过</x:v>
      </x:c>
      <x:c r="P611" s="56" t="str"/>
      <x:c r="Q611" s="59" t="str">
        <x:v>待确认</x:v>
      </x:c>
    </x:row>
    <x:row r="612">
      <x:c r="A612" s="56" t="str">
        <x:v>P016</x:v>
      </x:c>
      <x:c r="B612" s="56" t="str">
        <x:v>HX-ADD-004</x:v>
      </x:c>
      <x:c r="C612" s="56" t="str">
        <x:v>history</x:v>
      </x:c>
      <x:c r="D612" s="56" t="n">
        <x:v>50</x:v>
      </x:c>
      <x:c r="E612" s="56" t="str">
        <x:v>history.hematuria_frequency</x:v>
      </x:c>
      <x:c r="F612" s="56" t="str">
        <x:v>hematuria_frequency</x:v>
      </x:c>
      <x:c r="G612" s="56" t="n">
        <x:v>4</x:v>
      </x:c>
      <x:c r="H612" s="56" t="str">
        <x:v>普通得分项</x:v>
      </x:c>
      <x:c r="I612" s="56" t="str">
        <x:v>否</x:v>
      </x:c>
      <x:c r="J612" s="56" t="str">
        <x:v>否</x:v>
      </x:c>
      <x:c r="K612" s="56" t="str">
        <x:v>否</x:v>
      </x:c>
      <x:c r="L612" s="56" t="str">
        <x:v>按结构化事件证据给予0/部分/满分；不能由总结反推已完成</x:v>
      </x:c>
      <x:c r="M612" s="56" t="str"/>
      <x:c r="N612" s="56" t="n">
        <x:f>SUMIFS($G$4:$G$1673,$A$4:$A$1673,A612)</x:f>
        <x:v>360</x:v>
      </x:c>
      <x:c r="O612" s="56" t="str">
        <x:f>IF(N612=360,"通过","失败")</x:f>
        <x:v>通过</x:v>
      </x:c>
      <x:c r="P612" s="56" t="str"/>
      <x:c r="Q612" s="59" t="str">
        <x:v>待确认</x:v>
      </x:c>
    </x:row>
    <x:row r="613">
      <x:c r="A613" s="56" t="str">
        <x:v>P016</x:v>
      </x:c>
      <x:c r="B613" s="56" t="str">
        <x:v>HX-ADD-004</x:v>
      </x:c>
      <x:c r="C613" s="56" t="str">
        <x:v>history</x:v>
      </x:c>
      <x:c r="D613" s="56" t="n">
        <x:v>50</x:v>
      </x:c>
      <x:c r="E613" s="56" t="str">
        <x:v>history.hematuria_phase</x:v>
      </x:c>
      <x:c r="F613" s="56" t="str">
        <x:v>hematuria_phase</x:v>
      </x:c>
      <x:c r="G613" s="56" t="n">
        <x:v>4</x:v>
      </x:c>
      <x:c r="H613" s="56" t="str">
        <x:v>普通得分项</x:v>
      </x:c>
      <x:c r="I613" s="56" t="str">
        <x:v>否</x:v>
      </x:c>
      <x:c r="J613" s="56" t="str">
        <x:v>否</x:v>
      </x:c>
      <x:c r="K613" s="56" t="str">
        <x:v>否</x:v>
      </x:c>
      <x:c r="L613" s="56" t="str">
        <x:v>按结构化事件证据给予0/部分/满分；不能由总结反推已完成</x:v>
      </x:c>
      <x:c r="M613" s="56" t="str"/>
      <x:c r="N613" s="56" t="n">
        <x:f>SUMIFS($G$4:$G$1673,$A$4:$A$1673,A613)</x:f>
        <x:v>360</x:v>
      </x:c>
      <x:c r="O613" s="56" t="str">
        <x:f>IF(N613=360,"通过","失败")</x:f>
        <x:v>通过</x:v>
      </x:c>
      <x:c r="P613" s="56" t="str"/>
      <x:c r="Q613" s="59" t="str">
        <x:v>待确认</x:v>
      </x:c>
    </x:row>
    <x:row r="614">
      <x:c r="A614" s="56" t="str">
        <x:v>P016</x:v>
      </x:c>
      <x:c r="B614" s="56" t="str">
        <x:v>HX-ADD-004</x:v>
      </x:c>
      <x:c r="C614" s="56" t="str">
        <x:v>history</x:v>
      </x:c>
      <x:c r="D614" s="56" t="n">
        <x:v>50</x:v>
      </x:c>
      <x:c r="E614" s="56" t="str">
        <x:v>history.urine_color</x:v>
      </x:c>
      <x:c r="F614" s="56" t="str">
        <x:v>urine_color</x:v>
      </x:c>
      <x:c r="G614" s="56" t="n">
        <x:v>4</x:v>
      </x:c>
      <x:c r="H614" s="56" t="str">
        <x:v>普通得分项</x:v>
      </x:c>
      <x:c r="I614" s="56" t="str">
        <x:v>否</x:v>
      </x:c>
      <x:c r="J614" s="56" t="str">
        <x:v>否</x:v>
      </x:c>
      <x:c r="K614" s="56" t="str">
        <x:v>否</x:v>
      </x:c>
      <x:c r="L614" s="56" t="str">
        <x:v>按结构化事件证据给予0/部分/满分；不能由总结反推已完成</x:v>
      </x:c>
      <x:c r="M614" s="56" t="str"/>
      <x:c r="N614" s="56" t="n">
        <x:f>SUMIFS($G$4:$G$1673,$A$4:$A$1673,A614)</x:f>
        <x:v>360</x:v>
      </x:c>
      <x:c r="O614" s="56" t="str">
        <x:f>IF(N614=360,"通过","失败")</x:f>
        <x:v>通过</x:v>
      </x:c>
      <x:c r="P614" s="56" t="str"/>
      <x:c r="Q614" s="59" t="str">
        <x:v>待确认</x:v>
      </x:c>
    </x:row>
    <x:row r="615">
      <x:c r="A615" s="56" t="str">
        <x:v>P016</x:v>
      </x:c>
      <x:c r="B615" s="56" t="str">
        <x:v>HX-ADD-004</x:v>
      </x:c>
      <x:c r="C615" s="56" t="str">
        <x:v>history</x:v>
      </x:c>
      <x:c r="D615" s="56" t="n">
        <x:v>50</x:v>
      </x:c>
      <x:c r="E615" s="56" t="str">
        <x:v>history.clots</x:v>
      </x:c>
      <x:c r="F615" s="56" t="str">
        <x:v>clots</x:v>
      </x:c>
      <x:c r="G615" s="56" t="n">
        <x:v>4</x:v>
      </x:c>
      <x:c r="H615" s="56" t="str">
        <x:v>普通得分项</x:v>
      </x:c>
      <x:c r="I615" s="56" t="str">
        <x:v>否</x:v>
      </x:c>
      <x:c r="J615" s="56" t="str">
        <x:v>否</x:v>
      </x:c>
      <x:c r="K615" s="56" t="str">
        <x:v>否</x:v>
      </x:c>
      <x:c r="L615" s="56" t="str">
        <x:v>按结构化事件证据给予0/部分/满分；不能由总结反推已完成</x:v>
      </x:c>
      <x:c r="M615" s="56" t="str"/>
      <x:c r="N615" s="56" t="n">
        <x:f>SUMIFS($G$4:$G$1673,$A$4:$A$1673,A615)</x:f>
        <x:v>360</x:v>
      </x:c>
      <x:c r="O615" s="56" t="str">
        <x:f>IF(N615=360,"通过","失败")</x:f>
        <x:v>通过</x:v>
      </x:c>
      <x:c r="P615" s="56" t="str"/>
      <x:c r="Q615" s="59" t="str">
        <x:v>待确认</x:v>
      </x:c>
    </x:row>
    <x:row r="616">
      <x:c r="A616" s="56" t="str">
        <x:v>P016</x:v>
      </x:c>
      <x:c r="B616" s="56" t="str">
        <x:v>HX-ADD-004</x:v>
      </x:c>
      <x:c r="C616" s="56" t="str">
        <x:v>history</x:v>
      </x:c>
      <x:c r="D616" s="56" t="n">
        <x:v>50</x:v>
      </x:c>
      <x:c r="E616" s="56" t="str">
        <x:v>history.pain</x:v>
      </x:c>
      <x:c r="F616" s="56" t="str">
        <x:v>pain</x:v>
      </x:c>
      <x:c r="G616" s="56" t="n">
        <x:v>4</x:v>
      </x:c>
      <x:c r="H616" s="56" t="str">
        <x:v>普通得分项</x:v>
      </x:c>
      <x:c r="I616" s="56" t="str">
        <x:v>否</x:v>
      </x:c>
      <x:c r="J616" s="56" t="str">
        <x:v>否</x:v>
      </x:c>
      <x:c r="K616" s="56" t="str">
        <x:v>否</x:v>
      </x:c>
      <x:c r="L616" s="56" t="str">
        <x:v>按结构化事件证据给予0/部分/满分；不能由总结反推已完成</x:v>
      </x:c>
      <x:c r="M616" s="56" t="str"/>
      <x:c r="N616" s="56" t="n">
        <x:f>SUMIFS($G$4:$G$1673,$A$4:$A$1673,A616)</x:f>
        <x:v>360</x:v>
      </x:c>
      <x:c r="O616" s="56" t="str">
        <x:f>IF(N616=360,"通过","失败")</x:f>
        <x:v>通过</x:v>
      </x:c>
      <x:c r="P616" s="56" t="str"/>
      <x:c r="Q616" s="59" t="str">
        <x:v>待确认</x:v>
      </x:c>
    </x:row>
    <x:row r="617">
      <x:c r="A617" s="56" t="str">
        <x:v>P016</x:v>
      </x:c>
      <x:c r="B617" s="56" t="str">
        <x:v>HX-ADD-004</x:v>
      </x:c>
      <x:c r="C617" s="56" t="str">
        <x:v>history</x:v>
      </x:c>
      <x:c r="D617" s="56" t="n">
        <x:v>50</x:v>
      </x:c>
      <x:c r="E617" s="56" t="str">
        <x:v>history.dysuria</x:v>
      </x:c>
      <x:c r="F617" s="56" t="str">
        <x:v>dysuria</x:v>
      </x:c>
      <x:c r="G617" s="56" t="n">
        <x:v>4</x:v>
      </x:c>
      <x:c r="H617" s="56" t="str">
        <x:v>普通得分项</x:v>
      </x:c>
      <x:c r="I617" s="56" t="str">
        <x:v>否</x:v>
      </x:c>
      <x:c r="J617" s="56" t="str">
        <x:v>否</x:v>
      </x:c>
      <x:c r="K617" s="56" t="str">
        <x:v>否</x:v>
      </x:c>
      <x:c r="L617" s="56" t="str">
        <x:v>按结构化事件证据给予0/部分/满分；不能由总结反推已完成</x:v>
      </x:c>
      <x:c r="M617" s="56" t="str"/>
      <x:c r="N617" s="56" t="n">
        <x:f>SUMIFS($G$4:$G$1673,$A$4:$A$1673,A617)</x:f>
        <x:v>360</x:v>
      </x:c>
      <x:c r="O617" s="56" t="str">
        <x:f>IF(N617=360,"通过","失败")</x:f>
        <x:v>通过</x:v>
      </x:c>
      <x:c r="P617" s="56" t="str"/>
      <x:c r="Q617" s="59" t="str">
        <x:v>待确认</x:v>
      </x:c>
    </x:row>
    <x:row r="618">
      <x:c r="A618" s="56" t="str">
        <x:v>P016</x:v>
      </x:c>
      <x:c r="B618" s="56" t="str">
        <x:v>HX-ADD-004</x:v>
      </x:c>
      <x:c r="C618" s="56" t="str">
        <x:v>history</x:v>
      </x:c>
      <x:c r="D618" s="56" t="n">
        <x:v>50</x:v>
      </x:c>
      <x:c r="E618" s="56" t="str">
        <x:v>history.urinary_frequency</x:v>
      </x:c>
      <x:c r="F618" s="56" t="str">
        <x:v>urinary_frequency</x:v>
      </x:c>
      <x:c r="G618" s="56" t="n">
        <x:v>4</x:v>
      </x:c>
      <x:c r="H618" s="56" t="str">
        <x:v>普通得分项</x:v>
      </x:c>
      <x:c r="I618" s="56" t="str">
        <x:v>否</x:v>
      </x:c>
      <x:c r="J618" s="56" t="str">
        <x:v>否</x:v>
      </x:c>
      <x:c r="K618" s="56" t="str">
        <x:v>否</x:v>
      </x:c>
      <x:c r="L618" s="56" t="str">
        <x:v>按结构化事件证据给予0/部分/满分；不能由总结反推已完成</x:v>
      </x:c>
      <x:c r="M618" s="56" t="str"/>
      <x:c r="N618" s="56" t="n">
        <x:f>SUMIFS($G$4:$G$1673,$A$4:$A$1673,A618)</x:f>
        <x:v>360</x:v>
      </x:c>
      <x:c r="O618" s="56" t="str">
        <x:f>IF(N618=360,"通过","失败")</x:f>
        <x:v>通过</x:v>
      </x:c>
      <x:c r="P618" s="56" t="str"/>
      <x:c r="Q618" s="59" t="str">
        <x:v>待确认</x:v>
      </x:c>
    </x:row>
    <x:row r="619">
      <x:c r="A619" s="56" t="str">
        <x:v>P016</x:v>
      </x:c>
      <x:c r="B619" s="56" t="str">
        <x:v>HX-ADD-004</x:v>
      </x:c>
      <x:c r="C619" s="56" t="str">
        <x:v>history</x:v>
      </x:c>
      <x:c r="D619" s="56" t="n">
        <x:v>50</x:v>
      </x:c>
      <x:c r="E619" s="56" t="str">
        <x:v>history.urinary_urgency</x:v>
      </x:c>
      <x:c r="F619" s="56" t="str">
        <x:v>urinary_urgency</x:v>
      </x:c>
      <x:c r="G619" s="56" t="n">
        <x:v>4</x:v>
      </x:c>
      <x:c r="H619" s="56" t="str">
        <x:v>普通得分项</x:v>
      </x:c>
      <x:c r="I619" s="56" t="str">
        <x:v>否</x:v>
      </x:c>
      <x:c r="J619" s="56" t="str">
        <x:v>否</x:v>
      </x:c>
      <x:c r="K619" s="56" t="str">
        <x:v>否</x:v>
      </x:c>
      <x:c r="L619" s="56" t="str">
        <x:v>按结构化事件证据给予0/部分/满分；不能由总结反推已完成</x:v>
      </x:c>
      <x:c r="M619" s="56" t="str"/>
      <x:c r="N619" s="56" t="n">
        <x:f>SUMIFS($G$4:$G$1673,$A$4:$A$1673,A619)</x:f>
        <x:v>360</x:v>
      </x:c>
      <x:c r="O619" s="56" t="str">
        <x:f>IF(N619=360,"通过","失败")</x:f>
        <x:v>通过</x:v>
      </x:c>
      <x:c r="P619" s="56" t="str"/>
      <x:c r="Q619" s="59" t="str">
        <x:v>待确认</x:v>
      </x:c>
    </x:row>
    <x:row r="620">
      <x:c r="A620" s="56" t="str">
        <x:v>P016</x:v>
      </x:c>
      <x:c r="B620" s="56" t="str">
        <x:v>HX-ADD-004</x:v>
      </x:c>
      <x:c r="C620" s="56" t="str">
        <x:v>history</x:v>
      </x:c>
      <x:c r="D620" s="56" t="n">
        <x:v>50</x:v>
      </x:c>
      <x:c r="E620" s="56" t="str">
        <x:v>history.flank_pain</x:v>
      </x:c>
      <x:c r="F620" s="56" t="str">
        <x:v>flank_pain</x:v>
      </x:c>
      <x:c r="G620" s="56" t="n">
        <x:v>4</x:v>
      </x:c>
      <x:c r="H620" s="56" t="str">
        <x:v>普通得分项</x:v>
      </x:c>
      <x:c r="I620" s="56" t="str">
        <x:v>否</x:v>
      </x:c>
      <x:c r="J620" s="56" t="str">
        <x:v>否</x:v>
      </x:c>
      <x:c r="K620" s="56" t="str">
        <x:v>否</x:v>
      </x:c>
      <x:c r="L620" s="56" t="str">
        <x:v>按结构化事件证据给予0/部分/满分；不能由总结反推已完成</x:v>
      </x:c>
      <x:c r="M620" s="56" t="str"/>
      <x:c r="N620" s="56" t="n">
        <x:f>SUMIFS($G$4:$G$1673,$A$4:$A$1673,A620)</x:f>
        <x:v>360</x:v>
      </x:c>
      <x:c r="O620" s="56" t="str">
        <x:f>IF(N620=360,"通过","失败")</x:f>
        <x:v>通过</x:v>
      </x:c>
      <x:c r="P620" s="56" t="str"/>
      <x:c r="Q620" s="59" t="str">
        <x:v>待确认</x:v>
      </x:c>
    </x:row>
    <x:row r="621">
      <x:c r="A621" s="56" t="str">
        <x:v>P016</x:v>
      </x:c>
      <x:c r="B621" s="56" t="str">
        <x:v>HX-ADD-004</x:v>
      </x:c>
      <x:c r="C621" s="56" t="str">
        <x:v>history</x:v>
      </x:c>
      <x:c r="D621" s="56" t="n">
        <x:v>50</x:v>
      </x:c>
      <x:c r="E621" s="56" t="str">
        <x:v>history.fever_chills</x:v>
      </x:c>
      <x:c r="F621" s="56" t="str">
        <x:v>fever_chills</x:v>
      </x:c>
      <x:c r="G621" s="56" t="n">
        <x:v>4</x:v>
      </x:c>
      <x:c r="H621" s="56" t="str">
        <x:v>普通得分项</x:v>
      </x:c>
      <x:c r="I621" s="56" t="str">
        <x:v>否</x:v>
      </x:c>
      <x:c r="J621" s="56" t="str">
        <x:v>否</x:v>
      </x:c>
      <x:c r="K621" s="56" t="str">
        <x:v>否</x:v>
      </x:c>
      <x:c r="L621" s="56" t="str">
        <x:v>按结构化事件证据给予0/部分/满分；不能由总结反推已完成</x:v>
      </x:c>
      <x:c r="M621" s="56" t="str"/>
      <x:c r="N621" s="56" t="n">
        <x:f>SUMIFS($G$4:$G$1673,$A$4:$A$1673,A621)</x:f>
        <x:v>360</x:v>
      </x:c>
      <x:c r="O621" s="56" t="str">
        <x:f>IF(N621=360,"通过","失败")</x:f>
        <x:v>通过</x:v>
      </x:c>
      <x:c r="P621" s="56" t="str"/>
      <x:c r="Q621" s="59" t="str">
        <x:v>待确认</x:v>
      </x:c>
    </x:row>
    <x:row r="622">
      <x:c r="A622" s="56" t="str">
        <x:v>P016</x:v>
      </x:c>
      <x:c r="B622" s="56" t="str">
        <x:v>HX-ADD-004</x:v>
      </x:c>
      <x:c r="C622" s="56" t="str">
        <x:v>risk</x:v>
      </x:c>
      <x:c r="D622" s="56" t="n">
        <x:v>40</x:v>
      </x:c>
      <x:c r="E622" s="56" t="str">
        <x:v>risk.smoking</x:v>
      </x:c>
      <x:c r="F622" s="56" t="str">
        <x:v>smoking</x:v>
      </x:c>
      <x:c r="G622" s="56" t="n">
        <x:v>8</x:v>
      </x:c>
      <x:c r="H622" s="56" t="str">
        <x:v>普通得分项</x:v>
      </x:c>
      <x:c r="I622" s="56" t="str">
        <x:v>否</x:v>
      </x:c>
      <x:c r="J622" s="56" t="str">
        <x:v>否</x:v>
      </x:c>
      <x:c r="K622" s="56" t="str">
        <x:v>否</x:v>
      </x:c>
      <x:c r="L622" s="56" t="str">
        <x:v>按结构化事件证据给予0/部分/满分；不能由总结反推已完成</x:v>
      </x:c>
      <x:c r="M622" s="56" t="str"/>
      <x:c r="N622" s="56" t="n">
        <x:f>SUMIFS($G$4:$G$1673,$A$4:$A$1673,A622)</x:f>
        <x:v>360</x:v>
      </x:c>
      <x:c r="O622" s="56" t="str">
        <x:f>IF(N622=360,"通过","失败")</x:f>
        <x:v>通过</x:v>
      </x:c>
      <x:c r="P622" s="56" t="str"/>
      <x:c r="Q622" s="59" t="str">
        <x:v>待确认</x:v>
      </x:c>
    </x:row>
    <x:row r="623">
      <x:c r="A623" s="56" t="str">
        <x:v>P016</x:v>
      </x:c>
      <x:c r="B623" s="56" t="str">
        <x:v>HX-ADD-004</x:v>
      </x:c>
      <x:c r="C623" s="56" t="str">
        <x:v>risk</x:v>
      </x:c>
      <x:c r="D623" s="56" t="n">
        <x:v>40</x:v>
      </x:c>
      <x:c r="E623" s="56" t="str">
        <x:v>risk.occupation_exposure</x:v>
      </x:c>
      <x:c r="F623" s="56" t="str">
        <x:v>occupation_exposure</x:v>
      </x:c>
      <x:c r="G623" s="56" t="n">
        <x:v>8</x:v>
      </x:c>
      <x:c r="H623" s="56" t="str">
        <x:v>普通得分项</x:v>
      </x:c>
      <x:c r="I623" s="56" t="str">
        <x:v>否</x:v>
      </x:c>
      <x:c r="J623" s="56" t="str">
        <x:v>否</x:v>
      </x:c>
      <x:c r="K623" s="56" t="str">
        <x:v>否</x:v>
      </x:c>
      <x:c r="L623" s="56" t="str">
        <x:v>按结构化事件证据给予0/部分/满分；不能由总结反推已完成</x:v>
      </x:c>
      <x:c r="M623" s="56" t="str"/>
      <x:c r="N623" s="56" t="n">
        <x:f>SUMIFS($G$4:$G$1673,$A$4:$A$1673,A623)</x:f>
        <x:v>360</x:v>
      </x:c>
      <x:c r="O623" s="56" t="str">
        <x:f>IF(N623=360,"通过","失败")</x:f>
        <x:v>通过</x:v>
      </x:c>
      <x:c r="P623" s="56" t="str"/>
      <x:c r="Q623" s="59" t="str">
        <x:v>待确认</x:v>
      </x:c>
    </x:row>
    <x:row r="624">
      <x:c r="A624" s="56" t="str">
        <x:v>P016</x:v>
      </x:c>
      <x:c r="B624" s="56" t="str">
        <x:v>HX-ADD-004</x:v>
      </x:c>
      <x:c r="C624" s="56" t="str">
        <x:v>risk</x:v>
      </x:c>
      <x:c r="D624" s="56" t="n">
        <x:v>40</x:v>
      </x:c>
      <x:c r="E624" s="56" t="str">
        <x:v>risk.tumor_history</x:v>
      </x:c>
      <x:c r="F624" s="56" t="str">
        <x:v>tumor_history</x:v>
      </x:c>
      <x:c r="G624" s="56" t="n">
        <x:v>8</x:v>
      </x:c>
      <x:c r="H624" s="56" t="str">
        <x:v>普通得分项</x:v>
      </x:c>
      <x:c r="I624" s="56" t="str">
        <x:v>否</x:v>
      </x:c>
      <x:c r="J624" s="56" t="str">
        <x:v>否</x:v>
      </x:c>
      <x:c r="K624" s="56" t="str">
        <x:v>否</x:v>
      </x:c>
      <x:c r="L624" s="56" t="str">
        <x:v>按结构化事件证据给予0/部分/满分；不能由总结反推已完成</x:v>
      </x:c>
      <x:c r="M624" s="56" t="str"/>
      <x:c r="N624" s="56" t="n">
        <x:f>SUMIFS($G$4:$G$1673,$A$4:$A$1673,A624)</x:f>
        <x:v>360</x:v>
      </x:c>
      <x:c r="O624" s="56" t="str">
        <x:f>IF(N624=360,"通过","失败")</x:f>
        <x:v>通过</x:v>
      </x:c>
      <x:c r="P624" s="56" t="str"/>
      <x:c r="Q624" s="59" t="str">
        <x:v>待确认</x:v>
      </x:c>
    </x:row>
    <x:row r="625">
      <x:c r="A625" s="56" t="str">
        <x:v>P016</x:v>
      </x:c>
      <x:c r="B625" s="56" t="str">
        <x:v>HX-ADD-004</x:v>
      </x:c>
      <x:c r="C625" s="56" t="str">
        <x:v>risk</x:v>
      </x:c>
      <x:c r="D625" s="56" t="n">
        <x:v>40</x:v>
      </x:c>
      <x:c r="E625" s="56" t="str">
        <x:v>risk.anticoagulant</x:v>
      </x:c>
      <x:c r="F625" s="56" t="str">
        <x:v>anticoagulant</x:v>
      </x:c>
      <x:c r="G625" s="56" t="n">
        <x:v>8</x:v>
      </x:c>
      <x:c r="H625" s="56" t="str">
        <x:v>普通得分项</x:v>
      </x:c>
      <x:c r="I625" s="56" t="str">
        <x:v>否</x:v>
      </x:c>
      <x:c r="J625" s="56" t="str">
        <x:v>否</x:v>
      </x:c>
      <x:c r="K625" s="56" t="str">
        <x:v>否</x:v>
      </x:c>
      <x:c r="L625" s="56" t="str">
        <x:v>按结构化事件证据给予0/部分/满分；不能由总结反推已完成</x:v>
      </x:c>
      <x:c r="M625" s="56" t="str"/>
      <x:c r="N625" s="56" t="n">
        <x:f>SUMIFS($G$4:$G$1673,$A$4:$A$1673,A625)</x:f>
        <x:v>360</x:v>
      </x:c>
      <x:c r="O625" s="56" t="str">
        <x:f>IF(N625=360,"通过","失败")</x:f>
        <x:v>通过</x:v>
      </x:c>
      <x:c r="P625" s="56" t="str"/>
      <x:c r="Q625" s="59" t="str">
        <x:v>待确认</x:v>
      </x:c>
    </x:row>
    <x:row r="626">
      <x:c r="A626" s="56" t="str">
        <x:v>P016</x:v>
      </x:c>
      <x:c r="B626" s="56" t="str">
        <x:v>HX-ADD-004</x:v>
      </x:c>
      <x:c r="C626" s="56" t="str">
        <x:v>risk</x:v>
      </x:c>
      <x:c r="D626" s="56" t="n">
        <x:v>40</x:v>
      </x:c>
      <x:c r="E626" s="56" t="str">
        <x:v>risk.antiplatelet</x:v>
      </x:c>
      <x:c r="F626" s="56" t="str">
        <x:v>antiplatelet</x:v>
      </x:c>
      <x:c r="G626" s="56" t="n">
        <x:v>8</x:v>
      </x:c>
      <x:c r="H626" s="56" t="str">
        <x:v>普通得分项</x:v>
      </x:c>
      <x:c r="I626" s="56" t="str">
        <x:v>否</x:v>
      </x:c>
      <x:c r="J626" s="56" t="str">
        <x:v>否</x:v>
      </x:c>
      <x:c r="K626" s="56" t="str">
        <x:v>否</x:v>
      </x:c>
      <x:c r="L626" s="56" t="str">
        <x:v>按结构化事件证据给予0/部分/满分；不能由总结反推已完成</x:v>
      </x:c>
      <x:c r="M626" s="56" t="str"/>
      <x:c r="N626" s="56" t="n">
        <x:f>SUMIFS($G$4:$G$1673,$A$4:$A$1673,A626)</x:f>
        <x:v>360</x:v>
      </x:c>
      <x:c r="O626" s="56" t="str">
        <x:f>IF(N626=360,"通过","失败")</x:f>
        <x:v>通过</x:v>
      </x:c>
      <x:c r="P626" s="56" t="str"/>
      <x:c r="Q626" s="59" t="str">
        <x:v>待确认</x:v>
      </x:c>
    </x:row>
    <x:row r="627">
      <x:c r="A627" s="56" t="str">
        <x:v>P016</x:v>
      </x:c>
      <x:c r="B627" s="56" t="str">
        <x:v>HX-ADD-004</x:v>
      </x:c>
      <x:c r="C627" s="56" t="str">
        <x:v>exam</x:v>
      </x:c>
      <x:c r="D627" s="56" t="n">
        <x:v>35</x:v>
      </x:c>
      <x:c r="E627" s="56" t="str">
        <x:v>exam.temperature</x:v>
      </x:c>
      <x:c r="F627" s="56" t="str">
        <x:v>体温</x:v>
      </x:c>
      <x:c r="G627" s="56" t="n">
        <x:v>12</x:v>
      </x:c>
      <x:c r="H627" s="56" t="str">
        <x:v>普通得分项</x:v>
      </x:c>
      <x:c r="I627" s="56" t="str">
        <x:v>否</x:v>
      </x:c>
      <x:c r="J627" s="56" t="str">
        <x:v>否</x:v>
      </x:c>
      <x:c r="K627" s="56" t="str">
        <x:v>否</x:v>
      </x:c>
      <x:c r="L627" s="56" t="str">
        <x:v>按结构化事件证据给予0/部分/满分；不能由总结反推已完成</x:v>
      </x:c>
      <x:c r="M627" s="56" t="str"/>
      <x:c r="N627" s="56" t="n">
        <x:f>SUMIFS($G$4:$G$1673,$A$4:$A$1673,A627)</x:f>
        <x:v>360</x:v>
      </x:c>
      <x:c r="O627" s="56" t="str">
        <x:f>IF(N627=360,"通过","失败")</x:f>
        <x:v>通过</x:v>
      </x:c>
      <x:c r="P627" s="56" t="str"/>
      <x:c r="Q627" s="59" t="str">
        <x:v>待确认</x:v>
      </x:c>
    </x:row>
    <x:row r="628">
      <x:c r="A628" s="56" t="str">
        <x:v>P016</x:v>
      </x:c>
      <x:c r="B628" s="56" t="str">
        <x:v>HX-ADD-004</x:v>
      </x:c>
      <x:c r="C628" s="56" t="str">
        <x:v>exam</x:v>
      </x:c>
      <x:c r="D628" s="56" t="n">
        <x:v>35</x:v>
      </x:c>
      <x:c r="E628" s="56" t="str">
        <x:v>exam.blood_pressure</x:v>
      </x:c>
      <x:c r="F628" s="56" t="str">
        <x:v>血压</x:v>
      </x:c>
      <x:c r="G628" s="56" t="n">
        <x:v>12</x:v>
      </x:c>
      <x:c r="H628" s="56" t="str">
        <x:v>普通得分项</x:v>
      </x:c>
      <x:c r="I628" s="56" t="str">
        <x:v>否</x:v>
      </x:c>
      <x:c r="J628" s="56" t="str">
        <x:v>否</x:v>
      </x:c>
      <x:c r="K628" s="56" t="str">
        <x:v>否</x:v>
      </x:c>
      <x:c r="L628" s="56" t="str">
        <x:v>按结构化事件证据给予0/部分/满分；不能由总结反推已完成</x:v>
      </x:c>
      <x:c r="M628" s="56" t="str"/>
      <x:c r="N628" s="56" t="n">
        <x:f>SUMIFS($G$4:$G$1673,$A$4:$A$1673,A628)</x:f>
        <x:v>360</x:v>
      </x:c>
      <x:c r="O628" s="56" t="str">
        <x:f>IF(N628=360,"通过","失败")</x:f>
        <x:v>通过</x:v>
      </x:c>
      <x:c r="P628" s="56" t="str"/>
      <x:c r="Q628" s="59" t="str">
        <x:v>待确认</x:v>
      </x:c>
    </x:row>
    <x:row r="629">
      <x:c r="A629" s="56" t="str">
        <x:v>P016</x:v>
      </x:c>
      <x:c r="B629" s="56" t="str">
        <x:v>HX-ADD-004</x:v>
      </x:c>
      <x:c r="C629" s="56" t="str">
        <x:v>exam</x:v>
      </x:c>
      <x:c r="D629" s="56" t="n">
        <x:v>35</x:v>
      </x:c>
      <x:c r="E629" s="56" t="str">
        <x:v>exam.targeted</x:v>
      </x:c>
      <x:c r="F629" s="56" t="str">
        <x:v>病例针对性查体</x:v>
      </x:c>
      <x:c r="G629" s="56" t="n">
        <x:v>11</x:v>
      </x:c>
      <x:c r="H629" s="56" t="str">
        <x:v>普通得分项</x:v>
      </x:c>
      <x:c r="I629" s="56" t="str">
        <x:v>否</x:v>
      </x:c>
      <x:c r="J629" s="56" t="str">
        <x:v>否</x:v>
      </x:c>
      <x:c r="K629" s="56" t="str">
        <x:v>否</x:v>
      </x:c>
      <x:c r="L629" s="56" t="str">
        <x:v>按结构化事件证据给予0/部分/满分；不能由总结反推已完成</x:v>
      </x:c>
      <x:c r="M629" s="56" t="str"/>
      <x:c r="N629" s="56" t="n">
        <x:f>SUMIFS($G$4:$G$1673,$A$4:$A$1673,A629)</x:f>
        <x:v>360</x:v>
      </x:c>
      <x:c r="O629" s="56" t="str">
        <x:f>IF(N629=360,"通过","失败")</x:f>
        <x:v>通过</x:v>
      </x:c>
      <x:c r="P629" s="56" t="str"/>
      <x:c r="Q629" s="59" t="str">
        <x:v>待确认</x:v>
      </x:c>
    </x:row>
    <x:row r="630">
      <x:c r="A630" s="56" t="str">
        <x:v>P016</x:v>
      </x:c>
      <x:c r="B630" s="56" t="str">
        <x:v>HX-ADD-004</x:v>
      </x:c>
      <x:c r="C630" s="56" t="str">
        <x:v>diagnosis</x:v>
      </x:c>
      <x:c r="D630" s="56" t="n">
        <x:v>45</x:v>
      </x:c>
      <x:c r="E630" s="56" t="str">
        <x:v>diagnosis.primary</x:v>
      </x:c>
      <x:c r="F630" s="56" t="str">
        <x:v>最可能诊断及依据</x:v>
      </x:c>
      <x:c r="G630" s="56" t="n">
        <x:v>15</x:v>
      </x:c>
      <x:c r="H630" s="56" t="str">
        <x:v>普通得分项</x:v>
      </x:c>
      <x:c r="I630" s="56" t="str">
        <x:v>否</x:v>
      </x:c>
      <x:c r="J630" s="56" t="str">
        <x:v>否</x:v>
      </x:c>
      <x:c r="K630" s="56" t="str">
        <x:v>否</x:v>
      </x:c>
      <x:c r="L630" s="56" t="str">
        <x:v>按结构化事件证据给予0/部分/满分；不能由总结反推已完成</x:v>
      </x:c>
      <x:c r="M630" s="56" t="str"/>
      <x:c r="N630" s="56" t="n">
        <x:f>SUMIFS($G$4:$G$1673,$A$4:$A$1673,A630)</x:f>
        <x:v>360</x:v>
      </x:c>
      <x:c r="O630" s="56" t="str">
        <x:f>IF(N630=360,"通过","失败")</x:f>
        <x:v>通过</x:v>
      </x:c>
      <x:c r="P630" s="56" t="str"/>
      <x:c r="Q630" s="59" t="str">
        <x:v>待确认</x:v>
      </x:c>
    </x:row>
    <x:row r="631">
      <x:c r="A631" s="56" t="str">
        <x:v>P016</x:v>
      </x:c>
      <x:c r="B631" s="56" t="str">
        <x:v>HX-ADD-004</x:v>
      </x:c>
      <x:c r="C631" s="56" t="str">
        <x:v>diagnosis</x:v>
      </x:c>
      <x:c r="D631" s="56" t="n">
        <x:v>45</x:v>
      </x:c>
      <x:c r="E631" s="56" t="str">
        <x:v>diagnosis.differentials</x:v>
      </x:c>
      <x:c r="F631" s="56" t="str">
        <x:v>至少3项鉴别及支持/反对点</x:v>
      </x:c>
      <x:c r="G631" s="56" t="n">
        <x:v>15</x:v>
      </x:c>
      <x:c r="H631" s="56" t="str">
        <x:v>普通得分项</x:v>
      </x:c>
      <x:c r="I631" s="56" t="str">
        <x:v>否</x:v>
      </x:c>
      <x:c r="J631" s="56" t="str">
        <x:v>否</x:v>
      </x:c>
      <x:c r="K631" s="56" t="str">
        <x:v>否</x:v>
      </x:c>
      <x:c r="L631" s="56" t="str">
        <x:v>按结构化事件证据给予0/部分/满分；不能由总结反推已完成</x:v>
      </x:c>
      <x:c r="M631" s="56" t="str"/>
      <x:c r="N631" s="56" t="n">
        <x:f>SUMIFS($G$4:$G$1673,$A$4:$A$1673,A631)</x:f>
        <x:v>360</x:v>
      </x:c>
      <x:c r="O631" s="56" t="str">
        <x:f>IF(N631=360,"通过","失败")</x:f>
        <x:v>通过</x:v>
      </x:c>
      <x:c r="P631" s="56" t="str"/>
      <x:c r="Q631" s="59" t="str">
        <x:v>待确认</x:v>
      </x:c>
    </x:row>
    <x:row r="632">
      <x:c r="A632" s="56" t="str">
        <x:v>P016</x:v>
      </x:c>
      <x:c r="B632" s="56" t="str">
        <x:v>HX-ADD-004</x:v>
      </x:c>
      <x:c r="C632" s="56" t="str">
        <x:v>diagnosis</x:v>
      </x:c>
      <x:c r="D632" s="56" t="n">
        <x:v>45</x:v>
      </x:c>
      <x:c r="E632" s="56" t="str">
        <x:v>diagnosis.confirmation</x:v>
      </x:c>
      <x:c r="F632" s="56" t="str">
        <x:v>确认计划</x:v>
      </x:c>
      <x:c r="G632" s="56" t="n">
        <x:v>15</x:v>
      </x:c>
      <x:c r="H632" s="56" t="str">
        <x:v>普通得分项</x:v>
      </x:c>
      <x:c r="I632" s="56" t="str">
        <x:v>否</x:v>
      </x:c>
      <x:c r="J632" s="56" t="str">
        <x:v>否</x:v>
      </x:c>
      <x:c r="K632" s="56" t="str">
        <x:v>否</x:v>
      </x:c>
      <x:c r="L632" s="56" t="str">
        <x:v>按结构化事件证据给予0/部分/满分；不能由总结反推已完成</x:v>
      </x:c>
      <x:c r="M632" s="56" t="str"/>
      <x:c r="N632" s="56" t="n">
        <x:f>SUMIFS($G$4:$G$1673,$A$4:$A$1673,A632)</x:f>
        <x:v>360</x:v>
      </x:c>
      <x:c r="O632" s="56" t="str">
        <x:f>IF(N632=360,"通过","失败")</x:f>
        <x:v>通过</x:v>
      </x:c>
      <x:c r="P632" s="56" t="str"/>
      <x:c r="Q632" s="59" t="str">
        <x:v>待确认</x:v>
      </x:c>
    </x:row>
    <x:row r="633">
      <x:c r="A633" s="56" t="str">
        <x:v>P016</x:v>
      </x:c>
      <x:c r="B633" s="56" t="str">
        <x:v>HX-ADD-004</x:v>
      </x:c>
      <x:c r="C633" s="56" t="str">
        <x:v>orders</x:v>
      </x:c>
      <x:c r="D633" s="56" t="n">
        <x:v>55</x:v>
      </x:c>
      <x:c r="E633" s="56" t="str">
        <x:v>orders.LAB-UR-001</x:v>
      </x:c>
      <x:c r="F633" s="56" t="str">
        <x:v>LAB-UR-001</x:v>
      </x:c>
      <x:c r="G633" s="56" t="n">
        <x:v>10</x:v>
      </x:c>
      <x:c r="H633" s="56" t="str">
        <x:v>病例特异得分项</x:v>
      </x:c>
      <x:c r="I633" s="56" t="str">
        <x:v>否</x:v>
      </x:c>
      <x:c r="J633" s="56" t="str">
        <x:v>否</x:v>
      </x:c>
      <x:c r="K633" s="56" t="str">
        <x:v>否</x:v>
      </x:c>
      <x:c r="L633" s="56" t="str">
        <x:v>按结构化事件证据给予0/部分/满分；不能由总结反推已完成</x:v>
      </x:c>
      <x:c r="M633" s="56" t="str"/>
      <x:c r="N633" s="56" t="n">
        <x:f>SUMIFS($G$4:$G$1673,$A$4:$A$1673,A633)</x:f>
        <x:v>360</x:v>
      </x:c>
      <x:c r="O633" s="56" t="str">
        <x:f>IF(N633=360,"通过","失败")</x:f>
        <x:v>通过</x:v>
      </x:c>
      <x:c r="P633" s="56" t="str"/>
      <x:c r="Q633" s="59" t="str">
        <x:v>待确认</x:v>
      </x:c>
    </x:row>
    <x:row r="634">
      <x:c r="A634" s="56" t="str">
        <x:v>P016</x:v>
      </x:c>
      <x:c r="B634" s="56" t="str">
        <x:v>HX-ADD-004</x:v>
      </x:c>
      <x:c r="C634" s="56" t="str">
        <x:v>orders</x:v>
      </x:c>
      <x:c r="D634" s="56" t="n">
        <x:v>55</x:v>
      </x:c>
      <x:c r="E634" s="56" t="str">
        <x:v>orders.LAB-UR-002</x:v>
      </x:c>
      <x:c r="F634" s="56" t="str">
        <x:v>LAB-UR-002</x:v>
      </x:c>
      <x:c r="G634" s="56" t="n">
        <x:v>9</x:v>
      </x:c>
      <x:c r="H634" s="56" t="str">
        <x:v>病例特异得分项</x:v>
      </x:c>
      <x:c r="I634" s="56" t="str">
        <x:v>否</x:v>
      </x:c>
      <x:c r="J634" s="56" t="str">
        <x:v>否</x:v>
      </x:c>
      <x:c r="K634" s="56" t="str">
        <x:v>否</x:v>
      </x:c>
      <x:c r="L634" s="56" t="str">
        <x:v>按结构化事件证据给予0/部分/满分；不能由总结反推已完成</x:v>
      </x:c>
      <x:c r="M634" s="56" t="str"/>
      <x:c r="N634" s="56" t="n">
        <x:f>SUMIFS($G$4:$G$1673,$A$4:$A$1673,A634)</x:f>
        <x:v>360</x:v>
      </x:c>
      <x:c r="O634" s="56" t="str">
        <x:f>IF(N634=360,"通过","失败")</x:f>
        <x:v>通过</x:v>
      </x:c>
      <x:c r="P634" s="56" t="str"/>
      <x:c r="Q634" s="59" t="str">
        <x:v>待确认</x:v>
      </x:c>
    </x:row>
    <x:row r="635">
      <x:c r="A635" s="56" t="str">
        <x:v>P016</x:v>
      </x:c>
      <x:c r="B635" s="56" t="str">
        <x:v>HX-ADD-004</x:v>
      </x:c>
      <x:c r="C635" s="56" t="str">
        <x:v>orders</x:v>
      </x:c>
      <x:c r="D635" s="56" t="n">
        <x:v>55</x:v>
      </x:c>
      <x:c r="E635" s="56" t="str">
        <x:v>orders.LAB-UR-006</x:v>
      </x:c>
      <x:c r="F635" s="56" t="str">
        <x:v>LAB-UR-006</x:v>
      </x:c>
      <x:c r="G635" s="56" t="n">
        <x:v>9</x:v>
      </x:c>
      <x:c r="H635" s="56" t="str">
        <x:v>病例特异得分项</x:v>
      </x:c>
      <x:c r="I635" s="56" t="str">
        <x:v>否</x:v>
      </x:c>
      <x:c r="J635" s="56" t="str">
        <x:v>否</x:v>
      </x:c>
      <x:c r="K635" s="56" t="str">
        <x:v>否</x:v>
      </x:c>
      <x:c r="L635" s="56" t="str">
        <x:v>按结构化事件证据给予0/部分/满分；不能由总结反推已完成</x:v>
      </x:c>
      <x:c r="M635" s="56" t="str"/>
      <x:c r="N635" s="56" t="n">
        <x:f>SUMIFS($G$4:$G$1673,$A$4:$A$1673,A635)</x:f>
        <x:v>360</x:v>
      </x:c>
      <x:c r="O635" s="56" t="str">
        <x:f>IF(N635=360,"通过","失败")</x:f>
        <x:v>通过</x:v>
      </x:c>
      <x:c r="P635" s="56" t="str"/>
      <x:c r="Q635" s="59" t="str">
        <x:v>待确认</x:v>
      </x:c>
    </x:row>
    <x:row r="636">
      <x:c r="A636" s="56" t="str">
        <x:v>P016</x:v>
      </x:c>
      <x:c r="B636" s="56" t="str">
        <x:v>HX-ADD-004</x:v>
      </x:c>
      <x:c r="C636" s="56" t="str">
        <x:v>orders</x:v>
      </x:c>
      <x:c r="D636" s="56" t="n">
        <x:v>55</x:v>
      </x:c>
      <x:c r="E636" s="56" t="str">
        <x:v>orders.LAB-BL-003</x:v>
      </x:c>
      <x:c r="F636" s="56" t="str">
        <x:v>LAB-BL-003</x:v>
      </x:c>
      <x:c r="G636" s="56" t="n">
        <x:v>9</x:v>
      </x:c>
      <x:c r="H636" s="56" t="str">
        <x:v>病例特异得分项</x:v>
      </x:c>
      <x:c r="I636" s="56" t="str">
        <x:v>否</x:v>
      </x:c>
      <x:c r="J636" s="56" t="str">
        <x:v>否</x:v>
      </x:c>
      <x:c r="K636" s="56" t="str">
        <x:v>否</x:v>
      </x:c>
      <x:c r="L636" s="56" t="str">
        <x:v>按结构化事件证据给予0/部分/满分；不能由总结反推已完成</x:v>
      </x:c>
      <x:c r="M636" s="56" t="str"/>
      <x:c r="N636" s="56" t="n">
        <x:f>SUMIFS($G$4:$G$1673,$A$4:$A$1673,A636)</x:f>
        <x:v>360</x:v>
      </x:c>
      <x:c r="O636" s="56" t="str">
        <x:f>IF(N636=360,"通过","失败")</x:f>
        <x:v>通过</x:v>
      </x:c>
      <x:c r="P636" s="56" t="str"/>
      <x:c r="Q636" s="59" t="str">
        <x:v>待确认</x:v>
      </x:c>
    </x:row>
    <x:row r="637">
      <x:c r="A637" s="56" t="str">
        <x:v>P016</x:v>
      </x:c>
      <x:c r="B637" s="56" t="str">
        <x:v>HX-ADD-004</x:v>
      </x:c>
      <x:c r="C637" s="56" t="str">
        <x:v>orders</x:v>
      </x:c>
      <x:c r="D637" s="56" t="n">
        <x:v>55</x:v>
      </x:c>
      <x:c r="E637" s="56" t="str">
        <x:v>orders.IMG-CT-002</x:v>
      </x:c>
      <x:c r="F637" s="56" t="str">
        <x:v>IMG-CT-002</x:v>
      </x:c>
      <x:c r="G637" s="56" t="n">
        <x:v>9</x:v>
      </x:c>
      <x:c r="H637" s="56" t="str">
        <x:v>病例特异得分项</x:v>
      </x:c>
      <x:c r="I637" s="56" t="str">
        <x:v>否</x:v>
      </x:c>
      <x:c r="J637" s="56" t="str">
        <x:v>否</x:v>
      </x:c>
      <x:c r="K637" s="56" t="str">
        <x:v>否</x:v>
      </x:c>
      <x:c r="L637" s="56" t="str">
        <x:v>按结构化事件证据给予0/部分/满分；不能由总结反推已完成</x:v>
      </x:c>
      <x:c r="M637" s="56" t="str"/>
      <x:c r="N637" s="56" t="n">
        <x:f>SUMIFS($G$4:$G$1673,$A$4:$A$1673,A637)</x:f>
        <x:v>360</x:v>
      </x:c>
      <x:c r="O637" s="56" t="str">
        <x:f>IF(N637=360,"通过","失败")</x:f>
        <x:v>通过</x:v>
      </x:c>
      <x:c r="P637" s="56" t="str"/>
      <x:c r="Q637" s="59" t="str">
        <x:v>待确认</x:v>
      </x:c>
    </x:row>
    <x:row r="638">
      <x:c r="A638" s="56" t="str">
        <x:v>P016</x:v>
      </x:c>
      <x:c r="B638" s="56" t="str">
        <x:v>HX-ADD-004</x:v>
      </x:c>
      <x:c r="C638" s="56" t="str">
        <x:v>orders</x:v>
      </x:c>
      <x:c r="D638" s="56" t="n">
        <x:v>55</x:v>
      </x:c>
      <x:c r="E638" s="56" t="str">
        <x:v>orders.END-001</x:v>
      </x:c>
      <x:c r="F638" s="56" t="str">
        <x:v>END-001</x:v>
      </x:c>
      <x:c r="G638" s="56" t="n">
        <x:v>9</x:v>
      </x:c>
      <x:c r="H638" s="56" t="str">
        <x:v>病例特异得分项</x:v>
      </x:c>
      <x:c r="I638" s="56" t="str">
        <x:v>否</x:v>
      </x:c>
      <x:c r="J638" s="56" t="str">
        <x:v>否</x:v>
      </x:c>
      <x:c r="K638" s="56" t="str">
        <x:v>否</x:v>
      </x:c>
      <x:c r="L638" s="56" t="str">
        <x:v>按结构化事件证据给予0/部分/满分；不能由总结反推已完成</x:v>
      </x:c>
      <x:c r="M638" s="56" t="str"/>
      <x:c r="N638" s="56" t="n">
        <x:f>SUMIFS($G$4:$G$1673,$A$4:$A$1673,A638)</x:f>
        <x:v>360</x:v>
      </x:c>
      <x:c r="O638" s="56" t="str">
        <x:f>IF(N638=360,"通过","失败")</x:f>
        <x:v>通过</x:v>
      </x:c>
      <x:c r="P638" s="56" t="str"/>
      <x:c r="Q638" s="59" t="str">
        <x:v>待确认</x:v>
      </x:c>
    </x:row>
    <x:row r="639">
      <x:c r="A639" s="56" t="str">
        <x:v>P016</x:v>
      </x:c>
      <x:c r="B639" s="56" t="str">
        <x:v>HX-ADD-004</x:v>
      </x:c>
      <x:c r="C639" s="56" t="str">
        <x:v>mdt</x:v>
      </x:c>
      <x:c r="D639" s="56" t="n">
        <x:v>45</x:v>
      </x:c>
      <x:c r="E639" s="56" t="str">
        <x:v>mdt.department</x:v>
      </x:c>
      <x:c r="F639" s="56" t="str">
        <x:v>department</x:v>
      </x:c>
      <x:c r="G639" s="56" t="n">
        <x:v>12</x:v>
      </x:c>
      <x:c r="H639" s="56" t="str">
        <x:v>病例特异得分项</x:v>
      </x:c>
      <x:c r="I639" s="56" t="str">
        <x:v>否</x:v>
      </x:c>
      <x:c r="J639" s="56" t="str">
        <x:v>否</x:v>
      </x:c>
      <x:c r="K639" s="56" t="str">
        <x:v>否</x:v>
      </x:c>
      <x:c r="L639" s="56" t="str">
        <x:v>按结构化事件证据给予0/部分/满分；不能由总结反推已完成</x:v>
      </x:c>
      <x:c r="M639" s="56" t="str"/>
      <x:c r="N639" s="56" t="n">
        <x:f>SUMIFS($G$4:$G$1673,$A$4:$A$1673,A639)</x:f>
        <x:v>360</x:v>
      </x:c>
      <x:c r="O639" s="56" t="str">
        <x:f>IF(N639=360,"通过","失败")</x:f>
        <x:v>通过</x:v>
      </x:c>
      <x:c r="P639" s="56" t="str"/>
      <x:c r="Q639" s="59" t="str">
        <x:v>待确认</x:v>
      </x:c>
    </x:row>
    <x:row r="640">
      <x:c r="A640" s="56" t="str">
        <x:v>P016</x:v>
      </x:c>
      <x:c r="B640" s="56" t="str">
        <x:v>HX-ADD-004</x:v>
      </x:c>
      <x:c r="C640" s="56" t="str">
        <x:v>mdt</x:v>
      </x:c>
      <x:c r="D640" s="56" t="n">
        <x:v>45</x:v>
      </x:c>
      <x:c r="E640" s="56" t="str">
        <x:v>mdt.trigger</x:v>
      </x:c>
      <x:c r="F640" s="56" t="str">
        <x:v>trigger</x:v>
      </x:c>
      <x:c r="G640" s="56" t="n">
        <x:v>11</x:v>
      </x:c>
      <x:c r="H640" s="56" t="str">
        <x:v>病例特异得分项</x:v>
      </x:c>
      <x:c r="I640" s="56" t="str">
        <x:v>否</x:v>
      </x:c>
      <x:c r="J640" s="56" t="str">
        <x:v>否</x:v>
      </x:c>
      <x:c r="K640" s="56" t="str">
        <x:v>否</x:v>
      </x:c>
      <x:c r="L640" s="56" t="str">
        <x:v>按结构化事件证据给予0/部分/满分；不能由总结反推已完成</x:v>
      </x:c>
      <x:c r="M640" s="56" t="str"/>
      <x:c r="N640" s="56" t="n">
        <x:f>SUMIFS($G$4:$G$1673,$A$4:$A$1673,A640)</x:f>
        <x:v>360</x:v>
      </x:c>
      <x:c r="O640" s="56" t="str">
        <x:f>IF(N640=360,"通过","失败")</x:f>
        <x:v>通过</x:v>
      </x:c>
      <x:c r="P640" s="56" t="str"/>
      <x:c r="Q640" s="59" t="str">
        <x:v>待确认</x:v>
      </x:c>
    </x:row>
    <x:row r="641">
      <x:c r="A641" s="56" t="str">
        <x:v>P016</x:v>
      </x:c>
      <x:c r="B641" s="56" t="str">
        <x:v>HX-ADD-004</x:v>
      </x:c>
      <x:c r="C641" s="56" t="str">
        <x:v>mdt</x:v>
      </x:c>
      <x:c r="D641" s="56" t="n">
        <x:v>45</x:v>
      </x:c>
      <x:c r="E641" s="56" t="str">
        <x:v>mdt.question</x:v>
      </x:c>
      <x:c r="F641" s="56" t="str">
        <x:v>question</x:v>
      </x:c>
      <x:c r="G641" s="56" t="n">
        <x:v>11</x:v>
      </x:c>
      <x:c r="H641" s="56" t="str">
        <x:v>病例特异得分项</x:v>
      </x:c>
      <x:c r="I641" s="56" t="str">
        <x:v>否</x:v>
      </x:c>
      <x:c r="J641" s="56" t="str">
        <x:v>否</x:v>
      </x:c>
      <x:c r="K641" s="56" t="str">
        <x:v>否</x:v>
      </x:c>
      <x:c r="L641" s="56" t="str">
        <x:v>按结构化事件证据给予0/部分/满分；不能由总结反推已完成</x:v>
      </x:c>
      <x:c r="M641" s="56" t="str"/>
      <x:c r="N641" s="56" t="n">
        <x:f>SUMIFS($G$4:$G$1673,$A$4:$A$1673,A641)</x:f>
        <x:v>360</x:v>
      </x:c>
      <x:c r="O641" s="56" t="str">
        <x:f>IF(N641=360,"通过","失败")</x:f>
        <x:v>通过</x:v>
      </x:c>
      <x:c r="P641" s="56" t="str"/>
      <x:c r="Q641" s="59" t="str">
        <x:v>待确认</x:v>
      </x:c>
    </x:row>
    <x:row r="642">
      <x:c r="A642" s="56" t="str">
        <x:v>P016</x:v>
      </x:c>
      <x:c r="B642" s="56" t="str">
        <x:v>HX-ADD-004</x:v>
      </x:c>
      <x:c r="C642" s="56" t="str">
        <x:v>mdt</x:v>
      </x:c>
      <x:c r="D642" s="56" t="n">
        <x:v>45</x:v>
      </x:c>
      <x:c r="E642" s="56" t="str">
        <x:v>mdt.evidence</x:v>
      </x:c>
      <x:c r="F642" s="56" t="str">
        <x:v>evidence</x:v>
      </x:c>
      <x:c r="G642" s="56" t="n">
        <x:v>11</x:v>
      </x:c>
      <x:c r="H642" s="56" t="str">
        <x:v>病例特异得分项</x:v>
      </x:c>
      <x:c r="I642" s="56" t="str">
        <x:v>否</x:v>
      </x:c>
      <x:c r="J642" s="56" t="str">
        <x:v>否</x:v>
      </x:c>
      <x:c r="K642" s="56" t="str">
        <x:v>否</x:v>
      </x:c>
      <x:c r="L642" s="56" t="str">
        <x:v>按结构化事件证据给予0/部分/满分；不能由总结反推已完成</x:v>
      </x:c>
      <x:c r="M642" s="56" t="str"/>
      <x:c r="N642" s="56" t="n">
        <x:f>SUMIFS($G$4:$G$1673,$A$4:$A$1673,A642)</x:f>
        <x:v>360</x:v>
      </x:c>
      <x:c r="O642" s="56" t="str">
        <x:f>IF(N642=360,"通过","失败")</x:f>
        <x:v>通过</x:v>
      </x:c>
      <x:c r="P642" s="56" t="str"/>
      <x:c r="Q642" s="59" t="str">
        <x:v>待确认</x:v>
      </x:c>
    </x:row>
    <x:row r="643">
      <x:c r="A643" s="56" t="str">
        <x:v>P016</x:v>
      </x:c>
      <x:c r="B643" s="56" t="str">
        <x:v>HX-ADD-004</x:v>
      </x:c>
      <x:c r="C643" s="56" t="str">
        <x:v>treatment</x:v>
      </x:c>
      <x:c r="D643" s="56" t="n">
        <x:v>50</x:v>
      </x:c>
      <x:c r="E643" s="56" t="str">
        <x:v>treatment.immediate</x:v>
      </x:c>
      <x:c r="F643" s="56" t="str">
        <x:v>immediate</x:v>
      </x:c>
      <x:c r="G643" s="56" t="n">
        <x:v>13</x:v>
      </x:c>
      <x:c r="H643" s="56" t="str">
        <x:v>病例特异得分项</x:v>
      </x:c>
      <x:c r="I643" s="56" t="str">
        <x:v>否</x:v>
      </x:c>
      <x:c r="J643" s="56" t="str">
        <x:v>否</x:v>
      </x:c>
      <x:c r="K643" s="56" t="str">
        <x:v>否</x:v>
      </x:c>
      <x:c r="L643" s="56" t="str">
        <x:v>按结构化事件证据给予0/部分/满分；不能由总结反推已完成</x:v>
      </x:c>
      <x:c r="M643" s="56" t="str"/>
      <x:c r="N643" s="56" t="n">
        <x:f>SUMIFS($G$4:$G$1673,$A$4:$A$1673,A643)</x:f>
        <x:v>360</x:v>
      </x:c>
      <x:c r="O643" s="56" t="str">
        <x:f>IF(N643=360,"通过","失败")</x:f>
        <x:v>通过</x:v>
      </x:c>
      <x:c r="P643" s="56" t="str"/>
      <x:c r="Q643" s="59" t="str">
        <x:v>待确认</x:v>
      </x:c>
    </x:row>
    <x:row r="644">
      <x:c r="A644" s="56" t="str">
        <x:v>P016</x:v>
      </x:c>
      <x:c r="B644" s="56" t="str">
        <x:v>HX-ADD-004</x:v>
      </x:c>
      <x:c r="C644" s="56" t="str">
        <x:v>treatment</x:v>
      </x:c>
      <x:c r="D644" s="56" t="n">
        <x:v>50</x:v>
      </x:c>
      <x:c r="E644" s="56" t="str">
        <x:v>treatment.etiologic</x:v>
      </x:c>
      <x:c r="F644" s="56" t="str">
        <x:v>etiologic</x:v>
      </x:c>
      <x:c r="G644" s="56" t="n">
        <x:v>13</x:v>
      </x:c>
      <x:c r="H644" s="56" t="str">
        <x:v>病例特异得分项</x:v>
      </x:c>
      <x:c r="I644" s="56" t="str">
        <x:v>否</x:v>
      </x:c>
      <x:c r="J644" s="56" t="str">
        <x:v>否</x:v>
      </x:c>
      <x:c r="K644" s="56" t="str">
        <x:v>否</x:v>
      </x:c>
      <x:c r="L644" s="56" t="str">
        <x:v>按结构化事件证据给予0/部分/满分；不能由总结反推已完成</x:v>
      </x:c>
      <x:c r="M644" s="56" t="str"/>
      <x:c r="N644" s="56" t="n">
        <x:f>SUMIFS($G$4:$G$1673,$A$4:$A$1673,A644)</x:f>
        <x:v>360</x:v>
      </x:c>
      <x:c r="O644" s="56" t="str">
        <x:f>IF(N644=360,"通过","失败")</x:f>
        <x:v>通过</x:v>
      </x:c>
      <x:c r="P644" s="56" t="str"/>
      <x:c r="Q644" s="59" t="str">
        <x:v>待确认</x:v>
      </x:c>
    </x:row>
    <x:row r="645">
      <x:c r="A645" s="56" t="str">
        <x:v>P016</x:v>
      </x:c>
      <x:c r="B645" s="56" t="str">
        <x:v>HX-ADD-004</x:v>
      </x:c>
      <x:c r="C645" s="56" t="str">
        <x:v>treatment</x:v>
      </x:c>
      <x:c r="D645" s="56" t="n">
        <x:v>50</x:v>
      </x:c>
      <x:c r="E645" s="56" t="str">
        <x:v>treatment.definitive</x:v>
      </x:c>
      <x:c r="F645" s="56" t="str">
        <x:v>definitive</x:v>
      </x:c>
      <x:c r="G645" s="56" t="n">
        <x:v>12</x:v>
      </x:c>
      <x:c r="H645" s="56" t="str">
        <x:v>病例特异得分项</x:v>
      </x:c>
      <x:c r="I645" s="56" t="str">
        <x:v>否</x:v>
      </x:c>
      <x:c r="J645" s="56" t="str">
        <x:v>否</x:v>
      </x:c>
      <x:c r="K645" s="56" t="str">
        <x:v>否</x:v>
      </x:c>
      <x:c r="L645" s="56" t="str">
        <x:v>按结构化事件证据给予0/部分/满分；不能由总结反推已完成</x:v>
      </x:c>
      <x:c r="M645" s="56" t="str"/>
      <x:c r="N645" s="56" t="n">
        <x:f>SUMIFS($G$4:$G$1673,$A$4:$A$1673,A645)</x:f>
        <x:v>360</x:v>
      </x:c>
      <x:c r="O645" s="56" t="str">
        <x:f>IF(N645=360,"通过","失败")</x:f>
        <x:v>通过</x:v>
      </x:c>
      <x:c r="P645" s="56" t="str"/>
      <x:c r="Q645" s="59" t="str">
        <x:v>待确认</x:v>
      </x:c>
    </x:row>
    <x:row r="646">
      <x:c r="A646" s="56" t="str">
        <x:v>P016</x:v>
      </x:c>
      <x:c r="B646" s="56" t="str">
        <x:v>HX-ADD-004</x:v>
      </x:c>
      <x:c r="C646" s="56" t="str">
        <x:v>treatment</x:v>
      </x:c>
      <x:c r="D646" s="56" t="n">
        <x:v>50</x:v>
      </x:c>
      <x:c r="E646" s="56" t="str">
        <x:v>treatment.perioperative</x:v>
      </x:c>
      <x:c r="F646" s="56" t="str">
        <x:v>perioperative</x:v>
      </x:c>
      <x:c r="G646" s="56" t="n">
        <x:v>12</x:v>
      </x:c>
      <x:c r="H646" s="56" t="str">
        <x:v>病例特异得分项</x:v>
      </x:c>
      <x:c r="I646" s="56" t="str">
        <x:v>否</x:v>
      </x:c>
      <x:c r="J646" s="56" t="str">
        <x:v>否</x:v>
      </x:c>
      <x:c r="K646" s="56" t="str">
        <x:v>否</x:v>
      </x:c>
      <x:c r="L646" s="56" t="str">
        <x:v>按结构化事件证据给予0/部分/满分；不能由总结反推已完成</x:v>
      </x:c>
      <x:c r="M646" s="56" t="str"/>
      <x:c r="N646" s="56" t="n">
        <x:f>SUMIFS($G$4:$G$1673,$A$4:$A$1673,A646)</x:f>
        <x:v>360</x:v>
      </x:c>
      <x:c r="O646" s="56" t="str">
        <x:f>IF(N646=360,"通过","失败")</x:f>
        <x:v>通过</x:v>
      </x:c>
      <x:c r="P646" s="56" t="str"/>
      <x:c r="Q646" s="59" t="str">
        <x:v>待确认</x:v>
      </x:c>
    </x:row>
    <x:row r="647">
      <x:c r="A647" s="56" t="str">
        <x:v>P016</x:v>
      </x:c>
      <x:c r="B647" s="56" t="str">
        <x:v>HX-ADD-004</x:v>
      </x:c>
      <x:c r="C647" s="56" t="str">
        <x:v>followup</x:v>
      </x:c>
      <x:c r="D647" s="56" t="n">
        <x:v>40</x:v>
      </x:c>
      <x:c r="E647" s="56" t="str">
        <x:v>followup.plan</x:v>
      </x:c>
      <x:c r="F647" s="56" t="str">
        <x:v>随访复查</x:v>
      </x:c>
      <x:c r="G647" s="56" t="n">
        <x:v>10</x:v>
      </x:c>
      <x:c r="H647" s="56" t="str">
        <x:v>普通得分项</x:v>
      </x:c>
      <x:c r="I647" s="56" t="str">
        <x:v>否</x:v>
      </x:c>
      <x:c r="J647" s="56" t="str">
        <x:v>否</x:v>
      </x:c>
      <x:c r="K647" s="56" t="str">
        <x:v>否</x:v>
      </x:c>
      <x:c r="L647" s="56" t="str">
        <x:v>按结构化事件证据给予0/部分/满分；不能由总结反推已完成</x:v>
      </x:c>
      <x:c r="M647" s="56" t="str"/>
      <x:c r="N647" s="56" t="n">
        <x:f>SUMIFS($G$4:$G$1673,$A$4:$A$1673,A647)</x:f>
        <x:v>360</x:v>
      </x:c>
      <x:c r="O647" s="56" t="str">
        <x:f>IF(N647=360,"通过","失败")</x:f>
        <x:v>通过</x:v>
      </x:c>
      <x:c r="P647" s="56" t="str"/>
      <x:c r="Q647" s="59" t="str">
        <x:v>待确认</x:v>
      </x:c>
    </x:row>
    <x:row r="648">
      <x:c r="A648" s="56" t="str">
        <x:v>P016</x:v>
      </x:c>
      <x:c r="B648" s="56" t="str">
        <x:v>HX-ADD-004</x:v>
      </x:c>
      <x:c r="C648" s="56" t="str">
        <x:v>followup</x:v>
      </x:c>
      <x:c r="D648" s="56" t="n">
        <x:v>40</x:v>
      </x:c>
      <x:c r="E648" s="56" t="str">
        <x:v>followup.education</x:v>
      </x:c>
      <x:c r="F648" s="56" t="str">
        <x:v>患者教育</x:v>
      </x:c>
      <x:c r="G648" s="56" t="n">
        <x:v>10</x:v>
      </x:c>
      <x:c r="H648" s="56" t="str">
        <x:v>普通得分项</x:v>
      </x:c>
      <x:c r="I648" s="56" t="str">
        <x:v>否</x:v>
      </x:c>
      <x:c r="J648" s="56" t="str">
        <x:v>否</x:v>
      </x:c>
      <x:c r="K648" s="56" t="str">
        <x:v>否</x:v>
      </x:c>
      <x:c r="L648" s="56" t="str">
        <x:v>按结构化事件证据给予0/部分/满分；不能由总结反推已完成</x:v>
      </x:c>
      <x:c r="M648" s="56" t="str"/>
      <x:c r="N648" s="56" t="n">
        <x:f>SUMIFS($G$4:$G$1673,$A$4:$A$1673,A648)</x:f>
        <x:v>360</x:v>
      </x:c>
      <x:c r="O648" s="56" t="str">
        <x:f>IF(N648=360,"通过","失败")</x:f>
        <x:v>通过</x:v>
      </x:c>
      <x:c r="P648" s="56" t="str"/>
      <x:c r="Q648" s="59" t="str">
        <x:v>待确认</x:v>
      </x:c>
    </x:row>
    <x:row r="649">
      <x:c r="A649" s="56" t="str">
        <x:v>P016</x:v>
      </x:c>
      <x:c r="B649" s="56" t="str">
        <x:v>HX-ADD-004</x:v>
      </x:c>
      <x:c r="C649" s="56" t="str">
        <x:v>followup</x:v>
      </x:c>
      <x:c r="D649" s="56" t="n">
        <x:v>40</x:v>
      </x:c>
      <x:c r="E649" s="56" t="str">
        <x:v>followup.reflection</x:v>
      </x:c>
      <x:c r="F649" s="56" t="str">
        <x:v>学习反思质量</x:v>
      </x:c>
      <x:c r="G649" s="56" t="n">
        <x:v>10</x:v>
      </x:c>
      <x:c r="H649" s="56" t="str">
        <x:v>普通得分项</x:v>
      </x:c>
      <x:c r="I649" s="56" t="str">
        <x:v>否</x:v>
      </x:c>
      <x:c r="J649" s="56" t="str">
        <x:v>否</x:v>
      </x:c>
      <x:c r="K649" s="56" t="str">
        <x:v>否</x:v>
      </x:c>
      <x:c r="L649" s="56" t="str">
        <x:v>按结构化事件证据给予0/部分/满分；不能由总结反推已完成</x:v>
      </x:c>
      <x:c r="M649" s="56" t="str"/>
      <x:c r="N649" s="56" t="n">
        <x:f>SUMIFS($G$4:$G$1673,$A$4:$A$1673,A649)</x:f>
        <x:v>360</x:v>
      </x:c>
      <x:c r="O649" s="56" t="str">
        <x:f>IF(N649=360,"通过","失败")</x:f>
        <x:v>通过</x:v>
      </x:c>
      <x:c r="P649" s="56" t="str"/>
      <x:c r="Q649" s="59" t="str">
        <x:v>待确认</x:v>
      </x:c>
    </x:row>
    <x:row r="650">
      <x:c r="A650" s="56" t="str">
        <x:v>P016</x:v>
      </x:c>
      <x:c r="B650" s="56" t="str">
        <x:v>HX-ADD-004</x:v>
      </x:c>
      <x:c r="C650" s="56" t="str">
        <x:v>followup</x:v>
      </x:c>
      <x:c r="D650" s="56" t="n">
        <x:v>40</x:v>
      </x:c>
      <x:c r="E650" s="56" t="str">
        <x:v>followup.efficiency</x:v>
      </x:c>
      <x:c r="F650" s="56" t="str">
        <x:v>操作效率</x:v>
      </x:c>
      <x:c r="G650" s="56" t="n">
        <x:v>10</x:v>
      </x:c>
      <x:c r="H650" s="56" t="str">
        <x:v>普通得分项</x:v>
      </x:c>
      <x:c r="I650" s="56" t="str">
        <x:v>否</x:v>
      </x:c>
      <x:c r="J650" s="56" t="str">
        <x:v>否</x:v>
      </x:c>
      <x:c r="K650" s="56" t="str">
        <x:v>否</x:v>
      </x:c>
      <x:c r="L650" s="56" t="str">
        <x:v>按结构化事件证据给予0/部分/满分；不能由总结反推已完成</x:v>
      </x:c>
      <x:c r="M650" s="56" t="str"/>
      <x:c r="N650" s="56" t="n">
        <x:f>SUMIFS($G$4:$G$1673,$A$4:$A$1673,A650)</x:f>
        <x:v>360</x:v>
      </x:c>
      <x:c r="O650" s="56" t="str">
        <x:f>IF(N650=360,"通过","失败")</x:f>
        <x:v>通过</x:v>
      </x:c>
      <x:c r="P650" s="56" t="str"/>
      <x:c r="Q650" s="59" t="str">
        <x:v>待确认</x:v>
      </x:c>
    </x:row>
    <x:row r="651">
      <x:c r="A651" s="56" t="str">
        <x:v>P017</x:v>
      </x:c>
      <x:c r="B651" s="56" t="str">
        <x:v>HX-ADD-005</x:v>
      </x:c>
      <x:c r="C651" s="56" t="str">
        <x:v>history</x:v>
      </x:c>
      <x:c r="D651" s="56" t="n">
        <x:v>50</x:v>
      </x:c>
      <x:c r="E651" s="56" t="str">
        <x:v>history.hematuria_visibility</x:v>
      </x:c>
      <x:c r="F651" s="56" t="str">
        <x:v>hematuria_visibility</x:v>
      </x:c>
      <x:c r="G651" s="56" t="n">
        <x:v>5</x:v>
      </x:c>
      <x:c r="H651" s="56" t="str">
        <x:v>普通得分项</x:v>
      </x:c>
      <x:c r="I651" s="56" t="str">
        <x:v>否</x:v>
      </x:c>
      <x:c r="J651" s="56" t="str">
        <x:v>否</x:v>
      </x:c>
      <x:c r="K651" s="56" t="str">
        <x:v>否</x:v>
      </x:c>
      <x:c r="L651" s="56" t="str">
        <x:v>按结构化事件证据给予0/部分/满分；不能由总结反推已完成</x:v>
      </x:c>
      <x:c r="M651" s="56" t="str"/>
      <x:c r="N651" s="56" t="n">
        <x:f>SUMIFS($G$4:$G$1673,$A$4:$A$1673,A651)</x:f>
        <x:v>360</x:v>
      </x:c>
      <x:c r="O651" s="56" t="str">
        <x:f>IF(N651=360,"通过","失败")</x:f>
        <x:v>通过</x:v>
      </x:c>
      <x:c r="P651" s="56" t="str"/>
      <x:c r="Q651" s="59" t="str">
        <x:v>待确认</x:v>
      </x:c>
    </x:row>
    <x:row r="652">
      <x:c r="A652" s="56" t="str">
        <x:v>P017</x:v>
      </x:c>
      <x:c r="B652" s="56" t="str">
        <x:v>HX-ADD-005</x:v>
      </x:c>
      <x:c r="C652" s="56" t="str">
        <x:v>history</x:v>
      </x:c>
      <x:c r="D652" s="56" t="n">
        <x:v>50</x:v>
      </x:c>
      <x:c r="E652" s="56" t="str">
        <x:v>history.hematuria_onset</x:v>
      </x:c>
      <x:c r="F652" s="56" t="str">
        <x:v>hematuria_onset</x:v>
      </x:c>
      <x:c r="G652" s="56" t="n">
        <x:v>5</x:v>
      </x:c>
      <x:c r="H652" s="56" t="str">
        <x:v>普通得分项</x:v>
      </x:c>
      <x:c r="I652" s="56" t="str">
        <x:v>否</x:v>
      </x:c>
      <x:c r="J652" s="56" t="str">
        <x:v>否</x:v>
      </x:c>
      <x:c r="K652" s="56" t="str">
        <x:v>否</x:v>
      </x:c>
      <x:c r="L652" s="56" t="str">
        <x:v>按结构化事件证据给予0/部分/满分；不能由总结反推已完成</x:v>
      </x:c>
      <x:c r="M652" s="56" t="str"/>
      <x:c r="N652" s="56" t="n">
        <x:f>SUMIFS($G$4:$G$1673,$A$4:$A$1673,A652)</x:f>
        <x:v>360</x:v>
      </x:c>
      <x:c r="O652" s="56" t="str">
        <x:f>IF(N652=360,"通过","失败")</x:f>
        <x:v>通过</x:v>
      </x:c>
      <x:c r="P652" s="56" t="str"/>
      <x:c r="Q652" s="59" t="str">
        <x:v>待确认</x:v>
      </x:c>
    </x:row>
    <x:row r="653">
      <x:c r="A653" s="56" t="str">
        <x:v>P017</x:v>
      </x:c>
      <x:c r="B653" s="56" t="str">
        <x:v>HX-ADD-005</x:v>
      </x:c>
      <x:c r="C653" s="56" t="str">
        <x:v>history</x:v>
      </x:c>
      <x:c r="D653" s="56" t="n">
        <x:v>50</x:v>
      </x:c>
      <x:c r="E653" s="56" t="str">
        <x:v>history.hematuria_frequency</x:v>
      </x:c>
      <x:c r="F653" s="56" t="str">
        <x:v>hematuria_frequency</x:v>
      </x:c>
      <x:c r="G653" s="56" t="n">
        <x:v>4</x:v>
      </x:c>
      <x:c r="H653" s="56" t="str">
        <x:v>普通得分项</x:v>
      </x:c>
      <x:c r="I653" s="56" t="str">
        <x:v>否</x:v>
      </x:c>
      <x:c r="J653" s="56" t="str">
        <x:v>否</x:v>
      </x:c>
      <x:c r="K653" s="56" t="str">
        <x:v>否</x:v>
      </x:c>
      <x:c r="L653" s="56" t="str">
        <x:v>按结构化事件证据给予0/部分/满分；不能由总结反推已完成</x:v>
      </x:c>
      <x:c r="M653" s="56" t="str"/>
      <x:c r="N653" s="56" t="n">
        <x:f>SUMIFS($G$4:$G$1673,$A$4:$A$1673,A653)</x:f>
        <x:v>360</x:v>
      </x:c>
      <x:c r="O653" s="56" t="str">
        <x:f>IF(N653=360,"通过","失败")</x:f>
        <x:v>通过</x:v>
      </x:c>
      <x:c r="P653" s="56" t="str"/>
      <x:c r="Q653" s="59" t="str">
        <x:v>待确认</x:v>
      </x:c>
    </x:row>
    <x:row r="654">
      <x:c r="A654" s="56" t="str">
        <x:v>P017</x:v>
      </x:c>
      <x:c r="B654" s="56" t="str">
        <x:v>HX-ADD-005</x:v>
      </x:c>
      <x:c r="C654" s="56" t="str">
        <x:v>history</x:v>
      </x:c>
      <x:c r="D654" s="56" t="n">
        <x:v>50</x:v>
      </x:c>
      <x:c r="E654" s="56" t="str">
        <x:v>history.hematuria_phase</x:v>
      </x:c>
      <x:c r="F654" s="56" t="str">
        <x:v>hematuria_phase</x:v>
      </x:c>
      <x:c r="G654" s="56" t="n">
        <x:v>4</x:v>
      </x:c>
      <x:c r="H654" s="56" t="str">
        <x:v>普通得分项</x:v>
      </x:c>
      <x:c r="I654" s="56" t="str">
        <x:v>否</x:v>
      </x:c>
      <x:c r="J654" s="56" t="str">
        <x:v>否</x:v>
      </x:c>
      <x:c r="K654" s="56" t="str">
        <x:v>否</x:v>
      </x:c>
      <x:c r="L654" s="56" t="str">
        <x:v>按结构化事件证据给予0/部分/满分；不能由总结反推已完成</x:v>
      </x:c>
      <x:c r="M654" s="56" t="str"/>
      <x:c r="N654" s="56" t="n">
        <x:f>SUMIFS($G$4:$G$1673,$A$4:$A$1673,A654)</x:f>
        <x:v>360</x:v>
      </x:c>
      <x:c r="O654" s="56" t="str">
        <x:f>IF(N654=360,"通过","失败")</x:f>
        <x:v>通过</x:v>
      </x:c>
      <x:c r="P654" s="56" t="str"/>
      <x:c r="Q654" s="59" t="str">
        <x:v>待确认</x:v>
      </x:c>
    </x:row>
    <x:row r="655">
      <x:c r="A655" s="56" t="str">
        <x:v>P017</x:v>
      </x:c>
      <x:c r="B655" s="56" t="str">
        <x:v>HX-ADD-005</x:v>
      </x:c>
      <x:c r="C655" s="56" t="str">
        <x:v>history</x:v>
      </x:c>
      <x:c r="D655" s="56" t="n">
        <x:v>50</x:v>
      </x:c>
      <x:c r="E655" s="56" t="str">
        <x:v>history.urine_color</x:v>
      </x:c>
      <x:c r="F655" s="56" t="str">
        <x:v>urine_color</x:v>
      </x:c>
      <x:c r="G655" s="56" t="n">
        <x:v>4</x:v>
      </x:c>
      <x:c r="H655" s="56" t="str">
        <x:v>普通得分项</x:v>
      </x:c>
      <x:c r="I655" s="56" t="str">
        <x:v>否</x:v>
      </x:c>
      <x:c r="J655" s="56" t="str">
        <x:v>否</x:v>
      </x:c>
      <x:c r="K655" s="56" t="str">
        <x:v>否</x:v>
      </x:c>
      <x:c r="L655" s="56" t="str">
        <x:v>按结构化事件证据给予0/部分/满分；不能由总结反推已完成</x:v>
      </x:c>
      <x:c r="M655" s="56" t="str"/>
      <x:c r="N655" s="56" t="n">
        <x:f>SUMIFS($G$4:$G$1673,$A$4:$A$1673,A655)</x:f>
        <x:v>360</x:v>
      </x:c>
      <x:c r="O655" s="56" t="str">
        <x:f>IF(N655=360,"通过","失败")</x:f>
        <x:v>通过</x:v>
      </x:c>
      <x:c r="P655" s="56" t="str"/>
      <x:c r="Q655" s="59" t="str">
        <x:v>待确认</x:v>
      </x:c>
    </x:row>
    <x:row r="656">
      <x:c r="A656" s="56" t="str">
        <x:v>P017</x:v>
      </x:c>
      <x:c r="B656" s="56" t="str">
        <x:v>HX-ADD-005</x:v>
      </x:c>
      <x:c r="C656" s="56" t="str">
        <x:v>history</x:v>
      </x:c>
      <x:c r="D656" s="56" t="n">
        <x:v>50</x:v>
      </x:c>
      <x:c r="E656" s="56" t="str">
        <x:v>history.clots</x:v>
      </x:c>
      <x:c r="F656" s="56" t="str">
        <x:v>clots</x:v>
      </x:c>
      <x:c r="G656" s="56" t="n">
        <x:v>4</x:v>
      </x:c>
      <x:c r="H656" s="56" t="str">
        <x:v>普通得分项</x:v>
      </x:c>
      <x:c r="I656" s="56" t="str">
        <x:v>否</x:v>
      </x:c>
      <x:c r="J656" s="56" t="str">
        <x:v>否</x:v>
      </x:c>
      <x:c r="K656" s="56" t="str">
        <x:v>否</x:v>
      </x:c>
      <x:c r="L656" s="56" t="str">
        <x:v>按结构化事件证据给予0/部分/满分；不能由总结反推已完成</x:v>
      </x:c>
      <x:c r="M656" s="56" t="str"/>
      <x:c r="N656" s="56" t="n">
        <x:f>SUMIFS($G$4:$G$1673,$A$4:$A$1673,A656)</x:f>
        <x:v>360</x:v>
      </x:c>
      <x:c r="O656" s="56" t="str">
        <x:f>IF(N656=360,"通过","失败")</x:f>
        <x:v>通过</x:v>
      </x:c>
      <x:c r="P656" s="56" t="str"/>
      <x:c r="Q656" s="59" t="str">
        <x:v>待确认</x:v>
      </x:c>
    </x:row>
    <x:row r="657">
      <x:c r="A657" s="56" t="str">
        <x:v>P017</x:v>
      </x:c>
      <x:c r="B657" s="56" t="str">
        <x:v>HX-ADD-005</x:v>
      </x:c>
      <x:c r="C657" s="56" t="str">
        <x:v>history</x:v>
      </x:c>
      <x:c r="D657" s="56" t="n">
        <x:v>50</x:v>
      </x:c>
      <x:c r="E657" s="56" t="str">
        <x:v>history.pain</x:v>
      </x:c>
      <x:c r="F657" s="56" t="str">
        <x:v>pain</x:v>
      </x:c>
      <x:c r="G657" s="56" t="n">
        <x:v>4</x:v>
      </x:c>
      <x:c r="H657" s="56" t="str">
        <x:v>普通得分项</x:v>
      </x:c>
      <x:c r="I657" s="56" t="str">
        <x:v>否</x:v>
      </x:c>
      <x:c r="J657" s="56" t="str">
        <x:v>否</x:v>
      </x:c>
      <x:c r="K657" s="56" t="str">
        <x:v>否</x:v>
      </x:c>
      <x:c r="L657" s="56" t="str">
        <x:v>按结构化事件证据给予0/部分/满分；不能由总结反推已完成</x:v>
      </x:c>
      <x:c r="M657" s="56" t="str"/>
      <x:c r="N657" s="56" t="n">
        <x:f>SUMIFS($G$4:$G$1673,$A$4:$A$1673,A657)</x:f>
        <x:v>360</x:v>
      </x:c>
      <x:c r="O657" s="56" t="str">
        <x:f>IF(N657=360,"通过","失败")</x:f>
        <x:v>通过</x:v>
      </x:c>
      <x:c r="P657" s="56" t="str"/>
      <x:c r="Q657" s="59" t="str">
        <x:v>待确认</x:v>
      </x:c>
    </x:row>
    <x:row r="658">
      <x:c r="A658" s="56" t="str">
        <x:v>P017</x:v>
      </x:c>
      <x:c r="B658" s="56" t="str">
        <x:v>HX-ADD-005</x:v>
      </x:c>
      <x:c r="C658" s="56" t="str">
        <x:v>history</x:v>
      </x:c>
      <x:c r="D658" s="56" t="n">
        <x:v>50</x:v>
      </x:c>
      <x:c r="E658" s="56" t="str">
        <x:v>history.dysuria</x:v>
      </x:c>
      <x:c r="F658" s="56" t="str">
        <x:v>dysuria</x:v>
      </x:c>
      <x:c r="G658" s="56" t="n">
        <x:v>4</x:v>
      </x:c>
      <x:c r="H658" s="56" t="str">
        <x:v>普通得分项</x:v>
      </x:c>
      <x:c r="I658" s="56" t="str">
        <x:v>否</x:v>
      </x:c>
      <x:c r="J658" s="56" t="str">
        <x:v>否</x:v>
      </x:c>
      <x:c r="K658" s="56" t="str">
        <x:v>否</x:v>
      </x:c>
      <x:c r="L658" s="56" t="str">
        <x:v>按结构化事件证据给予0/部分/满分；不能由总结反推已完成</x:v>
      </x:c>
      <x:c r="M658" s="56" t="str"/>
      <x:c r="N658" s="56" t="n">
        <x:f>SUMIFS($G$4:$G$1673,$A$4:$A$1673,A658)</x:f>
        <x:v>360</x:v>
      </x:c>
      <x:c r="O658" s="56" t="str">
        <x:f>IF(N658=360,"通过","失败")</x:f>
        <x:v>通过</x:v>
      </x:c>
      <x:c r="P658" s="56" t="str"/>
      <x:c r="Q658" s="59" t="str">
        <x:v>待确认</x:v>
      </x:c>
    </x:row>
    <x:row r="659">
      <x:c r="A659" s="56" t="str">
        <x:v>P017</x:v>
      </x:c>
      <x:c r="B659" s="56" t="str">
        <x:v>HX-ADD-005</x:v>
      </x:c>
      <x:c r="C659" s="56" t="str">
        <x:v>history</x:v>
      </x:c>
      <x:c r="D659" s="56" t="n">
        <x:v>50</x:v>
      </x:c>
      <x:c r="E659" s="56" t="str">
        <x:v>history.urinary_frequency</x:v>
      </x:c>
      <x:c r="F659" s="56" t="str">
        <x:v>urinary_frequency</x:v>
      </x:c>
      <x:c r="G659" s="56" t="n">
        <x:v>4</x:v>
      </x:c>
      <x:c r="H659" s="56" t="str">
        <x:v>普通得分项</x:v>
      </x:c>
      <x:c r="I659" s="56" t="str">
        <x:v>否</x:v>
      </x:c>
      <x:c r="J659" s="56" t="str">
        <x:v>否</x:v>
      </x:c>
      <x:c r="K659" s="56" t="str">
        <x:v>否</x:v>
      </x:c>
      <x:c r="L659" s="56" t="str">
        <x:v>按结构化事件证据给予0/部分/满分；不能由总结反推已完成</x:v>
      </x:c>
      <x:c r="M659" s="56" t="str"/>
      <x:c r="N659" s="56" t="n">
        <x:f>SUMIFS($G$4:$G$1673,$A$4:$A$1673,A659)</x:f>
        <x:v>360</x:v>
      </x:c>
      <x:c r="O659" s="56" t="str">
        <x:f>IF(N659=360,"通过","失败")</x:f>
        <x:v>通过</x:v>
      </x:c>
      <x:c r="P659" s="56" t="str"/>
      <x:c r="Q659" s="59" t="str">
        <x:v>待确认</x:v>
      </x:c>
    </x:row>
    <x:row r="660">
      <x:c r="A660" s="56" t="str">
        <x:v>P017</x:v>
      </x:c>
      <x:c r="B660" s="56" t="str">
        <x:v>HX-ADD-005</x:v>
      </x:c>
      <x:c r="C660" s="56" t="str">
        <x:v>history</x:v>
      </x:c>
      <x:c r="D660" s="56" t="n">
        <x:v>50</x:v>
      </x:c>
      <x:c r="E660" s="56" t="str">
        <x:v>history.urinary_urgency</x:v>
      </x:c>
      <x:c r="F660" s="56" t="str">
        <x:v>urinary_urgency</x:v>
      </x:c>
      <x:c r="G660" s="56" t="n">
        <x:v>4</x:v>
      </x:c>
      <x:c r="H660" s="56" t="str">
        <x:v>普通得分项</x:v>
      </x:c>
      <x:c r="I660" s="56" t="str">
        <x:v>否</x:v>
      </x:c>
      <x:c r="J660" s="56" t="str">
        <x:v>否</x:v>
      </x:c>
      <x:c r="K660" s="56" t="str">
        <x:v>否</x:v>
      </x:c>
      <x:c r="L660" s="56" t="str">
        <x:v>按结构化事件证据给予0/部分/满分；不能由总结反推已完成</x:v>
      </x:c>
      <x:c r="M660" s="56" t="str"/>
      <x:c r="N660" s="56" t="n">
        <x:f>SUMIFS($G$4:$G$1673,$A$4:$A$1673,A660)</x:f>
        <x:v>360</x:v>
      </x:c>
      <x:c r="O660" s="56" t="str">
        <x:f>IF(N660=360,"通过","失败")</x:f>
        <x:v>通过</x:v>
      </x:c>
      <x:c r="P660" s="56" t="str"/>
      <x:c r="Q660" s="59" t="str">
        <x:v>待确认</x:v>
      </x:c>
    </x:row>
    <x:row r="661">
      <x:c r="A661" s="56" t="str">
        <x:v>P017</x:v>
      </x:c>
      <x:c r="B661" s="56" t="str">
        <x:v>HX-ADD-005</x:v>
      </x:c>
      <x:c r="C661" s="56" t="str">
        <x:v>history</x:v>
      </x:c>
      <x:c r="D661" s="56" t="n">
        <x:v>50</x:v>
      </x:c>
      <x:c r="E661" s="56" t="str">
        <x:v>history.flank_pain</x:v>
      </x:c>
      <x:c r="F661" s="56" t="str">
        <x:v>flank_pain</x:v>
      </x:c>
      <x:c r="G661" s="56" t="n">
        <x:v>4</x:v>
      </x:c>
      <x:c r="H661" s="56" t="str">
        <x:v>普通得分项</x:v>
      </x:c>
      <x:c r="I661" s="56" t="str">
        <x:v>否</x:v>
      </x:c>
      <x:c r="J661" s="56" t="str">
        <x:v>否</x:v>
      </x:c>
      <x:c r="K661" s="56" t="str">
        <x:v>否</x:v>
      </x:c>
      <x:c r="L661" s="56" t="str">
        <x:v>按结构化事件证据给予0/部分/满分；不能由总结反推已完成</x:v>
      </x:c>
      <x:c r="M661" s="56" t="str"/>
      <x:c r="N661" s="56" t="n">
        <x:f>SUMIFS($G$4:$G$1673,$A$4:$A$1673,A661)</x:f>
        <x:v>360</x:v>
      </x:c>
      <x:c r="O661" s="56" t="str">
        <x:f>IF(N661=360,"通过","失败")</x:f>
        <x:v>通过</x:v>
      </x:c>
      <x:c r="P661" s="56" t="str"/>
      <x:c r="Q661" s="59" t="str">
        <x:v>待确认</x:v>
      </x:c>
    </x:row>
    <x:row r="662">
      <x:c r="A662" s="56" t="str">
        <x:v>P017</x:v>
      </x:c>
      <x:c r="B662" s="56" t="str">
        <x:v>HX-ADD-005</x:v>
      </x:c>
      <x:c r="C662" s="56" t="str">
        <x:v>history</x:v>
      </x:c>
      <x:c r="D662" s="56" t="n">
        <x:v>50</x:v>
      </x:c>
      <x:c r="E662" s="56" t="str">
        <x:v>history.fever_chills</x:v>
      </x:c>
      <x:c r="F662" s="56" t="str">
        <x:v>fever_chills</x:v>
      </x:c>
      <x:c r="G662" s="56" t="n">
        <x:v>4</x:v>
      </x:c>
      <x:c r="H662" s="56" t="str">
        <x:v>普通得分项</x:v>
      </x:c>
      <x:c r="I662" s="56" t="str">
        <x:v>否</x:v>
      </x:c>
      <x:c r="J662" s="56" t="str">
        <x:v>否</x:v>
      </x:c>
      <x:c r="K662" s="56" t="str">
        <x:v>否</x:v>
      </x:c>
      <x:c r="L662" s="56" t="str">
        <x:v>按结构化事件证据给予0/部分/满分；不能由总结反推已完成</x:v>
      </x:c>
      <x:c r="M662" s="56" t="str"/>
      <x:c r="N662" s="56" t="n">
        <x:f>SUMIFS($G$4:$G$1673,$A$4:$A$1673,A662)</x:f>
        <x:v>360</x:v>
      </x:c>
      <x:c r="O662" s="56" t="str">
        <x:f>IF(N662=360,"通过","失败")</x:f>
        <x:v>通过</x:v>
      </x:c>
      <x:c r="P662" s="56" t="str"/>
      <x:c r="Q662" s="59" t="str">
        <x:v>待确认</x:v>
      </x:c>
    </x:row>
    <x:row r="663">
      <x:c r="A663" s="56" t="str">
        <x:v>P017</x:v>
      </x:c>
      <x:c r="B663" s="56" t="str">
        <x:v>HX-ADD-005</x:v>
      </x:c>
      <x:c r="C663" s="56" t="str">
        <x:v>risk</x:v>
      </x:c>
      <x:c r="D663" s="56" t="n">
        <x:v>40</x:v>
      </x:c>
      <x:c r="E663" s="56" t="str">
        <x:v>risk.anticoagulant</x:v>
      </x:c>
      <x:c r="F663" s="56" t="str">
        <x:v>anticoagulant</x:v>
      </x:c>
      <x:c r="G663" s="56" t="n">
        <x:v>10</x:v>
      </x:c>
      <x:c r="H663" s="56" t="str">
        <x:v>普通得分项</x:v>
      </x:c>
      <x:c r="I663" s="56" t="str">
        <x:v>否</x:v>
      </x:c>
      <x:c r="J663" s="56" t="str">
        <x:v>否</x:v>
      </x:c>
      <x:c r="K663" s="56" t="str">
        <x:v>否</x:v>
      </x:c>
      <x:c r="L663" s="56" t="str">
        <x:v>按结构化事件证据给予0/部分/满分；不能由总结反推已完成</x:v>
      </x:c>
      <x:c r="M663" s="56" t="str"/>
      <x:c r="N663" s="56" t="n">
        <x:f>SUMIFS($G$4:$G$1673,$A$4:$A$1673,A663)</x:f>
        <x:v>360</x:v>
      </x:c>
      <x:c r="O663" s="56" t="str">
        <x:f>IF(N663=360,"通过","失败")</x:f>
        <x:v>通过</x:v>
      </x:c>
      <x:c r="P663" s="56" t="str"/>
      <x:c r="Q663" s="59" t="str">
        <x:v>待确认</x:v>
      </x:c>
    </x:row>
    <x:row r="664">
      <x:c r="A664" s="56" t="str">
        <x:v>P017</x:v>
      </x:c>
      <x:c r="B664" s="56" t="str">
        <x:v>HX-ADD-005</x:v>
      </x:c>
      <x:c r="C664" s="56" t="str">
        <x:v>risk</x:v>
      </x:c>
      <x:c r="D664" s="56" t="n">
        <x:v>40</x:v>
      </x:c>
      <x:c r="E664" s="56" t="str">
        <x:v>risk.antiplatelet</x:v>
      </x:c>
      <x:c r="F664" s="56" t="str">
        <x:v>antiplatelet</x:v>
      </x:c>
      <x:c r="G664" s="56" t="n">
        <x:v>10</x:v>
      </x:c>
      <x:c r="H664" s="56" t="str">
        <x:v>普通得分项</x:v>
      </x:c>
      <x:c r="I664" s="56" t="str">
        <x:v>否</x:v>
      </x:c>
      <x:c r="J664" s="56" t="str">
        <x:v>否</x:v>
      </x:c>
      <x:c r="K664" s="56" t="str">
        <x:v>否</x:v>
      </x:c>
      <x:c r="L664" s="56" t="str">
        <x:v>按结构化事件证据给予0/部分/满分；不能由总结反推已完成</x:v>
      </x:c>
      <x:c r="M664" s="56" t="str"/>
      <x:c r="N664" s="56" t="n">
        <x:f>SUMIFS($G$4:$G$1673,$A$4:$A$1673,A664)</x:f>
        <x:v>360</x:v>
      </x:c>
      <x:c r="O664" s="56" t="str">
        <x:f>IF(N664=360,"通过","失败")</x:f>
        <x:v>通过</x:v>
      </x:c>
      <x:c r="P664" s="56" t="str"/>
      <x:c r="Q664" s="59" t="str">
        <x:v>待确认</x:v>
      </x:c>
    </x:row>
    <x:row r="665">
      <x:c r="A665" s="56" t="str">
        <x:v>P017</x:v>
      </x:c>
      <x:c r="B665" s="56" t="str">
        <x:v>HX-ADD-005</x:v>
      </x:c>
      <x:c r="C665" s="56" t="str">
        <x:v>risk</x:v>
      </x:c>
      <x:c r="D665" s="56" t="n">
        <x:v>40</x:v>
      </x:c>
      <x:c r="E665" s="56" t="str">
        <x:v>risk.bleeding_tendency</x:v>
      </x:c>
      <x:c r="F665" s="56" t="str">
        <x:v>bleeding_tendency</x:v>
      </x:c>
      <x:c r="G665" s="56" t="n">
        <x:v>10</x:v>
      </x:c>
      <x:c r="H665" s="56" t="str">
        <x:v>普通得分项</x:v>
      </x:c>
      <x:c r="I665" s="56" t="str">
        <x:v>否</x:v>
      </x:c>
      <x:c r="J665" s="56" t="str">
        <x:v>否</x:v>
      </x:c>
      <x:c r="K665" s="56" t="str">
        <x:v>否</x:v>
      </x:c>
      <x:c r="L665" s="56" t="str">
        <x:v>按结构化事件证据给予0/部分/满分；不能由总结反推已完成</x:v>
      </x:c>
      <x:c r="M665" s="56" t="str"/>
      <x:c r="N665" s="56" t="n">
        <x:f>SUMIFS($G$4:$G$1673,$A$4:$A$1673,A665)</x:f>
        <x:v>360</x:v>
      </x:c>
      <x:c r="O665" s="56" t="str">
        <x:f>IF(N665=360,"通过","失败")</x:f>
        <x:v>通过</x:v>
      </x:c>
      <x:c r="P665" s="56" t="str"/>
      <x:c r="Q665" s="59" t="str">
        <x:v>待确认</x:v>
      </x:c>
    </x:row>
    <x:row r="666">
      <x:c r="A666" s="56" t="str">
        <x:v>P017</x:v>
      </x:c>
      <x:c r="B666" s="56" t="str">
        <x:v>HX-ADD-005</x:v>
      </x:c>
      <x:c r="C666" s="56" t="str">
        <x:v>risk</x:v>
      </x:c>
      <x:c r="D666" s="56" t="n">
        <x:v>40</x:v>
      </x:c>
      <x:c r="E666" s="56" t="str">
        <x:v>risk.tumor_history</x:v>
      </x:c>
      <x:c r="F666" s="56" t="str">
        <x:v>tumor_history</x:v>
      </x:c>
      <x:c r="G666" s="56" t="n">
        <x:v>10</x:v>
      </x:c>
      <x:c r="H666" s="56" t="str">
        <x:v>普通得分项</x:v>
      </x:c>
      <x:c r="I666" s="56" t="str">
        <x:v>否</x:v>
      </x:c>
      <x:c r="J666" s="56" t="str">
        <x:v>否</x:v>
      </x:c>
      <x:c r="K666" s="56" t="str">
        <x:v>否</x:v>
      </x:c>
      <x:c r="L666" s="56" t="str">
        <x:v>按结构化事件证据给予0/部分/满分；不能由总结反推已完成</x:v>
      </x:c>
      <x:c r="M666" s="56" t="str"/>
      <x:c r="N666" s="56" t="n">
        <x:f>SUMIFS($G$4:$G$1673,$A$4:$A$1673,A666)</x:f>
        <x:v>360</x:v>
      </x:c>
      <x:c r="O666" s="56" t="str">
        <x:f>IF(N666=360,"通过","失败")</x:f>
        <x:v>通过</x:v>
      </x:c>
      <x:c r="P666" s="56" t="str"/>
      <x:c r="Q666" s="59" t="str">
        <x:v>待确认</x:v>
      </x:c>
    </x:row>
    <x:row r="667">
      <x:c r="A667" s="56" t="str">
        <x:v>P017</x:v>
      </x:c>
      <x:c r="B667" s="56" t="str">
        <x:v>HX-ADD-005</x:v>
      </x:c>
      <x:c r="C667" s="56" t="str">
        <x:v>exam</x:v>
      </x:c>
      <x:c r="D667" s="56" t="n">
        <x:v>35</x:v>
      </x:c>
      <x:c r="E667" s="56" t="str">
        <x:v>exam.temperature</x:v>
      </x:c>
      <x:c r="F667" s="56" t="str">
        <x:v>体温</x:v>
      </x:c>
      <x:c r="G667" s="56" t="n">
        <x:v>12</x:v>
      </x:c>
      <x:c r="H667" s="56" t="str">
        <x:v>普通得分项</x:v>
      </x:c>
      <x:c r="I667" s="56" t="str">
        <x:v>否</x:v>
      </x:c>
      <x:c r="J667" s="56" t="str">
        <x:v>否</x:v>
      </x:c>
      <x:c r="K667" s="56" t="str">
        <x:v>否</x:v>
      </x:c>
      <x:c r="L667" s="56" t="str">
        <x:v>按结构化事件证据给予0/部分/满分；不能由总结反推已完成</x:v>
      </x:c>
      <x:c r="M667" s="56" t="str"/>
      <x:c r="N667" s="56" t="n">
        <x:f>SUMIFS($G$4:$G$1673,$A$4:$A$1673,A667)</x:f>
        <x:v>360</x:v>
      </x:c>
      <x:c r="O667" s="56" t="str">
        <x:f>IF(N667=360,"通过","失败")</x:f>
        <x:v>通过</x:v>
      </x:c>
      <x:c r="P667" s="56" t="str"/>
      <x:c r="Q667" s="59" t="str">
        <x:v>待确认</x:v>
      </x:c>
    </x:row>
    <x:row r="668">
      <x:c r="A668" s="56" t="str">
        <x:v>P017</x:v>
      </x:c>
      <x:c r="B668" s="56" t="str">
        <x:v>HX-ADD-005</x:v>
      </x:c>
      <x:c r="C668" s="56" t="str">
        <x:v>exam</x:v>
      </x:c>
      <x:c r="D668" s="56" t="n">
        <x:v>35</x:v>
      </x:c>
      <x:c r="E668" s="56" t="str">
        <x:v>exam.blood_pressure</x:v>
      </x:c>
      <x:c r="F668" s="56" t="str">
        <x:v>血压</x:v>
      </x:c>
      <x:c r="G668" s="56" t="n">
        <x:v>12</x:v>
      </x:c>
      <x:c r="H668" s="56" t="str">
        <x:v>普通得分项</x:v>
      </x:c>
      <x:c r="I668" s="56" t="str">
        <x:v>否</x:v>
      </x:c>
      <x:c r="J668" s="56" t="str">
        <x:v>否</x:v>
      </x:c>
      <x:c r="K668" s="56" t="str">
        <x:v>否</x:v>
      </x:c>
      <x:c r="L668" s="56" t="str">
        <x:v>按结构化事件证据给予0/部分/满分；不能由总结反推已完成</x:v>
      </x:c>
      <x:c r="M668" s="56" t="str"/>
      <x:c r="N668" s="56" t="n">
        <x:f>SUMIFS($G$4:$G$1673,$A$4:$A$1673,A668)</x:f>
        <x:v>360</x:v>
      </x:c>
      <x:c r="O668" s="56" t="str">
        <x:f>IF(N668=360,"通过","失败")</x:f>
        <x:v>通过</x:v>
      </x:c>
      <x:c r="P668" s="56" t="str"/>
      <x:c r="Q668" s="59" t="str">
        <x:v>待确认</x:v>
      </x:c>
    </x:row>
    <x:row r="669">
      <x:c r="A669" s="56" t="str">
        <x:v>P017</x:v>
      </x:c>
      <x:c r="B669" s="56" t="str">
        <x:v>HX-ADD-005</x:v>
      </x:c>
      <x:c r="C669" s="56" t="str">
        <x:v>exam</x:v>
      </x:c>
      <x:c r="D669" s="56" t="n">
        <x:v>35</x:v>
      </x:c>
      <x:c r="E669" s="56" t="str">
        <x:v>exam.targeted</x:v>
      </x:c>
      <x:c r="F669" s="56" t="str">
        <x:v>病例针对性查体</x:v>
      </x:c>
      <x:c r="G669" s="56" t="n">
        <x:v>11</x:v>
      </x:c>
      <x:c r="H669" s="56" t="str">
        <x:v>普通得分项</x:v>
      </x:c>
      <x:c r="I669" s="56" t="str">
        <x:v>否</x:v>
      </x:c>
      <x:c r="J669" s="56" t="str">
        <x:v>否</x:v>
      </x:c>
      <x:c r="K669" s="56" t="str">
        <x:v>否</x:v>
      </x:c>
      <x:c r="L669" s="56" t="str">
        <x:v>按结构化事件证据给予0/部分/满分；不能由总结反推已完成</x:v>
      </x:c>
      <x:c r="M669" s="56" t="str"/>
      <x:c r="N669" s="56" t="n">
        <x:f>SUMIFS($G$4:$G$1673,$A$4:$A$1673,A669)</x:f>
        <x:v>360</x:v>
      </x:c>
      <x:c r="O669" s="56" t="str">
        <x:f>IF(N669=360,"通过","失败")</x:f>
        <x:v>通过</x:v>
      </x:c>
      <x:c r="P669" s="56" t="str"/>
      <x:c r="Q669" s="59" t="str">
        <x:v>待确认</x:v>
      </x:c>
    </x:row>
    <x:row r="670">
      <x:c r="A670" s="56" t="str">
        <x:v>P017</x:v>
      </x:c>
      <x:c r="B670" s="56" t="str">
        <x:v>HX-ADD-005</x:v>
      </x:c>
      <x:c r="C670" s="56" t="str">
        <x:v>diagnosis</x:v>
      </x:c>
      <x:c r="D670" s="56" t="n">
        <x:v>45</x:v>
      </x:c>
      <x:c r="E670" s="56" t="str">
        <x:v>diagnosis.primary</x:v>
      </x:c>
      <x:c r="F670" s="56" t="str">
        <x:v>最可能诊断及依据</x:v>
      </x:c>
      <x:c r="G670" s="56" t="n">
        <x:v>15</x:v>
      </x:c>
      <x:c r="H670" s="56" t="str">
        <x:v>普通得分项</x:v>
      </x:c>
      <x:c r="I670" s="56" t="str">
        <x:v>否</x:v>
      </x:c>
      <x:c r="J670" s="56" t="str">
        <x:v>否</x:v>
      </x:c>
      <x:c r="K670" s="56" t="str">
        <x:v>否</x:v>
      </x:c>
      <x:c r="L670" s="56" t="str">
        <x:v>按结构化事件证据给予0/部分/满分；不能由总结反推已完成</x:v>
      </x:c>
      <x:c r="M670" s="56" t="str"/>
      <x:c r="N670" s="56" t="n">
        <x:f>SUMIFS($G$4:$G$1673,$A$4:$A$1673,A670)</x:f>
        <x:v>360</x:v>
      </x:c>
      <x:c r="O670" s="56" t="str">
        <x:f>IF(N670=360,"通过","失败")</x:f>
        <x:v>通过</x:v>
      </x:c>
      <x:c r="P670" s="56" t="str"/>
      <x:c r="Q670" s="59" t="str">
        <x:v>待确认</x:v>
      </x:c>
    </x:row>
    <x:row r="671">
      <x:c r="A671" s="56" t="str">
        <x:v>P017</x:v>
      </x:c>
      <x:c r="B671" s="56" t="str">
        <x:v>HX-ADD-005</x:v>
      </x:c>
      <x:c r="C671" s="56" t="str">
        <x:v>diagnosis</x:v>
      </x:c>
      <x:c r="D671" s="56" t="n">
        <x:v>45</x:v>
      </x:c>
      <x:c r="E671" s="56" t="str">
        <x:v>diagnosis.differentials</x:v>
      </x:c>
      <x:c r="F671" s="56" t="str">
        <x:v>至少3项鉴别及支持/反对点</x:v>
      </x:c>
      <x:c r="G671" s="56" t="n">
        <x:v>15</x:v>
      </x:c>
      <x:c r="H671" s="56" t="str">
        <x:v>普通得分项</x:v>
      </x:c>
      <x:c r="I671" s="56" t="str">
        <x:v>否</x:v>
      </x:c>
      <x:c r="J671" s="56" t="str">
        <x:v>否</x:v>
      </x:c>
      <x:c r="K671" s="56" t="str">
        <x:v>否</x:v>
      </x:c>
      <x:c r="L671" s="56" t="str">
        <x:v>按结构化事件证据给予0/部分/满分；不能由总结反推已完成</x:v>
      </x:c>
      <x:c r="M671" s="56" t="str"/>
      <x:c r="N671" s="56" t="n">
        <x:f>SUMIFS($G$4:$G$1673,$A$4:$A$1673,A671)</x:f>
        <x:v>360</x:v>
      </x:c>
      <x:c r="O671" s="56" t="str">
        <x:f>IF(N671=360,"通过","失败")</x:f>
        <x:v>通过</x:v>
      </x:c>
      <x:c r="P671" s="56" t="str"/>
      <x:c r="Q671" s="59" t="str">
        <x:v>待确认</x:v>
      </x:c>
    </x:row>
    <x:row r="672">
      <x:c r="A672" s="56" t="str">
        <x:v>P017</x:v>
      </x:c>
      <x:c r="B672" s="56" t="str">
        <x:v>HX-ADD-005</x:v>
      </x:c>
      <x:c r="C672" s="56" t="str">
        <x:v>diagnosis</x:v>
      </x:c>
      <x:c r="D672" s="56" t="n">
        <x:v>45</x:v>
      </x:c>
      <x:c r="E672" s="56" t="str">
        <x:v>diagnosis.confirmation</x:v>
      </x:c>
      <x:c r="F672" s="56" t="str">
        <x:v>确认计划</x:v>
      </x:c>
      <x:c r="G672" s="56" t="n">
        <x:v>15</x:v>
      </x:c>
      <x:c r="H672" s="56" t="str">
        <x:v>普通得分项</x:v>
      </x:c>
      <x:c r="I672" s="56" t="str">
        <x:v>否</x:v>
      </x:c>
      <x:c r="J672" s="56" t="str">
        <x:v>否</x:v>
      </x:c>
      <x:c r="K672" s="56" t="str">
        <x:v>否</x:v>
      </x:c>
      <x:c r="L672" s="56" t="str">
        <x:v>按结构化事件证据给予0/部分/满分；不能由总结反推已完成</x:v>
      </x:c>
      <x:c r="M672" s="56" t="str"/>
      <x:c r="N672" s="56" t="n">
        <x:f>SUMIFS($G$4:$G$1673,$A$4:$A$1673,A672)</x:f>
        <x:v>360</x:v>
      </x:c>
      <x:c r="O672" s="56" t="str">
        <x:f>IF(N672=360,"通过","失败")</x:f>
        <x:v>通过</x:v>
      </x:c>
      <x:c r="P672" s="56" t="str"/>
      <x:c r="Q672" s="59" t="str">
        <x:v>待确认</x:v>
      </x:c>
    </x:row>
    <x:row r="673">
      <x:c r="A673" s="56" t="str">
        <x:v>P017</x:v>
      </x:c>
      <x:c r="B673" s="56" t="str">
        <x:v>HX-ADD-005</x:v>
      </x:c>
      <x:c r="C673" s="56" t="str">
        <x:v>orders</x:v>
      </x:c>
      <x:c r="D673" s="56" t="n">
        <x:v>55</x:v>
      </x:c>
      <x:c r="E673" s="56" t="str">
        <x:v>orders.LAB-UR-001</x:v>
      </x:c>
      <x:c r="F673" s="56" t="str">
        <x:v>LAB-UR-001</x:v>
      </x:c>
      <x:c r="G673" s="56" t="n">
        <x:v>11</x:v>
      </x:c>
      <x:c r="H673" s="56" t="str">
        <x:v>病例特异得分项</x:v>
      </x:c>
      <x:c r="I673" s="56" t="str">
        <x:v>否</x:v>
      </x:c>
      <x:c r="J673" s="56" t="str">
        <x:v>否</x:v>
      </x:c>
      <x:c r="K673" s="56" t="str">
        <x:v>否</x:v>
      </x:c>
      <x:c r="L673" s="56" t="str">
        <x:v>按结构化事件证据给予0/部分/满分；不能由总结反推已完成</x:v>
      </x:c>
      <x:c r="M673" s="56" t="str"/>
      <x:c r="N673" s="56" t="n">
        <x:f>SUMIFS($G$4:$G$1673,$A$4:$A$1673,A673)</x:f>
        <x:v>360</x:v>
      </x:c>
      <x:c r="O673" s="56" t="str">
        <x:f>IF(N673=360,"通过","失败")</x:f>
        <x:v>通过</x:v>
      </x:c>
      <x:c r="P673" s="56" t="str"/>
      <x:c r="Q673" s="59" t="str">
        <x:v>待确认</x:v>
      </x:c>
    </x:row>
    <x:row r="674">
      <x:c r="A674" s="56" t="str">
        <x:v>P017</x:v>
      </x:c>
      <x:c r="B674" s="56" t="str">
        <x:v>HX-ADD-005</x:v>
      </x:c>
      <x:c r="C674" s="56" t="str">
        <x:v>orders</x:v>
      </x:c>
      <x:c r="D674" s="56" t="n">
        <x:v>55</x:v>
      </x:c>
      <x:c r="E674" s="56" t="str">
        <x:v>orders.LAB-UR-002</x:v>
      </x:c>
      <x:c r="F674" s="56" t="str">
        <x:v>LAB-UR-002</x:v>
      </x:c>
      <x:c r="G674" s="56" t="n">
        <x:v>11</x:v>
      </x:c>
      <x:c r="H674" s="56" t="str">
        <x:v>病例特异得分项</x:v>
      </x:c>
      <x:c r="I674" s="56" t="str">
        <x:v>否</x:v>
      </x:c>
      <x:c r="J674" s="56" t="str">
        <x:v>否</x:v>
      </x:c>
      <x:c r="K674" s="56" t="str">
        <x:v>否</x:v>
      </x:c>
      <x:c r="L674" s="56" t="str">
        <x:v>按结构化事件证据给予0/部分/满分；不能由总结反推已完成</x:v>
      </x:c>
      <x:c r="M674" s="56" t="str"/>
      <x:c r="N674" s="56" t="n">
        <x:f>SUMIFS($G$4:$G$1673,$A$4:$A$1673,A674)</x:f>
        <x:v>360</x:v>
      </x:c>
      <x:c r="O674" s="56" t="str">
        <x:f>IF(N674=360,"通过","失败")</x:f>
        <x:v>通过</x:v>
      </x:c>
      <x:c r="P674" s="56" t="str"/>
      <x:c r="Q674" s="59" t="str">
        <x:v>待确认</x:v>
      </x:c>
    </x:row>
    <x:row r="675">
      <x:c r="A675" s="56" t="str">
        <x:v>P017</x:v>
      </x:c>
      <x:c r="B675" s="56" t="str">
        <x:v>HX-ADD-005</x:v>
      </x:c>
      <x:c r="C675" s="56" t="str">
        <x:v>orders</x:v>
      </x:c>
      <x:c r="D675" s="56" t="n">
        <x:v>55</x:v>
      </x:c>
      <x:c r="E675" s="56" t="str">
        <x:v>orders.LAB-BL-001</x:v>
      </x:c>
      <x:c r="F675" s="56" t="str">
        <x:v>LAB-BL-001</x:v>
      </x:c>
      <x:c r="G675" s="56" t="n">
        <x:v>11</x:v>
      </x:c>
      <x:c r="H675" s="56" t="str">
        <x:v>病例特异得分项</x:v>
      </x:c>
      <x:c r="I675" s="56" t="str">
        <x:v>否</x:v>
      </x:c>
      <x:c r="J675" s="56" t="str">
        <x:v>否</x:v>
      </x:c>
      <x:c r="K675" s="56" t="str">
        <x:v>否</x:v>
      </x:c>
      <x:c r="L675" s="56" t="str">
        <x:v>按结构化事件证据给予0/部分/满分；不能由总结反推已完成</x:v>
      </x:c>
      <x:c r="M675" s="56" t="str"/>
      <x:c r="N675" s="56" t="n">
        <x:f>SUMIFS($G$4:$G$1673,$A$4:$A$1673,A675)</x:f>
        <x:v>360</x:v>
      </x:c>
      <x:c r="O675" s="56" t="str">
        <x:f>IF(N675=360,"通过","失败")</x:f>
        <x:v>通过</x:v>
      </x:c>
      <x:c r="P675" s="56" t="str"/>
      <x:c r="Q675" s="59" t="str">
        <x:v>待确认</x:v>
      </x:c>
    </x:row>
    <x:row r="676">
      <x:c r="A676" s="56" t="str">
        <x:v>P017</x:v>
      </x:c>
      <x:c r="B676" s="56" t="str">
        <x:v>HX-ADD-005</x:v>
      </x:c>
      <x:c r="C676" s="56" t="str">
        <x:v>orders</x:v>
      </x:c>
      <x:c r="D676" s="56" t="n">
        <x:v>55</x:v>
      </x:c>
      <x:c r="E676" s="56" t="str">
        <x:v>orders.LAB-BL-006</x:v>
      </x:c>
      <x:c r="F676" s="56" t="str">
        <x:v>LAB-BL-006</x:v>
      </x:c>
      <x:c r="G676" s="56" t="n">
        <x:v>11</x:v>
      </x:c>
      <x:c r="H676" s="56" t="str">
        <x:v>病例特异得分项</x:v>
      </x:c>
      <x:c r="I676" s="56" t="str">
        <x:v>否</x:v>
      </x:c>
      <x:c r="J676" s="56" t="str">
        <x:v>否</x:v>
      </x:c>
      <x:c r="K676" s="56" t="str">
        <x:v>否</x:v>
      </x:c>
      <x:c r="L676" s="56" t="str">
        <x:v>按结构化事件证据给予0/部分/满分；不能由总结反推已完成</x:v>
      </x:c>
      <x:c r="M676" s="56" t="str"/>
      <x:c r="N676" s="56" t="n">
        <x:f>SUMIFS($G$4:$G$1673,$A$4:$A$1673,A676)</x:f>
        <x:v>360</x:v>
      </x:c>
      <x:c r="O676" s="56" t="str">
        <x:f>IF(N676=360,"通过","失败")</x:f>
        <x:v>通过</x:v>
      </x:c>
      <x:c r="P676" s="56" t="str"/>
      <x:c r="Q676" s="59" t="str">
        <x:v>待确认</x:v>
      </x:c>
    </x:row>
    <x:row r="677">
      <x:c r="A677" s="56" t="str">
        <x:v>P017</x:v>
      </x:c>
      <x:c r="B677" s="56" t="str">
        <x:v>HX-ADD-005</x:v>
      </x:c>
      <x:c r="C677" s="56" t="str">
        <x:v>orders</x:v>
      </x:c>
      <x:c r="D677" s="56" t="n">
        <x:v>55</x:v>
      </x:c>
      <x:c r="E677" s="56" t="str">
        <x:v>orders.LAB-BL-003</x:v>
      </x:c>
      <x:c r="F677" s="56" t="str">
        <x:v>LAB-BL-003</x:v>
      </x:c>
      <x:c r="G677" s="56" t="n">
        <x:v>11</x:v>
      </x:c>
      <x:c r="H677" s="56" t="str">
        <x:v>病例特异得分项</x:v>
      </x:c>
      <x:c r="I677" s="56" t="str">
        <x:v>否</x:v>
      </x:c>
      <x:c r="J677" s="56" t="str">
        <x:v>否</x:v>
      </x:c>
      <x:c r="K677" s="56" t="str">
        <x:v>否</x:v>
      </x:c>
      <x:c r="L677" s="56" t="str">
        <x:v>按结构化事件证据给予0/部分/满分；不能由总结反推已完成</x:v>
      </x:c>
      <x:c r="M677" s="56" t="str"/>
      <x:c r="N677" s="56" t="n">
        <x:f>SUMIFS($G$4:$G$1673,$A$4:$A$1673,A677)</x:f>
        <x:v>360</x:v>
      </x:c>
      <x:c r="O677" s="56" t="str">
        <x:f>IF(N677=360,"通过","失败")</x:f>
        <x:v>通过</x:v>
      </x:c>
      <x:c r="P677" s="56" t="str"/>
      <x:c r="Q677" s="59" t="str">
        <x:v>待确认</x:v>
      </x:c>
    </x:row>
    <x:row r="678">
      <x:c r="A678" s="56" t="str">
        <x:v>P017</x:v>
      </x:c>
      <x:c r="B678" s="56" t="str">
        <x:v>HX-ADD-005</x:v>
      </x:c>
      <x:c r="C678" s="56" t="str">
        <x:v>mdt</x:v>
      </x:c>
      <x:c r="D678" s="56" t="n">
        <x:v>45</x:v>
      </x:c>
      <x:c r="E678" s="56" t="str">
        <x:v>mdt.department</x:v>
      </x:c>
      <x:c r="F678" s="56" t="str">
        <x:v>department</x:v>
      </x:c>
      <x:c r="G678" s="56" t="n">
        <x:v>12</x:v>
      </x:c>
      <x:c r="H678" s="56" t="str">
        <x:v>病例特异得分项</x:v>
      </x:c>
      <x:c r="I678" s="56" t="str">
        <x:v>否</x:v>
      </x:c>
      <x:c r="J678" s="56" t="str">
        <x:v>否</x:v>
      </x:c>
      <x:c r="K678" s="56" t="str">
        <x:v>否</x:v>
      </x:c>
      <x:c r="L678" s="56" t="str">
        <x:v>按结构化事件证据给予0/部分/满分；不能由总结反推已完成</x:v>
      </x:c>
      <x:c r="M678" s="56" t="str"/>
      <x:c r="N678" s="56" t="n">
        <x:f>SUMIFS($G$4:$G$1673,$A$4:$A$1673,A678)</x:f>
        <x:v>360</x:v>
      </x:c>
      <x:c r="O678" s="56" t="str">
        <x:f>IF(N678=360,"通过","失败")</x:f>
        <x:v>通过</x:v>
      </x:c>
      <x:c r="P678" s="56" t="str"/>
      <x:c r="Q678" s="59" t="str">
        <x:v>待确认</x:v>
      </x:c>
    </x:row>
    <x:row r="679">
      <x:c r="A679" s="56" t="str">
        <x:v>P017</x:v>
      </x:c>
      <x:c r="B679" s="56" t="str">
        <x:v>HX-ADD-005</x:v>
      </x:c>
      <x:c r="C679" s="56" t="str">
        <x:v>mdt</x:v>
      </x:c>
      <x:c r="D679" s="56" t="n">
        <x:v>45</x:v>
      </x:c>
      <x:c r="E679" s="56" t="str">
        <x:v>mdt.trigger</x:v>
      </x:c>
      <x:c r="F679" s="56" t="str">
        <x:v>trigger</x:v>
      </x:c>
      <x:c r="G679" s="56" t="n">
        <x:v>11</x:v>
      </x:c>
      <x:c r="H679" s="56" t="str">
        <x:v>病例特异得分项</x:v>
      </x:c>
      <x:c r="I679" s="56" t="str">
        <x:v>否</x:v>
      </x:c>
      <x:c r="J679" s="56" t="str">
        <x:v>否</x:v>
      </x:c>
      <x:c r="K679" s="56" t="str">
        <x:v>否</x:v>
      </x:c>
      <x:c r="L679" s="56" t="str">
        <x:v>按结构化事件证据给予0/部分/满分；不能由总结反推已完成</x:v>
      </x:c>
      <x:c r="M679" s="56" t="str"/>
      <x:c r="N679" s="56" t="n">
        <x:f>SUMIFS($G$4:$G$1673,$A$4:$A$1673,A679)</x:f>
        <x:v>360</x:v>
      </x:c>
      <x:c r="O679" s="56" t="str">
        <x:f>IF(N679=360,"通过","失败")</x:f>
        <x:v>通过</x:v>
      </x:c>
      <x:c r="P679" s="56" t="str"/>
      <x:c r="Q679" s="59" t="str">
        <x:v>待确认</x:v>
      </x:c>
    </x:row>
    <x:row r="680">
      <x:c r="A680" s="56" t="str">
        <x:v>P017</x:v>
      </x:c>
      <x:c r="B680" s="56" t="str">
        <x:v>HX-ADD-005</x:v>
      </x:c>
      <x:c r="C680" s="56" t="str">
        <x:v>mdt</x:v>
      </x:c>
      <x:c r="D680" s="56" t="n">
        <x:v>45</x:v>
      </x:c>
      <x:c r="E680" s="56" t="str">
        <x:v>mdt.question</x:v>
      </x:c>
      <x:c r="F680" s="56" t="str">
        <x:v>question</x:v>
      </x:c>
      <x:c r="G680" s="56" t="n">
        <x:v>11</x:v>
      </x:c>
      <x:c r="H680" s="56" t="str">
        <x:v>病例特异得分项</x:v>
      </x:c>
      <x:c r="I680" s="56" t="str">
        <x:v>否</x:v>
      </x:c>
      <x:c r="J680" s="56" t="str">
        <x:v>否</x:v>
      </x:c>
      <x:c r="K680" s="56" t="str">
        <x:v>否</x:v>
      </x:c>
      <x:c r="L680" s="56" t="str">
        <x:v>按结构化事件证据给予0/部分/满分；不能由总结反推已完成</x:v>
      </x:c>
      <x:c r="M680" s="56" t="str"/>
      <x:c r="N680" s="56" t="n">
        <x:f>SUMIFS($G$4:$G$1673,$A$4:$A$1673,A680)</x:f>
        <x:v>360</x:v>
      </x:c>
      <x:c r="O680" s="56" t="str">
        <x:f>IF(N680=360,"通过","失败")</x:f>
        <x:v>通过</x:v>
      </x:c>
      <x:c r="P680" s="56" t="str"/>
      <x:c r="Q680" s="59" t="str">
        <x:v>待确认</x:v>
      </x:c>
    </x:row>
    <x:row r="681">
      <x:c r="A681" s="56" t="str">
        <x:v>P017</x:v>
      </x:c>
      <x:c r="B681" s="56" t="str">
        <x:v>HX-ADD-005</x:v>
      </x:c>
      <x:c r="C681" s="56" t="str">
        <x:v>mdt</x:v>
      </x:c>
      <x:c r="D681" s="56" t="n">
        <x:v>45</x:v>
      </x:c>
      <x:c r="E681" s="56" t="str">
        <x:v>mdt.evidence</x:v>
      </x:c>
      <x:c r="F681" s="56" t="str">
        <x:v>evidence</x:v>
      </x:c>
      <x:c r="G681" s="56" t="n">
        <x:v>11</x:v>
      </x:c>
      <x:c r="H681" s="56" t="str">
        <x:v>病例特异得分项</x:v>
      </x:c>
      <x:c r="I681" s="56" t="str">
        <x:v>否</x:v>
      </x:c>
      <x:c r="J681" s="56" t="str">
        <x:v>否</x:v>
      </x:c>
      <x:c r="K681" s="56" t="str">
        <x:v>否</x:v>
      </x:c>
      <x:c r="L681" s="56" t="str">
        <x:v>按结构化事件证据给予0/部分/满分；不能由总结反推已完成</x:v>
      </x:c>
      <x:c r="M681" s="56" t="str"/>
      <x:c r="N681" s="56" t="n">
        <x:f>SUMIFS($G$4:$G$1673,$A$4:$A$1673,A681)</x:f>
        <x:v>360</x:v>
      </x:c>
      <x:c r="O681" s="56" t="str">
        <x:f>IF(N681=360,"通过","失败")</x:f>
        <x:v>通过</x:v>
      </x:c>
      <x:c r="P681" s="56" t="str"/>
      <x:c r="Q681" s="59" t="str">
        <x:v>待确认</x:v>
      </x:c>
    </x:row>
    <x:row r="682">
      <x:c r="A682" s="56" t="str">
        <x:v>P017</x:v>
      </x:c>
      <x:c r="B682" s="56" t="str">
        <x:v>HX-ADD-005</x:v>
      </x:c>
      <x:c r="C682" s="56" t="str">
        <x:v>treatment</x:v>
      </x:c>
      <x:c r="D682" s="56" t="n">
        <x:v>50</x:v>
      </x:c>
      <x:c r="E682" s="56" t="str">
        <x:v>treatment.immediate</x:v>
      </x:c>
      <x:c r="F682" s="56" t="str">
        <x:v>immediate</x:v>
      </x:c>
      <x:c r="G682" s="56" t="n">
        <x:v>13</x:v>
      </x:c>
      <x:c r="H682" s="56" t="str">
        <x:v>病例特异得分项</x:v>
      </x:c>
      <x:c r="I682" s="56" t="str">
        <x:v>否</x:v>
      </x:c>
      <x:c r="J682" s="56" t="str">
        <x:v>否</x:v>
      </x:c>
      <x:c r="K682" s="56" t="str">
        <x:v>否</x:v>
      </x:c>
      <x:c r="L682" s="56" t="str">
        <x:v>按结构化事件证据给予0/部分/满分；不能由总结反推已完成</x:v>
      </x:c>
      <x:c r="M682" s="56" t="str"/>
      <x:c r="N682" s="56" t="n">
        <x:f>SUMIFS($G$4:$G$1673,$A$4:$A$1673,A682)</x:f>
        <x:v>360</x:v>
      </x:c>
      <x:c r="O682" s="56" t="str">
        <x:f>IF(N682=360,"通过","失败")</x:f>
        <x:v>通过</x:v>
      </x:c>
      <x:c r="P682" s="56" t="str"/>
      <x:c r="Q682" s="59" t="str">
        <x:v>待确认</x:v>
      </x:c>
    </x:row>
    <x:row r="683">
      <x:c r="A683" s="56" t="str">
        <x:v>P017</x:v>
      </x:c>
      <x:c r="B683" s="56" t="str">
        <x:v>HX-ADD-005</x:v>
      </x:c>
      <x:c r="C683" s="56" t="str">
        <x:v>treatment</x:v>
      </x:c>
      <x:c r="D683" s="56" t="n">
        <x:v>50</x:v>
      </x:c>
      <x:c r="E683" s="56" t="str">
        <x:v>treatment.etiologic</x:v>
      </x:c>
      <x:c r="F683" s="56" t="str">
        <x:v>etiologic</x:v>
      </x:c>
      <x:c r="G683" s="56" t="n">
        <x:v>13</x:v>
      </x:c>
      <x:c r="H683" s="56" t="str">
        <x:v>病例特异得分项</x:v>
      </x:c>
      <x:c r="I683" s="56" t="str">
        <x:v>否</x:v>
      </x:c>
      <x:c r="J683" s="56" t="str">
        <x:v>否</x:v>
      </x:c>
      <x:c r="K683" s="56" t="str">
        <x:v>否</x:v>
      </x:c>
      <x:c r="L683" s="56" t="str">
        <x:v>按结构化事件证据给予0/部分/满分；不能由总结反推已完成</x:v>
      </x:c>
      <x:c r="M683" s="56" t="str"/>
      <x:c r="N683" s="56" t="n">
        <x:f>SUMIFS($G$4:$G$1673,$A$4:$A$1673,A683)</x:f>
        <x:v>360</x:v>
      </x:c>
      <x:c r="O683" s="56" t="str">
        <x:f>IF(N683=360,"通过","失败")</x:f>
        <x:v>通过</x:v>
      </x:c>
      <x:c r="P683" s="56" t="str"/>
      <x:c r="Q683" s="59" t="str">
        <x:v>待确认</x:v>
      </x:c>
    </x:row>
    <x:row r="684">
      <x:c r="A684" s="56" t="str">
        <x:v>P017</x:v>
      </x:c>
      <x:c r="B684" s="56" t="str">
        <x:v>HX-ADD-005</x:v>
      </x:c>
      <x:c r="C684" s="56" t="str">
        <x:v>treatment</x:v>
      </x:c>
      <x:c r="D684" s="56" t="n">
        <x:v>50</x:v>
      </x:c>
      <x:c r="E684" s="56" t="str">
        <x:v>treatment.definitive</x:v>
      </x:c>
      <x:c r="F684" s="56" t="str">
        <x:v>definitive</x:v>
      </x:c>
      <x:c r="G684" s="56" t="n">
        <x:v>12</x:v>
      </x:c>
      <x:c r="H684" s="56" t="str">
        <x:v>病例特异得分项</x:v>
      </x:c>
      <x:c r="I684" s="56" t="str">
        <x:v>否</x:v>
      </x:c>
      <x:c r="J684" s="56" t="str">
        <x:v>否</x:v>
      </x:c>
      <x:c r="K684" s="56" t="str">
        <x:v>否</x:v>
      </x:c>
      <x:c r="L684" s="56" t="str">
        <x:v>按结构化事件证据给予0/部分/满分；不能由总结反推已完成</x:v>
      </x:c>
      <x:c r="M684" s="56" t="str"/>
      <x:c r="N684" s="56" t="n">
        <x:f>SUMIFS($G$4:$G$1673,$A$4:$A$1673,A684)</x:f>
        <x:v>360</x:v>
      </x:c>
      <x:c r="O684" s="56" t="str">
        <x:f>IF(N684=360,"通过","失败")</x:f>
        <x:v>通过</x:v>
      </x:c>
      <x:c r="P684" s="56" t="str"/>
      <x:c r="Q684" s="59" t="str">
        <x:v>待确认</x:v>
      </x:c>
    </x:row>
    <x:row r="685">
      <x:c r="A685" s="56" t="str">
        <x:v>P017</x:v>
      </x:c>
      <x:c r="B685" s="56" t="str">
        <x:v>HX-ADD-005</x:v>
      </x:c>
      <x:c r="C685" s="56" t="str">
        <x:v>treatment</x:v>
      </x:c>
      <x:c r="D685" s="56" t="n">
        <x:v>50</x:v>
      </x:c>
      <x:c r="E685" s="56" t="str">
        <x:v>treatment.perioperative</x:v>
      </x:c>
      <x:c r="F685" s="56" t="str">
        <x:v>perioperative</x:v>
      </x:c>
      <x:c r="G685" s="56" t="n">
        <x:v>12</x:v>
      </x:c>
      <x:c r="H685" s="56" t="str">
        <x:v>病例特异得分项</x:v>
      </x:c>
      <x:c r="I685" s="56" t="str">
        <x:v>否</x:v>
      </x:c>
      <x:c r="J685" s="56" t="str">
        <x:v>否</x:v>
      </x:c>
      <x:c r="K685" s="56" t="str">
        <x:v>否</x:v>
      </x:c>
      <x:c r="L685" s="56" t="str">
        <x:v>按结构化事件证据给予0/部分/满分；不能由总结反推已完成</x:v>
      </x:c>
      <x:c r="M685" s="56" t="str"/>
      <x:c r="N685" s="56" t="n">
        <x:f>SUMIFS($G$4:$G$1673,$A$4:$A$1673,A685)</x:f>
        <x:v>360</x:v>
      </x:c>
      <x:c r="O685" s="56" t="str">
        <x:f>IF(N685=360,"通过","失败")</x:f>
        <x:v>通过</x:v>
      </x:c>
      <x:c r="P685" s="56" t="str"/>
      <x:c r="Q685" s="59" t="str">
        <x:v>待确认</x:v>
      </x:c>
    </x:row>
    <x:row r="686">
      <x:c r="A686" s="56" t="str">
        <x:v>P017</x:v>
      </x:c>
      <x:c r="B686" s="56" t="str">
        <x:v>HX-ADD-005</x:v>
      </x:c>
      <x:c r="C686" s="56" t="str">
        <x:v>followup</x:v>
      </x:c>
      <x:c r="D686" s="56" t="n">
        <x:v>40</x:v>
      </x:c>
      <x:c r="E686" s="56" t="str">
        <x:v>followup.plan</x:v>
      </x:c>
      <x:c r="F686" s="56" t="str">
        <x:v>随访复查</x:v>
      </x:c>
      <x:c r="G686" s="56" t="n">
        <x:v>10</x:v>
      </x:c>
      <x:c r="H686" s="56" t="str">
        <x:v>普通得分项</x:v>
      </x:c>
      <x:c r="I686" s="56" t="str">
        <x:v>否</x:v>
      </x:c>
      <x:c r="J686" s="56" t="str">
        <x:v>否</x:v>
      </x:c>
      <x:c r="K686" s="56" t="str">
        <x:v>否</x:v>
      </x:c>
      <x:c r="L686" s="56" t="str">
        <x:v>按结构化事件证据给予0/部分/满分；不能由总结反推已完成</x:v>
      </x:c>
      <x:c r="M686" s="56" t="str"/>
      <x:c r="N686" s="56" t="n">
        <x:f>SUMIFS($G$4:$G$1673,$A$4:$A$1673,A686)</x:f>
        <x:v>360</x:v>
      </x:c>
      <x:c r="O686" s="56" t="str">
        <x:f>IF(N686=360,"通过","失败")</x:f>
        <x:v>通过</x:v>
      </x:c>
      <x:c r="P686" s="56" t="str"/>
      <x:c r="Q686" s="59" t="str">
        <x:v>待确认</x:v>
      </x:c>
    </x:row>
    <x:row r="687">
      <x:c r="A687" s="56" t="str">
        <x:v>P017</x:v>
      </x:c>
      <x:c r="B687" s="56" t="str">
        <x:v>HX-ADD-005</x:v>
      </x:c>
      <x:c r="C687" s="56" t="str">
        <x:v>followup</x:v>
      </x:c>
      <x:c r="D687" s="56" t="n">
        <x:v>40</x:v>
      </x:c>
      <x:c r="E687" s="56" t="str">
        <x:v>followup.education</x:v>
      </x:c>
      <x:c r="F687" s="56" t="str">
        <x:v>患者教育</x:v>
      </x:c>
      <x:c r="G687" s="56" t="n">
        <x:v>10</x:v>
      </x:c>
      <x:c r="H687" s="56" t="str">
        <x:v>普通得分项</x:v>
      </x:c>
      <x:c r="I687" s="56" t="str">
        <x:v>否</x:v>
      </x:c>
      <x:c r="J687" s="56" t="str">
        <x:v>否</x:v>
      </x:c>
      <x:c r="K687" s="56" t="str">
        <x:v>否</x:v>
      </x:c>
      <x:c r="L687" s="56" t="str">
        <x:v>按结构化事件证据给予0/部分/满分；不能由总结反推已完成</x:v>
      </x:c>
      <x:c r="M687" s="56" t="str"/>
      <x:c r="N687" s="56" t="n">
        <x:f>SUMIFS($G$4:$G$1673,$A$4:$A$1673,A687)</x:f>
        <x:v>360</x:v>
      </x:c>
      <x:c r="O687" s="56" t="str">
        <x:f>IF(N687=360,"通过","失败")</x:f>
        <x:v>通过</x:v>
      </x:c>
      <x:c r="P687" s="56" t="str"/>
      <x:c r="Q687" s="59" t="str">
        <x:v>待确认</x:v>
      </x:c>
    </x:row>
    <x:row r="688">
      <x:c r="A688" s="56" t="str">
        <x:v>P017</x:v>
      </x:c>
      <x:c r="B688" s="56" t="str">
        <x:v>HX-ADD-005</x:v>
      </x:c>
      <x:c r="C688" s="56" t="str">
        <x:v>followup</x:v>
      </x:c>
      <x:c r="D688" s="56" t="n">
        <x:v>40</x:v>
      </x:c>
      <x:c r="E688" s="56" t="str">
        <x:v>followup.reflection</x:v>
      </x:c>
      <x:c r="F688" s="56" t="str">
        <x:v>学习反思质量</x:v>
      </x:c>
      <x:c r="G688" s="56" t="n">
        <x:v>10</x:v>
      </x:c>
      <x:c r="H688" s="56" t="str">
        <x:v>普通得分项</x:v>
      </x:c>
      <x:c r="I688" s="56" t="str">
        <x:v>否</x:v>
      </x:c>
      <x:c r="J688" s="56" t="str">
        <x:v>否</x:v>
      </x:c>
      <x:c r="K688" s="56" t="str">
        <x:v>否</x:v>
      </x:c>
      <x:c r="L688" s="56" t="str">
        <x:v>按结构化事件证据给予0/部分/满分；不能由总结反推已完成</x:v>
      </x:c>
      <x:c r="M688" s="56" t="str"/>
      <x:c r="N688" s="56" t="n">
        <x:f>SUMIFS($G$4:$G$1673,$A$4:$A$1673,A688)</x:f>
        <x:v>360</x:v>
      </x:c>
      <x:c r="O688" s="56" t="str">
        <x:f>IF(N688=360,"通过","失败")</x:f>
        <x:v>通过</x:v>
      </x:c>
      <x:c r="P688" s="56" t="str"/>
      <x:c r="Q688" s="59" t="str">
        <x:v>待确认</x:v>
      </x:c>
    </x:row>
    <x:row r="689">
      <x:c r="A689" s="56" t="str">
        <x:v>P017</x:v>
      </x:c>
      <x:c r="B689" s="56" t="str">
        <x:v>HX-ADD-005</x:v>
      </x:c>
      <x:c r="C689" s="56" t="str">
        <x:v>followup</x:v>
      </x:c>
      <x:c r="D689" s="56" t="n">
        <x:v>40</x:v>
      </x:c>
      <x:c r="E689" s="56" t="str">
        <x:v>followup.efficiency</x:v>
      </x:c>
      <x:c r="F689" s="56" t="str">
        <x:v>操作效率</x:v>
      </x:c>
      <x:c r="G689" s="56" t="n">
        <x:v>10</x:v>
      </x:c>
      <x:c r="H689" s="56" t="str">
        <x:v>普通得分项</x:v>
      </x:c>
      <x:c r="I689" s="56" t="str">
        <x:v>否</x:v>
      </x:c>
      <x:c r="J689" s="56" t="str">
        <x:v>否</x:v>
      </x:c>
      <x:c r="K689" s="56" t="str">
        <x:v>否</x:v>
      </x:c>
      <x:c r="L689" s="56" t="str">
        <x:v>按结构化事件证据给予0/部分/满分；不能由总结反推已完成</x:v>
      </x:c>
      <x:c r="M689" s="56" t="str"/>
      <x:c r="N689" s="56" t="n">
        <x:f>SUMIFS($G$4:$G$1673,$A$4:$A$1673,A689)</x:f>
        <x:v>360</x:v>
      </x:c>
      <x:c r="O689" s="56" t="str">
        <x:f>IF(N689=360,"通过","失败")</x:f>
        <x:v>通过</x:v>
      </x:c>
      <x:c r="P689" s="56" t="str"/>
      <x:c r="Q689" s="59" t="str">
        <x:v>待确认</x:v>
      </x:c>
    </x:row>
    <x:row r="690">
      <x:c r="A690" s="56" t="str">
        <x:v>P017</x:v>
      </x:c>
      <x:c r="B690" s="56" t="str">
        <x:v>HX-ADD-005</x:v>
      </x:c>
      <x:c r="C690" s="56" t="str">
        <x:v>safety_gate</x:v>
      </x:c>
      <x:c r="D690" s="56" t="n">
        <x:v>0</x:v>
      </x:c>
      <x:c r="E690" s="56" t="str">
        <x:v>safety.P017.1</x:v>
      </x:c>
      <x:c r="F690" s="56" t="str">
        <x:v>把抗凝药作为血尿唯一原因</x:v>
      </x:c>
      <x:c r="G690" s="56" t="n">
        <x:v>0</x:v>
      </x:c>
      <x:c r="H690" s="56" t="str">
        <x:v>患者安全关键项</x:v>
      </x:c>
      <x:c r="I690" s="56" t="str">
        <x:v>是</x:v>
      </x:c>
      <x:c r="J690" s="56" t="str">
        <x:v>否</x:v>
      </x:c>
      <x:c r="K690" s="56" t="str">
        <x:v>是</x:v>
      </x:c>
      <x:c r="L690" s="56" t="str">
        <x:v>触发时不加分并按专家设定封顶</x:v>
      </x:c>
      <x:c r="M690" s="56" t="str">
        <x:v>把抗凝药作为血尿唯一原因</x:v>
      </x:c>
      <x:c r="N690" s="56" t="n">
        <x:f>SUMIFS($G$4:$G$1673,$A$4:$A$1673,A690)</x:f>
        <x:v>360</x:v>
      </x:c>
      <x:c r="O690" s="56" t="str">
        <x:f>IF(N690=360,"通过","失败")</x:f>
        <x:v>通过</x:v>
      </x:c>
      <x:c r="P690" s="56" t="str"/>
      <x:c r="Q690" s="59" t="str">
        <x:v>待确认</x:v>
      </x:c>
    </x:row>
    <x:row r="691">
      <x:c r="A691" s="56" t="str">
        <x:v>P017</x:v>
      </x:c>
      <x:c r="B691" s="56" t="str">
        <x:v>HX-ADD-005</x:v>
      </x:c>
      <x:c r="C691" s="56" t="str">
        <x:v>safety_gate</x:v>
      </x:c>
      <x:c r="D691" s="56" t="n">
        <x:v>0</x:v>
      </x:c>
      <x:c r="E691" s="56" t="str">
        <x:v>safety.P017.2</x:v>
      </x:c>
      <x:c r="F691" s="56" t="str">
        <x:v>未评估血栓风险即自行停用抗凝药</x:v>
      </x:c>
      <x:c r="G691" s="56" t="n">
        <x:v>0</x:v>
      </x:c>
      <x:c r="H691" s="56" t="str">
        <x:v>患者安全关键项</x:v>
      </x:c>
      <x:c r="I691" s="56" t="str">
        <x:v>是</x:v>
      </x:c>
      <x:c r="J691" s="56" t="str">
        <x:v>否</x:v>
      </x:c>
      <x:c r="K691" s="56" t="str">
        <x:v>是</x:v>
      </x:c>
      <x:c r="L691" s="56" t="str">
        <x:v>触发时不加分并按专家设定封顶</x:v>
      </x:c>
      <x:c r="M691" s="56" t="str">
        <x:v>未评估血栓风险即自行停用抗凝药</x:v>
      </x:c>
      <x:c r="N691" s="56" t="n">
        <x:f>SUMIFS($G$4:$G$1673,$A$4:$A$1673,A691)</x:f>
        <x:v>360</x:v>
      </x:c>
      <x:c r="O691" s="56" t="str">
        <x:f>IF(N691=360,"通过","失败")</x:f>
        <x:v>通过</x:v>
      </x:c>
      <x:c r="P691" s="56" t="str"/>
      <x:c r="Q691" s="59" t="str">
        <x:v>待确认</x:v>
      </x:c>
    </x:row>
    <x:row r="692">
      <x:c r="A692" s="56" t="str">
        <x:v>P018</x:v>
      </x:c>
      <x:c r="B692" s="56" t="str">
        <x:v>HX-ADD-006</x:v>
      </x:c>
      <x:c r="C692" s="56" t="str">
        <x:v>history</x:v>
      </x:c>
      <x:c r="D692" s="56" t="n">
        <x:v>50</x:v>
      </x:c>
      <x:c r="E692" s="56" t="str">
        <x:v>history.hematuria_visibility</x:v>
      </x:c>
      <x:c r="F692" s="56" t="str">
        <x:v>hematuria_visibility</x:v>
      </x:c>
      <x:c r="G692" s="56" t="n">
        <x:v>5</x:v>
      </x:c>
      <x:c r="H692" s="56" t="str">
        <x:v>普通得分项</x:v>
      </x:c>
      <x:c r="I692" s="56" t="str">
        <x:v>否</x:v>
      </x:c>
      <x:c r="J692" s="56" t="str">
        <x:v>否</x:v>
      </x:c>
      <x:c r="K692" s="56" t="str">
        <x:v>否</x:v>
      </x:c>
      <x:c r="L692" s="56" t="str">
        <x:v>按结构化事件证据给予0/部分/满分；不能由总结反推已完成</x:v>
      </x:c>
      <x:c r="M692" s="56" t="str"/>
      <x:c r="N692" s="56" t="n">
        <x:f>SUMIFS($G$4:$G$1673,$A$4:$A$1673,A692)</x:f>
        <x:v>360</x:v>
      </x:c>
      <x:c r="O692" s="56" t="str">
        <x:f>IF(N692=360,"通过","失败")</x:f>
        <x:v>通过</x:v>
      </x:c>
      <x:c r="P692" s="56" t="str"/>
      <x:c r="Q692" s="59" t="str">
        <x:v>待确认</x:v>
      </x:c>
    </x:row>
    <x:row r="693">
      <x:c r="A693" s="56" t="str">
        <x:v>P018</x:v>
      </x:c>
      <x:c r="B693" s="56" t="str">
        <x:v>HX-ADD-006</x:v>
      </x:c>
      <x:c r="C693" s="56" t="str">
        <x:v>history</x:v>
      </x:c>
      <x:c r="D693" s="56" t="n">
        <x:v>50</x:v>
      </x:c>
      <x:c r="E693" s="56" t="str">
        <x:v>history.hematuria_onset</x:v>
      </x:c>
      <x:c r="F693" s="56" t="str">
        <x:v>hematuria_onset</x:v>
      </x:c>
      <x:c r="G693" s="56" t="n">
        <x:v>5</x:v>
      </x:c>
      <x:c r="H693" s="56" t="str">
        <x:v>普通得分项</x:v>
      </x:c>
      <x:c r="I693" s="56" t="str">
        <x:v>否</x:v>
      </x:c>
      <x:c r="J693" s="56" t="str">
        <x:v>否</x:v>
      </x:c>
      <x:c r="K693" s="56" t="str">
        <x:v>否</x:v>
      </x:c>
      <x:c r="L693" s="56" t="str">
        <x:v>按结构化事件证据给予0/部分/满分；不能由总结反推已完成</x:v>
      </x:c>
      <x:c r="M693" s="56" t="str"/>
      <x:c r="N693" s="56" t="n">
        <x:f>SUMIFS($G$4:$G$1673,$A$4:$A$1673,A693)</x:f>
        <x:v>360</x:v>
      </x:c>
      <x:c r="O693" s="56" t="str">
        <x:f>IF(N693=360,"通过","失败")</x:f>
        <x:v>通过</x:v>
      </x:c>
      <x:c r="P693" s="56" t="str"/>
      <x:c r="Q693" s="59" t="str">
        <x:v>待确认</x:v>
      </x:c>
    </x:row>
    <x:row r="694">
      <x:c r="A694" s="56" t="str">
        <x:v>P018</x:v>
      </x:c>
      <x:c r="B694" s="56" t="str">
        <x:v>HX-ADD-006</x:v>
      </x:c>
      <x:c r="C694" s="56" t="str">
        <x:v>history</x:v>
      </x:c>
      <x:c r="D694" s="56" t="n">
        <x:v>50</x:v>
      </x:c>
      <x:c r="E694" s="56" t="str">
        <x:v>history.hematuria_frequency</x:v>
      </x:c>
      <x:c r="F694" s="56" t="str">
        <x:v>hematuria_frequency</x:v>
      </x:c>
      <x:c r="G694" s="56" t="n">
        <x:v>4</x:v>
      </x:c>
      <x:c r="H694" s="56" t="str">
        <x:v>普通得分项</x:v>
      </x:c>
      <x:c r="I694" s="56" t="str">
        <x:v>否</x:v>
      </x:c>
      <x:c r="J694" s="56" t="str">
        <x:v>否</x:v>
      </x:c>
      <x:c r="K694" s="56" t="str">
        <x:v>否</x:v>
      </x:c>
      <x:c r="L694" s="56" t="str">
        <x:v>按结构化事件证据给予0/部分/满分；不能由总结反推已完成</x:v>
      </x:c>
      <x:c r="M694" s="56" t="str"/>
      <x:c r="N694" s="56" t="n">
        <x:f>SUMIFS($G$4:$G$1673,$A$4:$A$1673,A694)</x:f>
        <x:v>360</x:v>
      </x:c>
      <x:c r="O694" s="56" t="str">
        <x:f>IF(N694=360,"通过","失败")</x:f>
        <x:v>通过</x:v>
      </x:c>
      <x:c r="P694" s="56" t="str"/>
      <x:c r="Q694" s="59" t="str">
        <x:v>待确认</x:v>
      </x:c>
    </x:row>
    <x:row r="695">
      <x:c r="A695" s="56" t="str">
        <x:v>P018</x:v>
      </x:c>
      <x:c r="B695" s="56" t="str">
        <x:v>HX-ADD-006</x:v>
      </x:c>
      <x:c r="C695" s="56" t="str">
        <x:v>history</x:v>
      </x:c>
      <x:c r="D695" s="56" t="n">
        <x:v>50</x:v>
      </x:c>
      <x:c r="E695" s="56" t="str">
        <x:v>history.hematuria_phase</x:v>
      </x:c>
      <x:c r="F695" s="56" t="str">
        <x:v>hematuria_phase</x:v>
      </x:c>
      <x:c r="G695" s="56" t="n">
        <x:v>4</x:v>
      </x:c>
      <x:c r="H695" s="56" t="str">
        <x:v>普通得分项</x:v>
      </x:c>
      <x:c r="I695" s="56" t="str">
        <x:v>否</x:v>
      </x:c>
      <x:c r="J695" s="56" t="str">
        <x:v>否</x:v>
      </x:c>
      <x:c r="K695" s="56" t="str">
        <x:v>否</x:v>
      </x:c>
      <x:c r="L695" s="56" t="str">
        <x:v>按结构化事件证据给予0/部分/满分；不能由总结反推已完成</x:v>
      </x:c>
      <x:c r="M695" s="56" t="str"/>
      <x:c r="N695" s="56" t="n">
        <x:f>SUMIFS($G$4:$G$1673,$A$4:$A$1673,A695)</x:f>
        <x:v>360</x:v>
      </x:c>
      <x:c r="O695" s="56" t="str">
        <x:f>IF(N695=360,"通过","失败")</x:f>
        <x:v>通过</x:v>
      </x:c>
      <x:c r="P695" s="56" t="str"/>
      <x:c r="Q695" s="59" t="str">
        <x:v>待确认</x:v>
      </x:c>
    </x:row>
    <x:row r="696">
      <x:c r="A696" s="56" t="str">
        <x:v>P018</x:v>
      </x:c>
      <x:c r="B696" s="56" t="str">
        <x:v>HX-ADD-006</x:v>
      </x:c>
      <x:c r="C696" s="56" t="str">
        <x:v>history</x:v>
      </x:c>
      <x:c r="D696" s="56" t="n">
        <x:v>50</x:v>
      </x:c>
      <x:c r="E696" s="56" t="str">
        <x:v>history.urine_color</x:v>
      </x:c>
      <x:c r="F696" s="56" t="str">
        <x:v>urine_color</x:v>
      </x:c>
      <x:c r="G696" s="56" t="n">
        <x:v>4</x:v>
      </x:c>
      <x:c r="H696" s="56" t="str">
        <x:v>普通得分项</x:v>
      </x:c>
      <x:c r="I696" s="56" t="str">
        <x:v>否</x:v>
      </x:c>
      <x:c r="J696" s="56" t="str">
        <x:v>否</x:v>
      </x:c>
      <x:c r="K696" s="56" t="str">
        <x:v>否</x:v>
      </x:c>
      <x:c r="L696" s="56" t="str">
        <x:v>按结构化事件证据给予0/部分/满分；不能由总结反推已完成</x:v>
      </x:c>
      <x:c r="M696" s="56" t="str"/>
      <x:c r="N696" s="56" t="n">
        <x:f>SUMIFS($G$4:$G$1673,$A$4:$A$1673,A696)</x:f>
        <x:v>360</x:v>
      </x:c>
      <x:c r="O696" s="56" t="str">
        <x:f>IF(N696=360,"通过","失败")</x:f>
        <x:v>通过</x:v>
      </x:c>
      <x:c r="P696" s="56" t="str"/>
      <x:c r="Q696" s="59" t="str">
        <x:v>待确认</x:v>
      </x:c>
    </x:row>
    <x:row r="697">
      <x:c r="A697" s="56" t="str">
        <x:v>P018</x:v>
      </x:c>
      <x:c r="B697" s="56" t="str">
        <x:v>HX-ADD-006</x:v>
      </x:c>
      <x:c r="C697" s="56" t="str">
        <x:v>history</x:v>
      </x:c>
      <x:c r="D697" s="56" t="n">
        <x:v>50</x:v>
      </x:c>
      <x:c r="E697" s="56" t="str">
        <x:v>history.clots</x:v>
      </x:c>
      <x:c r="F697" s="56" t="str">
        <x:v>clots</x:v>
      </x:c>
      <x:c r="G697" s="56" t="n">
        <x:v>4</x:v>
      </x:c>
      <x:c r="H697" s="56" t="str">
        <x:v>普通得分项</x:v>
      </x:c>
      <x:c r="I697" s="56" t="str">
        <x:v>否</x:v>
      </x:c>
      <x:c r="J697" s="56" t="str">
        <x:v>否</x:v>
      </x:c>
      <x:c r="K697" s="56" t="str">
        <x:v>否</x:v>
      </x:c>
      <x:c r="L697" s="56" t="str">
        <x:v>按结构化事件证据给予0/部分/满分；不能由总结反推已完成</x:v>
      </x:c>
      <x:c r="M697" s="56" t="str"/>
      <x:c r="N697" s="56" t="n">
        <x:f>SUMIFS($G$4:$G$1673,$A$4:$A$1673,A697)</x:f>
        <x:v>360</x:v>
      </x:c>
      <x:c r="O697" s="56" t="str">
        <x:f>IF(N697=360,"通过","失败")</x:f>
        <x:v>通过</x:v>
      </x:c>
      <x:c r="P697" s="56" t="str"/>
      <x:c r="Q697" s="59" t="str">
        <x:v>待确认</x:v>
      </x:c>
    </x:row>
    <x:row r="698">
      <x:c r="A698" s="56" t="str">
        <x:v>P018</x:v>
      </x:c>
      <x:c r="B698" s="56" t="str">
        <x:v>HX-ADD-006</x:v>
      </x:c>
      <x:c r="C698" s="56" t="str">
        <x:v>history</x:v>
      </x:c>
      <x:c r="D698" s="56" t="n">
        <x:v>50</x:v>
      </x:c>
      <x:c r="E698" s="56" t="str">
        <x:v>history.pain</x:v>
      </x:c>
      <x:c r="F698" s="56" t="str">
        <x:v>pain</x:v>
      </x:c>
      <x:c r="G698" s="56" t="n">
        <x:v>4</x:v>
      </x:c>
      <x:c r="H698" s="56" t="str">
        <x:v>普通得分项</x:v>
      </x:c>
      <x:c r="I698" s="56" t="str">
        <x:v>否</x:v>
      </x:c>
      <x:c r="J698" s="56" t="str">
        <x:v>否</x:v>
      </x:c>
      <x:c r="K698" s="56" t="str">
        <x:v>否</x:v>
      </x:c>
      <x:c r="L698" s="56" t="str">
        <x:v>按结构化事件证据给予0/部分/满分；不能由总结反推已完成</x:v>
      </x:c>
      <x:c r="M698" s="56" t="str"/>
      <x:c r="N698" s="56" t="n">
        <x:f>SUMIFS($G$4:$G$1673,$A$4:$A$1673,A698)</x:f>
        <x:v>360</x:v>
      </x:c>
      <x:c r="O698" s="56" t="str">
        <x:f>IF(N698=360,"通过","失败")</x:f>
        <x:v>通过</x:v>
      </x:c>
      <x:c r="P698" s="56" t="str"/>
      <x:c r="Q698" s="59" t="str">
        <x:v>待确认</x:v>
      </x:c>
    </x:row>
    <x:row r="699">
      <x:c r="A699" s="56" t="str">
        <x:v>P018</x:v>
      </x:c>
      <x:c r="B699" s="56" t="str">
        <x:v>HX-ADD-006</x:v>
      </x:c>
      <x:c r="C699" s="56" t="str">
        <x:v>history</x:v>
      </x:c>
      <x:c r="D699" s="56" t="n">
        <x:v>50</x:v>
      </x:c>
      <x:c r="E699" s="56" t="str">
        <x:v>history.dysuria</x:v>
      </x:c>
      <x:c r="F699" s="56" t="str">
        <x:v>dysuria</x:v>
      </x:c>
      <x:c r="G699" s="56" t="n">
        <x:v>4</x:v>
      </x:c>
      <x:c r="H699" s="56" t="str">
        <x:v>普通得分项</x:v>
      </x:c>
      <x:c r="I699" s="56" t="str">
        <x:v>否</x:v>
      </x:c>
      <x:c r="J699" s="56" t="str">
        <x:v>否</x:v>
      </x:c>
      <x:c r="K699" s="56" t="str">
        <x:v>否</x:v>
      </x:c>
      <x:c r="L699" s="56" t="str">
        <x:v>按结构化事件证据给予0/部分/满分；不能由总结反推已完成</x:v>
      </x:c>
      <x:c r="M699" s="56" t="str"/>
      <x:c r="N699" s="56" t="n">
        <x:f>SUMIFS($G$4:$G$1673,$A$4:$A$1673,A699)</x:f>
        <x:v>360</x:v>
      </x:c>
      <x:c r="O699" s="56" t="str">
        <x:f>IF(N699=360,"通过","失败")</x:f>
        <x:v>通过</x:v>
      </x:c>
      <x:c r="P699" s="56" t="str"/>
      <x:c r="Q699" s="59" t="str">
        <x:v>待确认</x:v>
      </x:c>
    </x:row>
    <x:row r="700">
      <x:c r="A700" s="56" t="str">
        <x:v>P018</x:v>
      </x:c>
      <x:c r="B700" s="56" t="str">
        <x:v>HX-ADD-006</x:v>
      </x:c>
      <x:c r="C700" s="56" t="str">
        <x:v>history</x:v>
      </x:c>
      <x:c r="D700" s="56" t="n">
        <x:v>50</x:v>
      </x:c>
      <x:c r="E700" s="56" t="str">
        <x:v>history.urinary_frequency</x:v>
      </x:c>
      <x:c r="F700" s="56" t="str">
        <x:v>urinary_frequency</x:v>
      </x:c>
      <x:c r="G700" s="56" t="n">
        <x:v>4</x:v>
      </x:c>
      <x:c r="H700" s="56" t="str">
        <x:v>普通得分项</x:v>
      </x:c>
      <x:c r="I700" s="56" t="str">
        <x:v>否</x:v>
      </x:c>
      <x:c r="J700" s="56" t="str">
        <x:v>否</x:v>
      </x:c>
      <x:c r="K700" s="56" t="str">
        <x:v>否</x:v>
      </x:c>
      <x:c r="L700" s="56" t="str">
        <x:v>按结构化事件证据给予0/部分/满分；不能由总结反推已完成</x:v>
      </x:c>
      <x:c r="M700" s="56" t="str"/>
      <x:c r="N700" s="56" t="n">
        <x:f>SUMIFS($G$4:$G$1673,$A$4:$A$1673,A700)</x:f>
        <x:v>360</x:v>
      </x:c>
      <x:c r="O700" s="56" t="str">
        <x:f>IF(N700=360,"通过","失败")</x:f>
        <x:v>通过</x:v>
      </x:c>
      <x:c r="P700" s="56" t="str"/>
      <x:c r="Q700" s="59" t="str">
        <x:v>待确认</x:v>
      </x:c>
    </x:row>
    <x:row r="701">
      <x:c r="A701" s="56" t="str">
        <x:v>P018</x:v>
      </x:c>
      <x:c r="B701" s="56" t="str">
        <x:v>HX-ADD-006</x:v>
      </x:c>
      <x:c r="C701" s="56" t="str">
        <x:v>history</x:v>
      </x:c>
      <x:c r="D701" s="56" t="n">
        <x:v>50</x:v>
      </x:c>
      <x:c r="E701" s="56" t="str">
        <x:v>history.urinary_urgency</x:v>
      </x:c>
      <x:c r="F701" s="56" t="str">
        <x:v>urinary_urgency</x:v>
      </x:c>
      <x:c r="G701" s="56" t="n">
        <x:v>4</x:v>
      </x:c>
      <x:c r="H701" s="56" t="str">
        <x:v>普通得分项</x:v>
      </x:c>
      <x:c r="I701" s="56" t="str">
        <x:v>否</x:v>
      </x:c>
      <x:c r="J701" s="56" t="str">
        <x:v>否</x:v>
      </x:c>
      <x:c r="K701" s="56" t="str">
        <x:v>否</x:v>
      </x:c>
      <x:c r="L701" s="56" t="str">
        <x:v>按结构化事件证据给予0/部分/满分；不能由总结反推已完成</x:v>
      </x:c>
      <x:c r="M701" s="56" t="str"/>
      <x:c r="N701" s="56" t="n">
        <x:f>SUMIFS($G$4:$G$1673,$A$4:$A$1673,A701)</x:f>
        <x:v>360</x:v>
      </x:c>
      <x:c r="O701" s="56" t="str">
        <x:f>IF(N701=360,"通过","失败")</x:f>
        <x:v>通过</x:v>
      </x:c>
      <x:c r="P701" s="56" t="str"/>
      <x:c r="Q701" s="59" t="str">
        <x:v>待确认</x:v>
      </x:c>
    </x:row>
    <x:row r="702">
      <x:c r="A702" s="56" t="str">
        <x:v>P018</x:v>
      </x:c>
      <x:c r="B702" s="56" t="str">
        <x:v>HX-ADD-006</x:v>
      </x:c>
      <x:c r="C702" s="56" t="str">
        <x:v>history</x:v>
      </x:c>
      <x:c r="D702" s="56" t="n">
        <x:v>50</x:v>
      </x:c>
      <x:c r="E702" s="56" t="str">
        <x:v>history.flank_pain</x:v>
      </x:c>
      <x:c r="F702" s="56" t="str">
        <x:v>flank_pain</x:v>
      </x:c>
      <x:c r="G702" s="56" t="n">
        <x:v>4</x:v>
      </x:c>
      <x:c r="H702" s="56" t="str">
        <x:v>普通得分项</x:v>
      </x:c>
      <x:c r="I702" s="56" t="str">
        <x:v>否</x:v>
      </x:c>
      <x:c r="J702" s="56" t="str">
        <x:v>否</x:v>
      </x:c>
      <x:c r="K702" s="56" t="str">
        <x:v>否</x:v>
      </x:c>
      <x:c r="L702" s="56" t="str">
        <x:v>按结构化事件证据给予0/部分/满分；不能由总结反推已完成</x:v>
      </x:c>
      <x:c r="M702" s="56" t="str"/>
      <x:c r="N702" s="56" t="n">
        <x:f>SUMIFS($G$4:$G$1673,$A$4:$A$1673,A702)</x:f>
        <x:v>360</x:v>
      </x:c>
      <x:c r="O702" s="56" t="str">
        <x:f>IF(N702=360,"通过","失败")</x:f>
        <x:v>通过</x:v>
      </x:c>
      <x:c r="P702" s="56" t="str"/>
      <x:c r="Q702" s="59" t="str">
        <x:v>待确认</x:v>
      </x:c>
    </x:row>
    <x:row r="703">
      <x:c r="A703" s="56" t="str">
        <x:v>P018</x:v>
      </x:c>
      <x:c r="B703" s="56" t="str">
        <x:v>HX-ADD-006</x:v>
      </x:c>
      <x:c r="C703" s="56" t="str">
        <x:v>history</x:v>
      </x:c>
      <x:c r="D703" s="56" t="n">
        <x:v>50</x:v>
      </x:c>
      <x:c r="E703" s="56" t="str">
        <x:v>history.fever_chills</x:v>
      </x:c>
      <x:c r="F703" s="56" t="str">
        <x:v>fever_chills</x:v>
      </x:c>
      <x:c r="G703" s="56" t="n">
        <x:v>4</x:v>
      </x:c>
      <x:c r="H703" s="56" t="str">
        <x:v>普通得分项</x:v>
      </x:c>
      <x:c r="I703" s="56" t="str">
        <x:v>否</x:v>
      </x:c>
      <x:c r="J703" s="56" t="str">
        <x:v>否</x:v>
      </x:c>
      <x:c r="K703" s="56" t="str">
        <x:v>否</x:v>
      </x:c>
      <x:c r="L703" s="56" t="str">
        <x:v>按结构化事件证据给予0/部分/满分；不能由总结反推已完成</x:v>
      </x:c>
      <x:c r="M703" s="56" t="str"/>
      <x:c r="N703" s="56" t="n">
        <x:f>SUMIFS($G$4:$G$1673,$A$4:$A$1673,A703)</x:f>
        <x:v>360</x:v>
      </x:c>
      <x:c r="O703" s="56" t="str">
        <x:f>IF(N703=360,"通过","失败")</x:f>
        <x:v>通过</x:v>
      </x:c>
      <x:c r="P703" s="56" t="str"/>
      <x:c r="Q703" s="59" t="str">
        <x:v>待确认</x:v>
      </x:c>
    </x:row>
    <x:row r="704">
      <x:c r="A704" s="56" t="str">
        <x:v>P018</x:v>
      </x:c>
      <x:c r="B704" s="56" t="str">
        <x:v>HX-ADD-006</x:v>
      </x:c>
      <x:c r="C704" s="56" t="str">
        <x:v>risk</x:v>
      </x:c>
      <x:c r="D704" s="56" t="n">
        <x:v>40</x:v>
      </x:c>
      <x:c r="E704" s="56" t="str">
        <x:v>risk.uti_history</x:v>
      </x:c>
      <x:c r="F704" s="56" t="str">
        <x:v>uti_history</x:v>
      </x:c>
      <x:c r="G704" s="56" t="n">
        <x:v>10</x:v>
      </x:c>
      <x:c r="H704" s="56" t="str">
        <x:v>普通得分项</x:v>
      </x:c>
      <x:c r="I704" s="56" t="str">
        <x:v>否</x:v>
      </x:c>
      <x:c r="J704" s="56" t="str">
        <x:v>否</x:v>
      </x:c>
      <x:c r="K704" s="56" t="str">
        <x:v>否</x:v>
      </x:c>
      <x:c r="L704" s="56" t="str">
        <x:v>按结构化事件证据给予0/部分/满分；不能由总结反推已完成</x:v>
      </x:c>
      <x:c r="M704" s="56" t="str"/>
      <x:c r="N704" s="56" t="n">
        <x:f>SUMIFS($G$4:$G$1673,$A$4:$A$1673,A704)</x:f>
        <x:v>360</x:v>
      </x:c>
      <x:c r="O704" s="56" t="str">
        <x:f>IF(N704=360,"通过","失败")</x:f>
        <x:v>通过</x:v>
      </x:c>
      <x:c r="P704" s="56" t="str"/>
      <x:c r="Q704" s="59" t="str">
        <x:v>待确认</x:v>
      </x:c>
    </x:row>
    <x:row r="705">
      <x:c r="A705" s="56" t="str">
        <x:v>P018</x:v>
      </x:c>
      <x:c r="B705" s="56" t="str">
        <x:v>HX-ADD-006</x:v>
      </x:c>
      <x:c r="C705" s="56" t="str">
        <x:v>risk</x:v>
      </x:c>
      <x:c r="D705" s="56" t="n">
        <x:v>40</x:v>
      </x:c>
      <x:c r="E705" s="56" t="str">
        <x:v>risk.stone_history</x:v>
      </x:c>
      <x:c r="F705" s="56" t="str">
        <x:v>stone_history</x:v>
      </x:c>
      <x:c r="G705" s="56" t="n">
        <x:v>10</x:v>
      </x:c>
      <x:c r="H705" s="56" t="str">
        <x:v>普通得分项</x:v>
      </x:c>
      <x:c r="I705" s="56" t="str">
        <x:v>否</x:v>
      </x:c>
      <x:c r="J705" s="56" t="str">
        <x:v>否</x:v>
      </x:c>
      <x:c r="K705" s="56" t="str">
        <x:v>否</x:v>
      </x:c>
      <x:c r="L705" s="56" t="str">
        <x:v>按结构化事件证据给予0/部分/满分；不能由总结反推已完成</x:v>
      </x:c>
      <x:c r="M705" s="56" t="str"/>
      <x:c r="N705" s="56" t="n">
        <x:f>SUMIFS($G$4:$G$1673,$A$4:$A$1673,A705)</x:f>
        <x:v>360</x:v>
      </x:c>
      <x:c r="O705" s="56" t="str">
        <x:f>IF(N705=360,"通过","失败")</x:f>
        <x:v>通过</x:v>
      </x:c>
      <x:c r="P705" s="56" t="str"/>
      <x:c r="Q705" s="59" t="str">
        <x:v>待确认</x:v>
      </x:c>
    </x:row>
    <x:row r="706">
      <x:c r="A706" s="56" t="str">
        <x:v>P018</x:v>
      </x:c>
      <x:c r="B706" s="56" t="str">
        <x:v>HX-ADD-006</x:v>
      </x:c>
      <x:c r="C706" s="56" t="str">
        <x:v>risk</x:v>
      </x:c>
      <x:c r="D706" s="56" t="n">
        <x:v>40</x:v>
      </x:c>
      <x:c r="E706" s="56" t="str">
        <x:v>risk.urinary_procedure_history</x:v>
      </x:c>
      <x:c r="F706" s="56" t="str">
        <x:v>urinary_procedure_history</x:v>
      </x:c>
      <x:c r="G706" s="56" t="n">
        <x:v>10</x:v>
      </x:c>
      <x:c r="H706" s="56" t="str">
        <x:v>普通得分项</x:v>
      </x:c>
      <x:c r="I706" s="56" t="str">
        <x:v>否</x:v>
      </x:c>
      <x:c r="J706" s="56" t="str">
        <x:v>否</x:v>
      </x:c>
      <x:c r="K706" s="56" t="str">
        <x:v>否</x:v>
      </x:c>
      <x:c r="L706" s="56" t="str">
        <x:v>按结构化事件证据给予0/部分/满分；不能由总结反推已完成</x:v>
      </x:c>
      <x:c r="M706" s="56" t="str"/>
      <x:c r="N706" s="56" t="n">
        <x:f>SUMIFS($G$4:$G$1673,$A$4:$A$1673,A706)</x:f>
        <x:v>360</x:v>
      </x:c>
      <x:c r="O706" s="56" t="str">
        <x:f>IF(N706=360,"通过","失败")</x:f>
        <x:v>通过</x:v>
      </x:c>
      <x:c r="P706" s="56" t="str"/>
      <x:c r="Q706" s="59" t="str">
        <x:v>待确认</x:v>
      </x:c>
    </x:row>
    <x:row r="707">
      <x:c r="A707" s="56" t="str">
        <x:v>P018</x:v>
      </x:c>
      <x:c r="B707" s="56" t="str">
        <x:v>HX-ADD-006</x:v>
      </x:c>
      <x:c r="C707" s="56" t="str">
        <x:v>risk</x:v>
      </x:c>
      <x:c r="D707" s="56" t="n">
        <x:v>40</x:v>
      </x:c>
      <x:c r="E707" s="56" t="str">
        <x:v>risk.gynecologic_contamination</x:v>
      </x:c>
      <x:c r="F707" s="56" t="str">
        <x:v>gynecologic_contamination</x:v>
      </x:c>
      <x:c r="G707" s="56" t="n">
        <x:v>10</x:v>
      </x:c>
      <x:c r="H707" s="56" t="str">
        <x:v>普通得分项</x:v>
      </x:c>
      <x:c r="I707" s="56" t="str">
        <x:v>否</x:v>
      </x:c>
      <x:c r="J707" s="56" t="str">
        <x:v>否</x:v>
      </x:c>
      <x:c r="K707" s="56" t="str">
        <x:v>否</x:v>
      </x:c>
      <x:c r="L707" s="56" t="str">
        <x:v>按结构化事件证据给予0/部分/满分；不能由总结反推已完成</x:v>
      </x:c>
      <x:c r="M707" s="56" t="str"/>
      <x:c r="N707" s="56" t="n">
        <x:f>SUMIFS($G$4:$G$1673,$A$4:$A$1673,A707)</x:f>
        <x:v>360</x:v>
      </x:c>
      <x:c r="O707" s="56" t="str">
        <x:f>IF(N707=360,"通过","失败")</x:f>
        <x:v>通过</x:v>
      </x:c>
      <x:c r="P707" s="56" t="str"/>
      <x:c r="Q707" s="59" t="str">
        <x:v>待确认</x:v>
      </x:c>
    </x:row>
    <x:row r="708">
      <x:c r="A708" s="56" t="str">
        <x:v>P018</x:v>
      </x:c>
      <x:c r="B708" s="56" t="str">
        <x:v>HX-ADD-006</x:v>
      </x:c>
      <x:c r="C708" s="56" t="str">
        <x:v>exam</x:v>
      </x:c>
      <x:c r="D708" s="56" t="n">
        <x:v>35</x:v>
      </x:c>
      <x:c r="E708" s="56" t="str">
        <x:v>exam.temperature</x:v>
      </x:c>
      <x:c r="F708" s="56" t="str">
        <x:v>体温</x:v>
      </x:c>
      <x:c r="G708" s="56" t="n">
        <x:v>12</x:v>
      </x:c>
      <x:c r="H708" s="56" t="str">
        <x:v>普通得分项</x:v>
      </x:c>
      <x:c r="I708" s="56" t="str">
        <x:v>否</x:v>
      </x:c>
      <x:c r="J708" s="56" t="str">
        <x:v>否</x:v>
      </x:c>
      <x:c r="K708" s="56" t="str">
        <x:v>否</x:v>
      </x:c>
      <x:c r="L708" s="56" t="str">
        <x:v>按结构化事件证据给予0/部分/满分；不能由总结反推已完成</x:v>
      </x:c>
      <x:c r="M708" s="56" t="str"/>
      <x:c r="N708" s="56" t="n">
        <x:f>SUMIFS($G$4:$G$1673,$A$4:$A$1673,A708)</x:f>
        <x:v>360</x:v>
      </x:c>
      <x:c r="O708" s="56" t="str">
        <x:f>IF(N708=360,"通过","失败")</x:f>
        <x:v>通过</x:v>
      </x:c>
      <x:c r="P708" s="56" t="str"/>
      <x:c r="Q708" s="59" t="str">
        <x:v>待确认</x:v>
      </x:c>
    </x:row>
    <x:row r="709">
      <x:c r="A709" s="56" t="str">
        <x:v>P018</x:v>
      </x:c>
      <x:c r="B709" s="56" t="str">
        <x:v>HX-ADD-006</x:v>
      </x:c>
      <x:c r="C709" s="56" t="str">
        <x:v>exam</x:v>
      </x:c>
      <x:c r="D709" s="56" t="n">
        <x:v>35</x:v>
      </x:c>
      <x:c r="E709" s="56" t="str">
        <x:v>exam.blood_pressure</x:v>
      </x:c>
      <x:c r="F709" s="56" t="str">
        <x:v>血压</x:v>
      </x:c>
      <x:c r="G709" s="56" t="n">
        <x:v>12</x:v>
      </x:c>
      <x:c r="H709" s="56" t="str">
        <x:v>普通得分项</x:v>
      </x:c>
      <x:c r="I709" s="56" t="str">
        <x:v>否</x:v>
      </x:c>
      <x:c r="J709" s="56" t="str">
        <x:v>否</x:v>
      </x:c>
      <x:c r="K709" s="56" t="str">
        <x:v>否</x:v>
      </x:c>
      <x:c r="L709" s="56" t="str">
        <x:v>按结构化事件证据给予0/部分/满分；不能由总结反推已完成</x:v>
      </x:c>
      <x:c r="M709" s="56" t="str"/>
      <x:c r="N709" s="56" t="n">
        <x:f>SUMIFS($G$4:$G$1673,$A$4:$A$1673,A709)</x:f>
        <x:v>360</x:v>
      </x:c>
      <x:c r="O709" s="56" t="str">
        <x:f>IF(N709=360,"通过","失败")</x:f>
        <x:v>通过</x:v>
      </x:c>
      <x:c r="P709" s="56" t="str"/>
      <x:c r="Q709" s="59" t="str">
        <x:v>待确认</x:v>
      </x:c>
    </x:row>
    <x:row r="710">
      <x:c r="A710" s="56" t="str">
        <x:v>P018</x:v>
      </x:c>
      <x:c r="B710" s="56" t="str">
        <x:v>HX-ADD-006</x:v>
      </x:c>
      <x:c r="C710" s="56" t="str">
        <x:v>exam</x:v>
      </x:c>
      <x:c r="D710" s="56" t="n">
        <x:v>35</x:v>
      </x:c>
      <x:c r="E710" s="56" t="str">
        <x:v>exam.targeted</x:v>
      </x:c>
      <x:c r="F710" s="56" t="str">
        <x:v>病例针对性查体</x:v>
      </x:c>
      <x:c r="G710" s="56" t="n">
        <x:v>11</x:v>
      </x:c>
      <x:c r="H710" s="56" t="str">
        <x:v>普通得分项</x:v>
      </x:c>
      <x:c r="I710" s="56" t="str">
        <x:v>否</x:v>
      </x:c>
      <x:c r="J710" s="56" t="str">
        <x:v>否</x:v>
      </x:c>
      <x:c r="K710" s="56" t="str">
        <x:v>否</x:v>
      </x:c>
      <x:c r="L710" s="56" t="str">
        <x:v>按结构化事件证据给予0/部分/满分；不能由总结反推已完成</x:v>
      </x:c>
      <x:c r="M710" s="56" t="str"/>
      <x:c r="N710" s="56" t="n">
        <x:f>SUMIFS($G$4:$G$1673,$A$4:$A$1673,A710)</x:f>
        <x:v>360</x:v>
      </x:c>
      <x:c r="O710" s="56" t="str">
        <x:f>IF(N710=360,"通过","失败")</x:f>
        <x:v>通过</x:v>
      </x:c>
      <x:c r="P710" s="56" t="str"/>
      <x:c r="Q710" s="59" t="str">
        <x:v>待确认</x:v>
      </x:c>
    </x:row>
    <x:row r="711">
      <x:c r="A711" s="56" t="str">
        <x:v>P018</x:v>
      </x:c>
      <x:c r="B711" s="56" t="str">
        <x:v>HX-ADD-006</x:v>
      </x:c>
      <x:c r="C711" s="56" t="str">
        <x:v>diagnosis</x:v>
      </x:c>
      <x:c r="D711" s="56" t="n">
        <x:v>45</x:v>
      </x:c>
      <x:c r="E711" s="56" t="str">
        <x:v>diagnosis.primary</x:v>
      </x:c>
      <x:c r="F711" s="56" t="str">
        <x:v>最可能诊断及依据</x:v>
      </x:c>
      <x:c r="G711" s="56" t="n">
        <x:v>15</x:v>
      </x:c>
      <x:c r="H711" s="56" t="str">
        <x:v>普通得分项</x:v>
      </x:c>
      <x:c r="I711" s="56" t="str">
        <x:v>否</x:v>
      </x:c>
      <x:c r="J711" s="56" t="str">
        <x:v>否</x:v>
      </x:c>
      <x:c r="K711" s="56" t="str">
        <x:v>否</x:v>
      </x:c>
      <x:c r="L711" s="56" t="str">
        <x:v>按结构化事件证据给予0/部分/满分；不能由总结反推已完成</x:v>
      </x:c>
      <x:c r="M711" s="56" t="str"/>
      <x:c r="N711" s="56" t="n">
        <x:f>SUMIFS($G$4:$G$1673,$A$4:$A$1673,A711)</x:f>
        <x:v>360</x:v>
      </x:c>
      <x:c r="O711" s="56" t="str">
        <x:f>IF(N711=360,"通过","失败")</x:f>
        <x:v>通过</x:v>
      </x:c>
      <x:c r="P711" s="56" t="str"/>
      <x:c r="Q711" s="59" t="str">
        <x:v>待确认</x:v>
      </x:c>
    </x:row>
    <x:row r="712">
      <x:c r="A712" s="56" t="str">
        <x:v>P018</x:v>
      </x:c>
      <x:c r="B712" s="56" t="str">
        <x:v>HX-ADD-006</x:v>
      </x:c>
      <x:c r="C712" s="56" t="str">
        <x:v>diagnosis</x:v>
      </x:c>
      <x:c r="D712" s="56" t="n">
        <x:v>45</x:v>
      </x:c>
      <x:c r="E712" s="56" t="str">
        <x:v>diagnosis.differentials</x:v>
      </x:c>
      <x:c r="F712" s="56" t="str">
        <x:v>至少3项鉴别及支持/反对点</x:v>
      </x:c>
      <x:c r="G712" s="56" t="n">
        <x:v>15</x:v>
      </x:c>
      <x:c r="H712" s="56" t="str">
        <x:v>普通得分项</x:v>
      </x:c>
      <x:c r="I712" s="56" t="str">
        <x:v>否</x:v>
      </x:c>
      <x:c r="J712" s="56" t="str">
        <x:v>否</x:v>
      </x:c>
      <x:c r="K712" s="56" t="str">
        <x:v>否</x:v>
      </x:c>
      <x:c r="L712" s="56" t="str">
        <x:v>按结构化事件证据给予0/部分/满分；不能由总结反推已完成</x:v>
      </x:c>
      <x:c r="M712" s="56" t="str"/>
      <x:c r="N712" s="56" t="n">
        <x:f>SUMIFS($G$4:$G$1673,$A$4:$A$1673,A712)</x:f>
        <x:v>360</x:v>
      </x:c>
      <x:c r="O712" s="56" t="str">
        <x:f>IF(N712=360,"通过","失败")</x:f>
        <x:v>通过</x:v>
      </x:c>
      <x:c r="P712" s="56" t="str"/>
      <x:c r="Q712" s="59" t="str">
        <x:v>待确认</x:v>
      </x:c>
    </x:row>
    <x:row r="713">
      <x:c r="A713" s="56" t="str">
        <x:v>P018</x:v>
      </x:c>
      <x:c r="B713" s="56" t="str">
        <x:v>HX-ADD-006</x:v>
      </x:c>
      <x:c r="C713" s="56" t="str">
        <x:v>diagnosis</x:v>
      </x:c>
      <x:c r="D713" s="56" t="n">
        <x:v>45</x:v>
      </x:c>
      <x:c r="E713" s="56" t="str">
        <x:v>diagnosis.confirmation</x:v>
      </x:c>
      <x:c r="F713" s="56" t="str">
        <x:v>确认计划</x:v>
      </x:c>
      <x:c r="G713" s="56" t="n">
        <x:v>15</x:v>
      </x:c>
      <x:c r="H713" s="56" t="str">
        <x:v>普通得分项</x:v>
      </x:c>
      <x:c r="I713" s="56" t="str">
        <x:v>否</x:v>
      </x:c>
      <x:c r="J713" s="56" t="str">
        <x:v>否</x:v>
      </x:c>
      <x:c r="K713" s="56" t="str">
        <x:v>否</x:v>
      </x:c>
      <x:c r="L713" s="56" t="str">
        <x:v>按结构化事件证据给予0/部分/满分；不能由总结反推已完成</x:v>
      </x:c>
      <x:c r="M713" s="56" t="str"/>
      <x:c r="N713" s="56" t="n">
        <x:f>SUMIFS($G$4:$G$1673,$A$4:$A$1673,A713)</x:f>
        <x:v>360</x:v>
      </x:c>
      <x:c r="O713" s="56" t="str">
        <x:f>IF(N713=360,"通过","失败")</x:f>
        <x:v>通过</x:v>
      </x:c>
      <x:c r="P713" s="56" t="str"/>
      <x:c r="Q713" s="59" t="str">
        <x:v>待确认</x:v>
      </x:c>
    </x:row>
    <x:row r="714">
      <x:c r="A714" s="56" t="str">
        <x:v>P018</x:v>
      </x:c>
      <x:c r="B714" s="56" t="str">
        <x:v>HX-ADD-006</x:v>
      </x:c>
      <x:c r="C714" s="56" t="str">
        <x:v>orders</x:v>
      </x:c>
      <x:c r="D714" s="56" t="n">
        <x:v>55</x:v>
      </x:c>
      <x:c r="E714" s="56" t="str">
        <x:v>orders.LAB-UR-001</x:v>
      </x:c>
      <x:c r="F714" s="56" t="str">
        <x:v>LAB-UR-001</x:v>
      </x:c>
      <x:c r="G714" s="56" t="n">
        <x:v>10</x:v>
      </x:c>
      <x:c r="H714" s="56" t="str">
        <x:v>病例特异得分项</x:v>
      </x:c>
      <x:c r="I714" s="56" t="str">
        <x:v>否</x:v>
      </x:c>
      <x:c r="J714" s="56" t="str">
        <x:v>否</x:v>
      </x:c>
      <x:c r="K714" s="56" t="str">
        <x:v>否</x:v>
      </x:c>
      <x:c r="L714" s="56" t="str">
        <x:v>按结构化事件证据给予0/部分/满分；不能由总结反推已完成</x:v>
      </x:c>
      <x:c r="M714" s="56" t="str"/>
      <x:c r="N714" s="56" t="n">
        <x:f>SUMIFS($G$4:$G$1673,$A$4:$A$1673,A714)</x:f>
        <x:v>360</x:v>
      </x:c>
      <x:c r="O714" s="56" t="str">
        <x:f>IF(N714=360,"通过","失败")</x:f>
        <x:v>通过</x:v>
      </x:c>
      <x:c r="P714" s="56" t="str"/>
      <x:c r="Q714" s="59" t="str">
        <x:v>待确认</x:v>
      </x:c>
    </x:row>
    <x:row r="715">
      <x:c r="A715" s="56" t="str">
        <x:v>P018</x:v>
      </x:c>
      <x:c r="B715" s="56" t="str">
        <x:v>HX-ADD-006</x:v>
      </x:c>
      <x:c r="C715" s="56" t="str">
        <x:v>orders</x:v>
      </x:c>
      <x:c r="D715" s="56" t="n">
        <x:v>55</x:v>
      </x:c>
      <x:c r="E715" s="56" t="str">
        <x:v>orders.LAB-UR-002</x:v>
      </x:c>
      <x:c r="F715" s="56" t="str">
        <x:v>LAB-UR-002</x:v>
      </x:c>
      <x:c r="G715" s="56" t="n">
        <x:v>9</x:v>
      </x:c>
      <x:c r="H715" s="56" t="str">
        <x:v>病例特异得分项</x:v>
      </x:c>
      <x:c r="I715" s="56" t="str">
        <x:v>否</x:v>
      </x:c>
      <x:c r="J715" s="56" t="str">
        <x:v>否</x:v>
      </x:c>
      <x:c r="K715" s="56" t="str">
        <x:v>否</x:v>
      </x:c>
      <x:c r="L715" s="56" t="str">
        <x:v>按结构化事件证据给予0/部分/满分；不能由总结反推已完成</x:v>
      </x:c>
      <x:c r="M715" s="56" t="str"/>
      <x:c r="N715" s="56" t="n">
        <x:f>SUMIFS($G$4:$G$1673,$A$4:$A$1673,A715)</x:f>
        <x:v>360</x:v>
      </x:c>
      <x:c r="O715" s="56" t="str">
        <x:f>IF(N715=360,"通过","失败")</x:f>
        <x:v>通过</x:v>
      </x:c>
      <x:c r="P715" s="56" t="str"/>
      <x:c r="Q715" s="59" t="str">
        <x:v>待确认</x:v>
      </x:c>
    </x:row>
    <x:row r="716">
      <x:c r="A716" s="56" t="str">
        <x:v>P018</x:v>
      </x:c>
      <x:c r="B716" s="56" t="str">
        <x:v>HX-ADD-006</x:v>
      </x:c>
      <x:c r="C716" s="56" t="str">
        <x:v>orders</x:v>
      </x:c>
      <x:c r="D716" s="56" t="n">
        <x:v>55</x:v>
      </x:c>
      <x:c r="E716" s="56" t="str">
        <x:v>orders.LAB-UR-008</x:v>
      </x:c>
      <x:c r="F716" s="56" t="str">
        <x:v>LAB-UR-008</x:v>
      </x:c>
      <x:c r="G716" s="56" t="n">
        <x:v>9</x:v>
      </x:c>
      <x:c r="H716" s="56" t="str">
        <x:v>病例特异得分项</x:v>
      </x:c>
      <x:c r="I716" s="56" t="str">
        <x:v>否</x:v>
      </x:c>
      <x:c r="J716" s="56" t="str">
        <x:v>否</x:v>
      </x:c>
      <x:c r="K716" s="56" t="str">
        <x:v>否</x:v>
      </x:c>
      <x:c r="L716" s="56" t="str">
        <x:v>按结构化事件证据给予0/部分/满分；不能由总结反推已完成</x:v>
      </x:c>
      <x:c r="M716" s="56" t="str"/>
      <x:c r="N716" s="56" t="n">
        <x:f>SUMIFS($G$4:$G$1673,$A$4:$A$1673,A716)</x:f>
        <x:v>360</x:v>
      </x:c>
      <x:c r="O716" s="56" t="str">
        <x:f>IF(N716=360,"通过","失败")</x:f>
        <x:v>通过</x:v>
      </x:c>
      <x:c r="P716" s="56" t="str"/>
      <x:c r="Q716" s="59" t="str">
        <x:v>待确认</x:v>
      </x:c>
    </x:row>
    <x:row r="717">
      <x:c r="A717" s="56" t="str">
        <x:v>P018</x:v>
      </x:c>
      <x:c r="B717" s="56" t="str">
        <x:v>HX-ADD-006</x:v>
      </x:c>
      <x:c r="C717" s="56" t="str">
        <x:v>orders</x:v>
      </x:c>
      <x:c r="D717" s="56" t="n">
        <x:v>55</x:v>
      </x:c>
      <x:c r="E717" s="56" t="str">
        <x:v>orders.LAB-BL-001</x:v>
      </x:c>
      <x:c r="F717" s="56" t="str">
        <x:v>LAB-BL-001</x:v>
      </x:c>
      <x:c r="G717" s="56" t="n">
        <x:v>9</x:v>
      </x:c>
      <x:c r="H717" s="56" t="str">
        <x:v>病例特异得分项</x:v>
      </x:c>
      <x:c r="I717" s="56" t="str">
        <x:v>否</x:v>
      </x:c>
      <x:c r="J717" s="56" t="str">
        <x:v>否</x:v>
      </x:c>
      <x:c r="K717" s="56" t="str">
        <x:v>否</x:v>
      </x:c>
      <x:c r="L717" s="56" t="str">
        <x:v>按结构化事件证据给予0/部分/满分；不能由总结反推已完成</x:v>
      </x:c>
      <x:c r="M717" s="56" t="str"/>
      <x:c r="N717" s="56" t="n">
        <x:f>SUMIFS($G$4:$G$1673,$A$4:$A$1673,A717)</x:f>
        <x:v>360</x:v>
      </x:c>
      <x:c r="O717" s="56" t="str">
        <x:f>IF(N717=360,"通过","失败")</x:f>
        <x:v>通过</x:v>
      </x:c>
      <x:c r="P717" s="56" t="str"/>
      <x:c r="Q717" s="59" t="str">
        <x:v>待确认</x:v>
      </x:c>
    </x:row>
    <x:row r="718">
      <x:c r="A718" s="56" t="str">
        <x:v>P018</x:v>
      </x:c>
      <x:c r="B718" s="56" t="str">
        <x:v>HX-ADD-006</x:v>
      </x:c>
      <x:c r="C718" s="56" t="str">
        <x:v>orders</x:v>
      </x:c>
      <x:c r="D718" s="56" t="n">
        <x:v>55</x:v>
      </x:c>
      <x:c r="E718" s="56" t="str">
        <x:v>orders.LAB-BL-002</x:v>
      </x:c>
      <x:c r="F718" s="56" t="str">
        <x:v>LAB-BL-002</x:v>
      </x:c>
      <x:c r="G718" s="56" t="n">
        <x:v>9</x:v>
      </x:c>
      <x:c r="H718" s="56" t="str">
        <x:v>病例特异得分项</x:v>
      </x:c>
      <x:c r="I718" s="56" t="str">
        <x:v>否</x:v>
      </x:c>
      <x:c r="J718" s="56" t="str">
        <x:v>否</x:v>
      </x:c>
      <x:c r="K718" s="56" t="str">
        <x:v>否</x:v>
      </x:c>
      <x:c r="L718" s="56" t="str">
        <x:v>按结构化事件证据给予0/部分/满分；不能由总结反推已完成</x:v>
      </x:c>
      <x:c r="M718" s="56" t="str"/>
      <x:c r="N718" s="56" t="n">
        <x:f>SUMIFS($G$4:$G$1673,$A$4:$A$1673,A718)</x:f>
        <x:v>360</x:v>
      </x:c>
      <x:c r="O718" s="56" t="str">
        <x:f>IF(N718=360,"通过","失败")</x:f>
        <x:v>通过</x:v>
      </x:c>
      <x:c r="P718" s="56" t="str"/>
      <x:c r="Q718" s="59" t="str">
        <x:v>待确认</x:v>
      </x:c>
    </x:row>
    <x:row r="719">
      <x:c r="A719" s="56" t="str">
        <x:v>P018</x:v>
      </x:c>
      <x:c r="B719" s="56" t="str">
        <x:v>HX-ADD-006</x:v>
      </x:c>
      <x:c r="C719" s="56" t="str">
        <x:v>orders</x:v>
      </x:c>
      <x:c r="D719" s="56" t="n">
        <x:v>55</x:v>
      </x:c>
      <x:c r="E719" s="56" t="str">
        <x:v>orders.LAB-BL-003</x:v>
      </x:c>
      <x:c r="F719" s="56" t="str">
        <x:v>LAB-BL-003</x:v>
      </x:c>
      <x:c r="G719" s="56" t="n">
        <x:v>9</x:v>
      </x:c>
      <x:c r="H719" s="56" t="str">
        <x:v>病例特异得分项</x:v>
      </x:c>
      <x:c r="I719" s="56" t="str">
        <x:v>否</x:v>
      </x:c>
      <x:c r="J719" s="56" t="str">
        <x:v>否</x:v>
      </x:c>
      <x:c r="K719" s="56" t="str">
        <x:v>否</x:v>
      </x:c>
      <x:c r="L719" s="56" t="str">
        <x:v>按结构化事件证据给予0/部分/满分；不能由总结反推已完成</x:v>
      </x:c>
      <x:c r="M719" s="56" t="str"/>
      <x:c r="N719" s="56" t="n">
        <x:f>SUMIFS($G$4:$G$1673,$A$4:$A$1673,A719)</x:f>
        <x:v>360</x:v>
      </x:c>
      <x:c r="O719" s="56" t="str">
        <x:f>IF(N719=360,"通过","失败")</x:f>
        <x:v>通过</x:v>
      </x:c>
      <x:c r="P719" s="56" t="str"/>
      <x:c r="Q719" s="59" t="str">
        <x:v>待确认</x:v>
      </x:c>
    </x:row>
    <x:row r="720">
      <x:c r="A720" s="56" t="str">
        <x:v>P018</x:v>
      </x:c>
      <x:c r="B720" s="56" t="str">
        <x:v>HX-ADD-006</x:v>
      </x:c>
      <x:c r="C720" s="56" t="str">
        <x:v>mdt</x:v>
      </x:c>
      <x:c r="D720" s="56" t="n">
        <x:v>45</x:v>
      </x:c>
      <x:c r="E720" s="56" t="str">
        <x:v>mdt.department</x:v>
      </x:c>
      <x:c r="F720" s="56" t="str">
        <x:v>department</x:v>
      </x:c>
      <x:c r="G720" s="56" t="n">
        <x:v>12</x:v>
      </x:c>
      <x:c r="H720" s="56" t="str">
        <x:v>病例特异得分项</x:v>
      </x:c>
      <x:c r="I720" s="56" t="str">
        <x:v>否</x:v>
      </x:c>
      <x:c r="J720" s="56" t="str">
        <x:v>否</x:v>
      </x:c>
      <x:c r="K720" s="56" t="str">
        <x:v>否</x:v>
      </x:c>
      <x:c r="L720" s="56" t="str">
        <x:v>按结构化事件证据给予0/部分/满分；不能由总结反推已完成</x:v>
      </x:c>
      <x:c r="M720" s="56" t="str"/>
      <x:c r="N720" s="56" t="n">
        <x:f>SUMIFS($G$4:$G$1673,$A$4:$A$1673,A720)</x:f>
        <x:v>360</x:v>
      </x:c>
      <x:c r="O720" s="56" t="str">
        <x:f>IF(N720=360,"通过","失败")</x:f>
        <x:v>通过</x:v>
      </x:c>
      <x:c r="P720" s="56" t="str"/>
      <x:c r="Q720" s="59" t="str">
        <x:v>待确认</x:v>
      </x:c>
    </x:row>
    <x:row r="721">
      <x:c r="A721" s="56" t="str">
        <x:v>P018</x:v>
      </x:c>
      <x:c r="B721" s="56" t="str">
        <x:v>HX-ADD-006</x:v>
      </x:c>
      <x:c r="C721" s="56" t="str">
        <x:v>mdt</x:v>
      </x:c>
      <x:c r="D721" s="56" t="n">
        <x:v>45</x:v>
      </x:c>
      <x:c r="E721" s="56" t="str">
        <x:v>mdt.trigger</x:v>
      </x:c>
      <x:c r="F721" s="56" t="str">
        <x:v>trigger</x:v>
      </x:c>
      <x:c r="G721" s="56" t="n">
        <x:v>11</x:v>
      </x:c>
      <x:c r="H721" s="56" t="str">
        <x:v>病例特异得分项</x:v>
      </x:c>
      <x:c r="I721" s="56" t="str">
        <x:v>否</x:v>
      </x:c>
      <x:c r="J721" s="56" t="str">
        <x:v>否</x:v>
      </x:c>
      <x:c r="K721" s="56" t="str">
        <x:v>否</x:v>
      </x:c>
      <x:c r="L721" s="56" t="str">
        <x:v>按结构化事件证据给予0/部分/满分；不能由总结反推已完成</x:v>
      </x:c>
      <x:c r="M721" s="56" t="str"/>
      <x:c r="N721" s="56" t="n">
        <x:f>SUMIFS($G$4:$G$1673,$A$4:$A$1673,A721)</x:f>
        <x:v>360</x:v>
      </x:c>
      <x:c r="O721" s="56" t="str">
        <x:f>IF(N721=360,"通过","失败")</x:f>
        <x:v>通过</x:v>
      </x:c>
      <x:c r="P721" s="56" t="str"/>
      <x:c r="Q721" s="59" t="str">
        <x:v>待确认</x:v>
      </x:c>
    </x:row>
    <x:row r="722">
      <x:c r="A722" s="56" t="str">
        <x:v>P018</x:v>
      </x:c>
      <x:c r="B722" s="56" t="str">
        <x:v>HX-ADD-006</x:v>
      </x:c>
      <x:c r="C722" s="56" t="str">
        <x:v>mdt</x:v>
      </x:c>
      <x:c r="D722" s="56" t="n">
        <x:v>45</x:v>
      </x:c>
      <x:c r="E722" s="56" t="str">
        <x:v>mdt.question</x:v>
      </x:c>
      <x:c r="F722" s="56" t="str">
        <x:v>question</x:v>
      </x:c>
      <x:c r="G722" s="56" t="n">
        <x:v>11</x:v>
      </x:c>
      <x:c r="H722" s="56" t="str">
        <x:v>病例特异得分项</x:v>
      </x:c>
      <x:c r="I722" s="56" t="str">
        <x:v>否</x:v>
      </x:c>
      <x:c r="J722" s="56" t="str">
        <x:v>否</x:v>
      </x:c>
      <x:c r="K722" s="56" t="str">
        <x:v>否</x:v>
      </x:c>
      <x:c r="L722" s="56" t="str">
        <x:v>按结构化事件证据给予0/部分/满分；不能由总结反推已完成</x:v>
      </x:c>
      <x:c r="M722" s="56" t="str"/>
      <x:c r="N722" s="56" t="n">
        <x:f>SUMIFS($G$4:$G$1673,$A$4:$A$1673,A722)</x:f>
        <x:v>360</x:v>
      </x:c>
      <x:c r="O722" s="56" t="str">
        <x:f>IF(N722=360,"通过","失败")</x:f>
        <x:v>通过</x:v>
      </x:c>
      <x:c r="P722" s="56" t="str"/>
      <x:c r="Q722" s="59" t="str">
        <x:v>待确认</x:v>
      </x:c>
    </x:row>
    <x:row r="723">
      <x:c r="A723" s="56" t="str">
        <x:v>P018</x:v>
      </x:c>
      <x:c r="B723" s="56" t="str">
        <x:v>HX-ADD-006</x:v>
      </x:c>
      <x:c r="C723" s="56" t="str">
        <x:v>mdt</x:v>
      </x:c>
      <x:c r="D723" s="56" t="n">
        <x:v>45</x:v>
      </x:c>
      <x:c r="E723" s="56" t="str">
        <x:v>mdt.evidence</x:v>
      </x:c>
      <x:c r="F723" s="56" t="str">
        <x:v>evidence</x:v>
      </x:c>
      <x:c r="G723" s="56" t="n">
        <x:v>11</x:v>
      </x:c>
      <x:c r="H723" s="56" t="str">
        <x:v>病例特异得分项</x:v>
      </x:c>
      <x:c r="I723" s="56" t="str">
        <x:v>否</x:v>
      </x:c>
      <x:c r="J723" s="56" t="str">
        <x:v>否</x:v>
      </x:c>
      <x:c r="K723" s="56" t="str">
        <x:v>否</x:v>
      </x:c>
      <x:c r="L723" s="56" t="str">
        <x:v>按结构化事件证据给予0/部分/满分；不能由总结反推已完成</x:v>
      </x:c>
      <x:c r="M723" s="56" t="str"/>
      <x:c r="N723" s="56" t="n">
        <x:f>SUMIFS($G$4:$G$1673,$A$4:$A$1673,A723)</x:f>
        <x:v>360</x:v>
      </x:c>
      <x:c r="O723" s="56" t="str">
        <x:f>IF(N723=360,"通过","失败")</x:f>
        <x:v>通过</x:v>
      </x:c>
      <x:c r="P723" s="56" t="str"/>
      <x:c r="Q723" s="59" t="str">
        <x:v>待确认</x:v>
      </x:c>
    </x:row>
    <x:row r="724">
      <x:c r="A724" s="56" t="str">
        <x:v>P018</x:v>
      </x:c>
      <x:c r="B724" s="56" t="str">
        <x:v>HX-ADD-006</x:v>
      </x:c>
      <x:c r="C724" s="56" t="str">
        <x:v>treatment</x:v>
      </x:c>
      <x:c r="D724" s="56" t="n">
        <x:v>50</x:v>
      </x:c>
      <x:c r="E724" s="56" t="str">
        <x:v>treatment.immediate</x:v>
      </x:c>
      <x:c r="F724" s="56" t="str">
        <x:v>immediate</x:v>
      </x:c>
      <x:c r="G724" s="56" t="n">
        <x:v>13</x:v>
      </x:c>
      <x:c r="H724" s="56" t="str">
        <x:v>病例特异得分项</x:v>
      </x:c>
      <x:c r="I724" s="56" t="str">
        <x:v>否</x:v>
      </x:c>
      <x:c r="J724" s="56" t="str">
        <x:v>否</x:v>
      </x:c>
      <x:c r="K724" s="56" t="str">
        <x:v>否</x:v>
      </x:c>
      <x:c r="L724" s="56" t="str">
        <x:v>按结构化事件证据给予0/部分/满分；不能由总结反推已完成</x:v>
      </x:c>
      <x:c r="M724" s="56" t="str"/>
      <x:c r="N724" s="56" t="n">
        <x:f>SUMIFS($G$4:$G$1673,$A$4:$A$1673,A724)</x:f>
        <x:v>360</x:v>
      </x:c>
      <x:c r="O724" s="56" t="str">
        <x:f>IF(N724=360,"通过","失败")</x:f>
        <x:v>通过</x:v>
      </x:c>
      <x:c r="P724" s="56" t="str"/>
      <x:c r="Q724" s="59" t="str">
        <x:v>待确认</x:v>
      </x:c>
    </x:row>
    <x:row r="725">
      <x:c r="A725" s="56" t="str">
        <x:v>P018</x:v>
      </x:c>
      <x:c r="B725" s="56" t="str">
        <x:v>HX-ADD-006</x:v>
      </x:c>
      <x:c r="C725" s="56" t="str">
        <x:v>treatment</x:v>
      </x:c>
      <x:c r="D725" s="56" t="n">
        <x:v>50</x:v>
      </x:c>
      <x:c r="E725" s="56" t="str">
        <x:v>treatment.etiologic</x:v>
      </x:c>
      <x:c r="F725" s="56" t="str">
        <x:v>etiologic</x:v>
      </x:c>
      <x:c r="G725" s="56" t="n">
        <x:v>13</x:v>
      </x:c>
      <x:c r="H725" s="56" t="str">
        <x:v>病例特异得分项</x:v>
      </x:c>
      <x:c r="I725" s="56" t="str">
        <x:v>否</x:v>
      </x:c>
      <x:c r="J725" s="56" t="str">
        <x:v>否</x:v>
      </x:c>
      <x:c r="K725" s="56" t="str">
        <x:v>否</x:v>
      </x:c>
      <x:c r="L725" s="56" t="str">
        <x:v>按结构化事件证据给予0/部分/满分；不能由总结反推已完成</x:v>
      </x:c>
      <x:c r="M725" s="56" t="str"/>
      <x:c r="N725" s="56" t="n">
        <x:f>SUMIFS($G$4:$G$1673,$A$4:$A$1673,A725)</x:f>
        <x:v>360</x:v>
      </x:c>
      <x:c r="O725" s="56" t="str">
        <x:f>IF(N725=360,"通过","失败")</x:f>
        <x:v>通过</x:v>
      </x:c>
      <x:c r="P725" s="56" t="str"/>
      <x:c r="Q725" s="59" t="str">
        <x:v>待确认</x:v>
      </x:c>
    </x:row>
    <x:row r="726">
      <x:c r="A726" s="56" t="str">
        <x:v>P018</x:v>
      </x:c>
      <x:c r="B726" s="56" t="str">
        <x:v>HX-ADD-006</x:v>
      </x:c>
      <x:c r="C726" s="56" t="str">
        <x:v>treatment</x:v>
      </x:c>
      <x:c r="D726" s="56" t="n">
        <x:v>50</x:v>
      </x:c>
      <x:c r="E726" s="56" t="str">
        <x:v>treatment.definitive</x:v>
      </x:c>
      <x:c r="F726" s="56" t="str">
        <x:v>definitive</x:v>
      </x:c>
      <x:c r="G726" s="56" t="n">
        <x:v>12</x:v>
      </x:c>
      <x:c r="H726" s="56" t="str">
        <x:v>病例特异得分项</x:v>
      </x:c>
      <x:c r="I726" s="56" t="str">
        <x:v>否</x:v>
      </x:c>
      <x:c r="J726" s="56" t="str">
        <x:v>否</x:v>
      </x:c>
      <x:c r="K726" s="56" t="str">
        <x:v>否</x:v>
      </x:c>
      <x:c r="L726" s="56" t="str">
        <x:v>按结构化事件证据给予0/部分/满分；不能由总结反推已完成</x:v>
      </x:c>
      <x:c r="M726" s="56" t="str"/>
      <x:c r="N726" s="56" t="n">
        <x:f>SUMIFS($G$4:$G$1673,$A$4:$A$1673,A726)</x:f>
        <x:v>360</x:v>
      </x:c>
      <x:c r="O726" s="56" t="str">
        <x:f>IF(N726=360,"通过","失败")</x:f>
        <x:v>通过</x:v>
      </x:c>
      <x:c r="P726" s="56" t="str"/>
      <x:c r="Q726" s="59" t="str">
        <x:v>待确认</x:v>
      </x:c>
    </x:row>
    <x:row r="727">
      <x:c r="A727" s="56" t="str">
        <x:v>P018</x:v>
      </x:c>
      <x:c r="B727" s="56" t="str">
        <x:v>HX-ADD-006</x:v>
      </x:c>
      <x:c r="C727" s="56" t="str">
        <x:v>treatment</x:v>
      </x:c>
      <x:c r="D727" s="56" t="n">
        <x:v>50</x:v>
      </x:c>
      <x:c r="E727" s="56" t="str">
        <x:v>treatment.perioperative</x:v>
      </x:c>
      <x:c r="F727" s="56" t="str">
        <x:v>perioperative</x:v>
      </x:c>
      <x:c r="G727" s="56" t="n">
        <x:v>12</x:v>
      </x:c>
      <x:c r="H727" s="56" t="str">
        <x:v>病例特异得分项</x:v>
      </x:c>
      <x:c r="I727" s="56" t="str">
        <x:v>否</x:v>
      </x:c>
      <x:c r="J727" s="56" t="str">
        <x:v>否</x:v>
      </x:c>
      <x:c r="K727" s="56" t="str">
        <x:v>否</x:v>
      </x:c>
      <x:c r="L727" s="56" t="str">
        <x:v>按结构化事件证据给予0/部分/满分；不能由总结反推已完成</x:v>
      </x:c>
      <x:c r="M727" s="56" t="str"/>
      <x:c r="N727" s="56" t="n">
        <x:f>SUMIFS($G$4:$G$1673,$A$4:$A$1673,A727)</x:f>
        <x:v>360</x:v>
      </x:c>
      <x:c r="O727" s="56" t="str">
        <x:f>IF(N727=360,"通过","失败")</x:f>
        <x:v>通过</x:v>
      </x:c>
      <x:c r="P727" s="56" t="str"/>
      <x:c r="Q727" s="59" t="str">
        <x:v>待确认</x:v>
      </x:c>
    </x:row>
    <x:row r="728">
      <x:c r="A728" s="56" t="str">
        <x:v>P018</x:v>
      </x:c>
      <x:c r="B728" s="56" t="str">
        <x:v>HX-ADD-006</x:v>
      </x:c>
      <x:c r="C728" s="56" t="str">
        <x:v>followup</x:v>
      </x:c>
      <x:c r="D728" s="56" t="n">
        <x:v>40</x:v>
      </x:c>
      <x:c r="E728" s="56" t="str">
        <x:v>followup.plan</x:v>
      </x:c>
      <x:c r="F728" s="56" t="str">
        <x:v>随访复查</x:v>
      </x:c>
      <x:c r="G728" s="56" t="n">
        <x:v>10</x:v>
      </x:c>
      <x:c r="H728" s="56" t="str">
        <x:v>普通得分项</x:v>
      </x:c>
      <x:c r="I728" s="56" t="str">
        <x:v>否</x:v>
      </x:c>
      <x:c r="J728" s="56" t="str">
        <x:v>否</x:v>
      </x:c>
      <x:c r="K728" s="56" t="str">
        <x:v>否</x:v>
      </x:c>
      <x:c r="L728" s="56" t="str">
        <x:v>按结构化事件证据给予0/部分/满分；不能由总结反推已完成</x:v>
      </x:c>
      <x:c r="M728" s="56" t="str"/>
      <x:c r="N728" s="56" t="n">
        <x:f>SUMIFS($G$4:$G$1673,$A$4:$A$1673,A728)</x:f>
        <x:v>360</x:v>
      </x:c>
      <x:c r="O728" s="56" t="str">
        <x:f>IF(N728=360,"通过","失败")</x:f>
        <x:v>通过</x:v>
      </x:c>
      <x:c r="P728" s="56" t="str"/>
      <x:c r="Q728" s="59" t="str">
        <x:v>待确认</x:v>
      </x:c>
    </x:row>
    <x:row r="729">
      <x:c r="A729" s="56" t="str">
        <x:v>P018</x:v>
      </x:c>
      <x:c r="B729" s="56" t="str">
        <x:v>HX-ADD-006</x:v>
      </x:c>
      <x:c r="C729" s="56" t="str">
        <x:v>followup</x:v>
      </x:c>
      <x:c r="D729" s="56" t="n">
        <x:v>40</x:v>
      </x:c>
      <x:c r="E729" s="56" t="str">
        <x:v>followup.education</x:v>
      </x:c>
      <x:c r="F729" s="56" t="str">
        <x:v>患者教育</x:v>
      </x:c>
      <x:c r="G729" s="56" t="n">
        <x:v>10</x:v>
      </x:c>
      <x:c r="H729" s="56" t="str">
        <x:v>普通得分项</x:v>
      </x:c>
      <x:c r="I729" s="56" t="str">
        <x:v>否</x:v>
      </x:c>
      <x:c r="J729" s="56" t="str">
        <x:v>否</x:v>
      </x:c>
      <x:c r="K729" s="56" t="str">
        <x:v>否</x:v>
      </x:c>
      <x:c r="L729" s="56" t="str">
        <x:v>按结构化事件证据给予0/部分/满分；不能由总结反推已完成</x:v>
      </x:c>
      <x:c r="M729" s="56" t="str"/>
      <x:c r="N729" s="56" t="n">
        <x:f>SUMIFS($G$4:$G$1673,$A$4:$A$1673,A729)</x:f>
        <x:v>360</x:v>
      </x:c>
      <x:c r="O729" s="56" t="str">
        <x:f>IF(N729=360,"通过","失败")</x:f>
        <x:v>通过</x:v>
      </x:c>
      <x:c r="P729" s="56" t="str"/>
      <x:c r="Q729" s="59" t="str">
        <x:v>待确认</x:v>
      </x:c>
    </x:row>
    <x:row r="730">
      <x:c r="A730" s="56" t="str">
        <x:v>P018</x:v>
      </x:c>
      <x:c r="B730" s="56" t="str">
        <x:v>HX-ADD-006</x:v>
      </x:c>
      <x:c r="C730" s="56" t="str">
        <x:v>followup</x:v>
      </x:c>
      <x:c r="D730" s="56" t="n">
        <x:v>40</x:v>
      </x:c>
      <x:c r="E730" s="56" t="str">
        <x:v>followup.reflection</x:v>
      </x:c>
      <x:c r="F730" s="56" t="str">
        <x:v>学习反思质量</x:v>
      </x:c>
      <x:c r="G730" s="56" t="n">
        <x:v>10</x:v>
      </x:c>
      <x:c r="H730" s="56" t="str">
        <x:v>普通得分项</x:v>
      </x:c>
      <x:c r="I730" s="56" t="str">
        <x:v>否</x:v>
      </x:c>
      <x:c r="J730" s="56" t="str">
        <x:v>否</x:v>
      </x:c>
      <x:c r="K730" s="56" t="str">
        <x:v>否</x:v>
      </x:c>
      <x:c r="L730" s="56" t="str">
        <x:v>按结构化事件证据给予0/部分/满分；不能由总结反推已完成</x:v>
      </x:c>
      <x:c r="M730" s="56" t="str"/>
      <x:c r="N730" s="56" t="n">
        <x:f>SUMIFS($G$4:$G$1673,$A$4:$A$1673,A730)</x:f>
        <x:v>360</x:v>
      </x:c>
      <x:c r="O730" s="56" t="str">
        <x:f>IF(N730=360,"通过","失败")</x:f>
        <x:v>通过</x:v>
      </x:c>
      <x:c r="P730" s="56" t="str"/>
      <x:c r="Q730" s="59" t="str">
        <x:v>待确认</x:v>
      </x:c>
    </x:row>
    <x:row r="731">
      <x:c r="A731" s="56" t="str">
        <x:v>P018</x:v>
      </x:c>
      <x:c r="B731" s="56" t="str">
        <x:v>HX-ADD-006</x:v>
      </x:c>
      <x:c r="C731" s="56" t="str">
        <x:v>followup</x:v>
      </x:c>
      <x:c r="D731" s="56" t="n">
        <x:v>40</x:v>
      </x:c>
      <x:c r="E731" s="56" t="str">
        <x:v>followup.efficiency</x:v>
      </x:c>
      <x:c r="F731" s="56" t="str">
        <x:v>操作效率</x:v>
      </x:c>
      <x:c r="G731" s="56" t="n">
        <x:v>10</x:v>
      </x:c>
      <x:c r="H731" s="56" t="str">
        <x:v>普通得分项</x:v>
      </x:c>
      <x:c r="I731" s="56" t="str">
        <x:v>否</x:v>
      </x:c>
      <x:c r="J731" s="56" t="str">
        <x:v>否</x:v>
      </x:c>
      <x:c r="K731" s="56" t="str">
        <x:v>否</x:v>
      </x:c>
      <x:c r="L731" s="56" t="str">
        <x:v>按结构化事件证据给予0/部分/满分；不能由总结反推已完成</x:v>
      </x:c>
      <x:c r="M731" s="56" t="str"/>
      <x:c r="N731" s="56" t="n">
        <x:f>SUMIFS($G$4:$G$1673,$A$4:$A$1673,A731)</x:f>
        <x:v>360</x:v>
      </x:c>
      <x:c r="O731" s="56" t="str">
        <x:f>IF(N731=360,"通过","失败")</x:f>
        <x:v>通过</x:v>
      </x:c>
      <x:c r="P731" s="56" t="str"/>
      <x:c r="Q731" s="59" t="str">
        <x:v>待确认</x:v>
      </x:c>
    </x:row>
    <x:row r="732">
      <x:c r="A732" s="56" t="str">
        <x:v>P019</x:v>
      </x:c>
      <x:c r="B732" s="56" t="str">
        <x:v>HX-ADD-007</x:v>
      </x:c>
      <x:c r="C732" s="56" t="str">
        <x:v>history</x:v>
      </x:c>
      <x:c r="D732" s="56" t="n">
        <x:v>50</x:v>
      </x:c>
      <x:c r="E732" s="56" t="str">
        <x:v>history.hematuria_visibility</x:v>
      </x:c>
      <x:c r="F732" s="56" t="str">
        <x:v>hematuria_visibility</x:v>
      </x:c>
      <x:c r="G732" s="56" t="n">
        <x:v>5</x:v>
      </x:c>
      <x:c r="H732" s="56" t="str">
        <x:v>普通得分项</x:v>
      </x:c>
      <x:c r="I732" s="56" t="str">
        <x:v>否</x:v>
      </x:c>
      <x:c r="J732" s="56" t="str">
        <x:v>否</x:v>
      </x:c>
      <x:c r="K732" s="56" t="str">
        <x:v>否</x:v>
      </x:c>
      <x:c r="L732" s="56" t="str">
        <x:v>按结构化事件证据给予0/部分/满分；不能由总结反推已完成</x:v>
      </x:c>
      <x:c r="M732" s="56" t="str"/>
      <x:c r="N732" s="56" t="n">
        <x:f>SUMIFS($G$4:$G$1673,$A$4:$A$1673,A732)</x:f>
        <x:v>360</x:v>
      </x:c>
      <x:c r="O732" s="56" t="str">
        <x:f>IF(N732=360,"通过","失败")</x:f>
        <x:v>通过</x:v>
      </x:c>
      <x:c r="P732" s="56" t="str"/>
      <x:c r="Q732" s="59" t="str">
        <x:v>待确认</x:v>
      </x:c>
    </x:row>
    <x:row r="733">
      <x:c r="A733" s="56" t="str">
        <x:v>P019</x:v>
      </x:c>
      <x:c r="B733" s="56" t="str">
        <x:v>HX-ADD-007</x:v>
      </x:c>
      <x:c r="C733" s="56" t="str">
        <x:v>history</x:v>
      </x:c>
      <x:c r="D733" s="56" t="n">
        <x:v>50</x:v>
      </x:c>
      <x:c r="E733" s="56" t="str">
        <x:v>history.hematuria_onset</x:v>
      </x:c>
      <x:c r="F733" s="56" t="str">
        <x:v>hematuria_onset</x:v>
      </x:c>
      <x:c r="G733" s="56" t="n">
        <x:v>5</x:v>
      </x:c>
      <x:c r="H733" s="56" t="str">
        <x:v>普通得分项</x:v>
      </x:c>
      <x:c r="I733" s="56" t="str">
        <x:v>否</x:v>
      </x:c>
      <x:c r="J733" s="56" t="str">
        <x:v>否</x:v>
      </x:c>
      <x:c r="K733" s="56" t="str">
        <x:v>否</x:v>
      </x:c>
      <x:c r="L733" s="56" t="str">
        <x:v>按结构化事件证据给予0/部分/满分；不能由总结反推已完成</x:v>
      </x:c>
      <x:c r="M733" s="56" t="str"/>
      <x:c r="N733" s="56" t="n">
        <x:f>SUMIFS($G$4:$G$1673,$A$4:$A$1673,A733)</x:f>
        <x:v>360</x:v>
      </x:c>
      <x:c r="O733" s="56" t="str">
        <x:f>IF(N733=360,"通过","失败")</x:f>
        <x:v>通过</x:v>
      </x:c>
      <x:c r="P733" s="56" t="str"/>
      <x:c r="Q733" s="59" t="str">
        <x:v>待确认</x:v>
      </x:c>
    </x:row>
    <x:row r="734">
      <x:c r="A734" s="56" t="str">
        <x:v>P019</x:v>
      </x:c>
      <x:c r="B734" s="56" t="str">
        <x:v>HX-ADD-007</x:v>
      </x:c>
      <x:c r="C734" s="56" t="str">
        <x:v>history</x:v>
      </x:c>
      <x:c r="D734" s="56" t="n">
        <x:v>50</x:v>
      </x:c>
      <x:c r="E734" s="56" t="str">
        <x:v>history.hematuria_frequency</x:v>
      </x:c>
      <x:c r="F734" s="56" t="str">
        <x:v>hematuria_frequency</x:v>
      </x:c>
      <x:c r="G734" s="56" t="n">
        <x:v>4</x:v>
      </x:c>
      <x:c r="H734" s="56" t="str">
        <x:v>普通得分项</x:v>
      </x:c>
      <x:c r="I734" s="56" t="str">
        <x:v>否</x:v>
      </x:c>
      <x:c r="J734" s="56" t="str">
        <x:v>否</x:v>
      </x:c>
      <x:c r="K734" s="56" t="str">
        <x:v>否</x:v>
      </x:c>
      <x:c r="L734" s="56" t="str">
        <x:v>按结构化事件证据给予0/部分/满分；不能由总结反推已完成</x:v>
      </x:c>
      <x:c r="M734" s="56" t="str"/>
      <x:c r="N734" s="56" t="n">
        <x:f>SUMIFS($G$4:$G$1673,$A$4:$A$1673,A734)</x:f>
        <x:v>360</x:v>
      </x:c>
      <x:c r="O734" s="56" t="str">
        <x:f>IF(N734=360,"通过","失败")</x:f>
        <x:v>通过</x:v>
      </x:c>
      <x:c r="P734" s="56" t="str"/>
      <x:c r="Q734" s="59" t="str">
        <x:v>待确认</x:v>
      </x:c>
    </x:row>
    <x:row r="735">
      <x:c r="A735" s="56" t="str">
        <x:v>P019</x:v>
      </x:c>
      <x:c r="B735" s="56" t="str">
        <x:v>HX-ADD-007</x:v>
      </x:c>
      <x:c r="C735" s="56" t="str">
        <x:v>history</x:v>
      </x:c>
      <x:c r="D735" s="56" t="n">
        <x:v>50</x:v>
      </x:c>
      <x:c r="E735" s="56" t="str">
        <x:v>history.hematuria_phase</x:v>
      </x:c>
      <x:c r="F735" s="56" t="str">
        <x:v>hematuria_phase</x:v>
      </x:c>
      <x:c r="G735" s="56" t="n">
        <x:v>4</x:v>
      </x:c>
      <x:c r="H735" s="56" t="str">
        <x:v>普通得分项</x:v>
      </x:c>
      <x:c r="I735" s="56" t="str">
        <x:v>否</x:v>
      </x:c>
      <x:c r="J735" s="56" t="str">
        <x:v>否</x:v>
      </x:c>
      <x:c r="K735" s="56" t="str">
        <x:v>否</x:v>
      </x:c>
      <x:c r="L735" s="56" t="str">
        <x:v>按结构化事件证据给予0/部分/满分；不能由总结反推已完成</x:v>
      </x:c>
      <x:c r="M735" s="56" t="str"/>
      <x:c r="N735" s="56" t="n">
        <x:f>SUMIFS($G$4:$G$1673,$A$4:$A$1673,A735)</x:f>
        <x:v>360</x:v>
      </x:c>
      <x:c r="O735" s="56" t="str">
        <x:f>IF(N735=360,"通过","失败")</x:f>
        <x:v>通过</x:v>
      </x:c>
      <x:c r="P735" s="56" t="str"/>
      <x:c r="Q735" s="59" t="str">
        <x:v>待确认</x:v>
      </x:c>
    </x:row>
    <x:row r="736">
      <x:c r="A736" s="56" t="str">
        <x:v>P019</x:v>
      </x:c>
      <x:c r="B736" s="56" t="str">
        <x:v>HX-ADD-007</x:v>
      </x:c>
      <x:c r="C736" s="56" t="str">
        <x:v>history</x:v>
      </x:c>
      <x:c r="D736" s="56" t="n">
        <x:v>50</x:v>
      </x:c>
      <x:c r="E736" s="56" t="str">
        <x:v>history.urine_color</x:v>
      </x:c>
      <x:c r="F736" s="56" t="str">
        <x:v>urine_color</x:v>
      </x:c>
      <x:c r="G736" s="56" t="n">
        <x:v>4</x:v>
      </x:c>
      <x:c r="H736" s="56" t="str">
        <x:v>普通得分项</x:v>
      </x:c>
      <x:c r="I736" s="56" t="str">
        <x:v>否</x:v>
      </x:c>
      <x:c r="J736" s="56" t="str">
        <x:v>否</x:v>
      </x:c>
      <x:c r="K736" s="56" t="str">
        <x:v>否</x:v>
      </x:c>
      <x:c r="L736" s="56" t="str">
        <x:v>按结构化事件证据给予0/部分/满分；不能由总结反推已完成</x:v>
      </x:c>
      <x:c r="M736" s="56" t="str"/>
      <x:c r="N736" s="56" t="n">
        <x:f>SUMIFS($G$4:$G$1673,$A$4:$A$1673,A736)</x:f>
        <x:v>360</x:v>
      </x:c>
      <x:c r="O736" s="56" t="str">
        <x:f>IF(N736=360,"通过","失败")</x:f>
        <x:v>通过</x:v>
      </x:c>
      <x:c r="P736" s="56" t="str"/>
      <x:c r="Q736" s="59" t="str">
        <x:v>待确认</x:v>
      </x:c>
    </x:row>
    <x:row r="737">
      <x:c r="A737" s="56" t="str">
        <x:v>P019</x:v>
      </x:c>
      <x:c r="B737" s="56" t="str">
        <x:v>HX-ADD-007</x:v>
      </x:c>
      <x:c r="C737" s="56" t="str">
        <x:v>history</x:v>
      </x:c>
      <x:c r="D737" s="56" t="n">
        <x:v>50</x:v>
      </x:c>
      <x:c r="E737" s="56" t="str">
        <x:v>history.clots</x:v>
      </x:c>
      <x:c r="F737" s="56" t="str">
        <x:v>clots</x:v>
      </x:c>
      <x:c r="G737" s="56" t="n">
        <x:v>4</x:v>
      </x:c>
      <x:c r="H737" s="56" t="str">
        <x:v>普通得分项</x:v>
      </x:c>
      <x:c r="I737" s="56" t="str">
        <x:v>否</x:v>
      </x:c>
      <x:c r="J737" s="56" t="str">
        <x:v>否</x:v>
      </x:c>
      <x:c r="K737" s="56" t="str">
        <x:v>否</x:v>
      </x:c>
      <x:c r="L737" s="56" t="str">
        <x:v>按结构化事件证据给予0/部分/满分；不能由总结反推已完成</x:v>
      </x:c>
      <x:c r="M737" s="56" t="str"/>
      <x:c r="N737" s="56" t="n">
        <x:f>SUMIFS($G$4:$G$1673,$A$4:$A$1673,A737)</x:f>
        <x:v>360</x:v>
      </x:c>
      <x:c r="O737" s="56" t="str">
        <x:f>IF(N737=360,"通过","失败")</x:f>
        <x:v>通过</x:v>
      </x:c>
      <x:c r="P737" s="56" t="str"/>
      <x:c r="Q737" s="59" t="str">
        <x:v>待确认</x:v>
      </x:c>
    </x:row>
    <x:row r="738">
      <x:c r="A738" s="56" t="str">
        <x:v>P019</x:v>
      </x:c>
      <x:c r="B738" s="56" t="str">
        <x:v>HX-ADD-007</x:v>
      </x:c>
      <x:c r="C738" s="56" t="str">
        <x:v>history</x:v>
      </x:c>
      <x:c r="D738" s="56" t="n">
        <x:v>50</x:v>
      </x:c>
      <x:c r="E738" s="56" t="str">
        <x:v>history.pain</x:v>
      </x:c>
      <x:c r="F738" s="56" t="str">
        <x:v>pain</x:v>
      </x:c>
      <x:c r="G738" s="56" t="n">
        <x:v>4</x:v>
      </x:c>
      <x:c r="H738" s="56" t="str">
        <x:v>普通得分项</x:v>
      </x:c>
      <x:c r="I738" s="56" t="str">
        <x:v>否</x:v>
      </x:c>
      <x:c r="J738" s="56" t="str">
        <x:v>否</x:v>
      </x:c>
      <x:c r="K738" s="56" t="str">
        <x:v>否</x:v>
      </x:c>
      <x:c r="L738" s="56" t="str">
        <x:v>按结构化事件证据给予0/部分/满分；不能由总结反推已完成</x:v>
      </x:c>
      <x:c r="M738" s="56" t="str"/>
      <x:c r="N738" s="56" t="n">
        <x:f>SUMIFS($G$4:$G$1673,$A$4:$A$1673,A738)</x:f>
        <x:v>360</x:v>
      </x:c>
      <x:c r="O738" s="56" t="str">
        <x:f>IF(N738=360,"通过","失败")</x:f>
        <x:v>通过</x:v>
      </x:c>
      <x:c r="P738" s="56" t="str"/>
      <x:c r="Q738" s="59" t="str">
        <x:v>待确认</x:v>
      </x:c>
    </x:row>
    <x:row r="739">
      <x:c r="A739" s="56" t="str">
        <x:v>P019</x:v>
      </x:c>
      <x:c r="B739" s="56" t="str">
        <x:v>HX-ADD-007</x:v>
      </x:c>
      <x:c r="C739" s="56" t="str">
        <x:v>history</x:v>
      </x:c>
      <x:c r="D739" s="56" t="n">
        <x:v>50</x:v>
      </x:c>
      <x:c r="E739" s="56" t="str">
        <x:v>history.dysuria</x:v>
      </x:c>
      <x:c r="F739" s="56" t="str">
        <x:v>dysuria</x:v>
      </x:c>
      <x:c r="G739" s="56" t="n">
        <x:v>4</x:v>
      </x:c>
      <x:c r="H739" s="56" t="str">
        <x:v>普通得分项</x:v>
      </x:c>
      <x:c r="I739" s="56" t="str">
        <x:v>否</x:v>
      </x:c>
      <x:c r="J739" s="56" t="str">
        <x:v>否</x:v>
      </x:c>
      <x:c r="K739" s="56" t="str">
        <x:v>否</x:v>
      </x:c>
      <x:c r="L739" s="56" t="str">
        <x:v>按结构化事件证据给予0/部分/满分；不能由总结反推已完成</x:v>
      </x:c>
      <x:c r="M739" s="56" t="str"/>
      <x:c r="N739" s="56" t="n">
        <x:f>SUMIFS($G$4:$G$1673,$A$4:$A$1673,A739)</x:f>
        <x:v>360</x:v>
      </x:c>
      <x:c r="O739" s="56" t="str">
        <x:f>IF(N739=360,"通过","失败")</x:f>
        <x:v>通过</x:v>
      </x:c>
      <x:c r="P739" s="56" t="str"/>
      <x:c r="Q739" s="59" t="str">
        <x:v>待确认</x:v>
      </x:c>
    </x:row>
    <x:row r="740">
      <x:c r="A740" s="56" t="str">
        <x:v>P019</x:v>
      </x:c>
      <x:c r="B740" s="56" t="str">
        <x:v>HX-ADD-007</x:v>
      </x:c>
      <x:c r="C740" s="56" t="str">
        <x:v>history</x:v>
      </x:c>
      <x:c r="D740" s="56" t="n">
        <x:v>50</x:v>
      </x:c>
      <x:c r="E740" s="56" t="str">
        <x:v>history.urinary_frequency</x:v>
      </x:c>
      <x:c r="F740" s="56" t="str">
        <x:v>urinary_frequency</x:v>
      </x:c>
      <x:c r="G740" s="56" t="n">
        <x:v>4</x:v>
      </x:c>
      <x:c r="H740" s="56" t="str">
        <x:v>普通得分项</x:v>
      </x:c>
      <x:c r="I740" s="56" t="str">
        <x:v>否</x:v>
      </x:c>
      <x:c r="J740" s="56" t="str">
        <x:v>否</x:v>
      </x:c>
      <x:c r="K740" s="56" t="str">
        <x:v>否</x:v>
      </x:c>
      <x:c r="L740" s="56" t="str">
        <x:v>按结构化事件证据给予0/部分/满分；不能由总结反推已完成</x:v>
      </x:c>
      <x:c r="M740" s="56" t="str"/>
      <x:c r="N740" s="56" t="n">
        <x:f>SUMIFS($G$4:$G$1673,$A$4:$A$1673,A740)</x:f>
        <x:v>360</x:v>
      </x:c>
      <x:c r="O740" s="56" t="str">
        <x:f>IF(N740=360,"通过","失败")</x:f>
        <x:v>通过</x:v>
      </x:c>
      <x:c r="P740" s="56" t="str"/>
      <x:c r="Q740" s="59" t="str">
        <x:v>待确认</x:v>
      </x:c>
    </x:row>
    <x:row r="741">
      <x:c r="A741" s="56" t="str">
        <x:v>P019</x:v>
      </x:c>
      <x:c r="B741" s="56" t="str">
        <x:v>HX-ADD-007</x:v>
      </x:c>
      <x:c r="C741" s="56" t="str">
        <x:v>history</x:v>
      </x:c>
      <x:c r="D741" s="56" t="n">
        <x:v>50</x:v>
      </x:c>
      <x:c r="E741" s="56" t="str">
        <x:v>history.urinary_urgency</x:v>
      </x:c>
      <x:c r="F741" s="56" t="str">
        <x:v>urinary_urgency</x:v>
      </x:c>
      <x:c r="G741" s="56" t="n">
        <x:v>4</x:v>
      </x:c>
      <x:c r="H741" s="56" t="str">
        <x:v>普通得分项</x:v>
      </x:c>
      <x:c r="I741" s="56" t="str">
        <x:v>否</x:v>
      </x:c>
      <x:c r="J741" s="56" t="str">
        <x:v>否</x:v>
      </x:c>
      <x:c r="K741" s="56" t="str">
        <x:v>否</x:v>
      </x:c>
      <x:c r="L741" s="56" t="str">
        <x:v>按结构化事件证据给予0/部分/满分；不能由总结反推已完成</x:v>
      </x:c>
      <x:c r="M741" s="56" t="str"/>
      <x:c r="N741" s="56" t="n">
        <x:f>SUMIFS($G$4:$G$1673,$A$4:$A$1673,A741)</x:f>
        <x:v>360</x:v>
      </x:c>
      <x:c r="O741" s="56" t="str">
        <x:f>IF(N741=360,"通过","失败")</x:f>
        <x:v>通过</x:v>
      </x:c>
      <x:c r="P741" s="56" t="str"/>
      <x:c r="Q741" s="59" t="str">
        <x:v>待确认</x:v>
      </x:c>
    </x:row>
    <x:row r="742">
      <x:c r="A742" s="56" t="str">
        <x:v>P019</x:v>
      </x:c>
      <x:c r="B742" s="56" t="str">
        <x:v>HX-ADD-007</x:v>
      </x:c>
      <x:c r="C742" s="56" t="str">
        <x:v>history</x:v>
      </x:c>
      <x:c r="D742" s="56" t="n">
        <x:v>50</x:v>
      </x:c>
      <x:c r="E742" s="56" t="str">
        <x:v>history.flank_pain</x:v>
      </x:c>
      <x:c r="F742" s="56" t="str">
        <x:v>flank_pain</x:v>
      </x:c>
      <x:c r="G742" s="56" t="n">
        <x:v>4</x:v>
      </x:c>
      <x:c r="H742" s="56" t="str">
        <x:v>普通得分项</x:v>
      </x:c>
      <x:c r="I742" s="56" t="str">
        <x:v>否</x:v>
      </x:c>
      <x:c r="J742" s="56" t="str">
        <x:v>否</x:v>
      </x:c>
      <x:c r="K742" s="56" t="str">
        <x:v>否</x:v>
      </x:c>
      <x:c r="L742" s="56" t="str">
        <x:v>按结构化事件证据给予0/部分/满分；不能由总结反推已完成</x:v>
      </x:c>
      <x:c r="M742" s="56" t="str"/>
      <x:c r="N742" s="56" t="n">
        <x:f>SUMIFS($G$4:$G$1673,$A$4:$A$1673,A742)</x:f>
        <x:v>360</x:v>
      </x:c>
      <x:c r="O742" s="56" t="str">
        <x:f>IF(N742=360,"通过","失败")</x:f>
        <x:v>通过</x:v>
      </x:c>
      <x:c r="P742" s="56" t="str"/>
      <x:c r="Q742" s="59" t="str">
        <x:v>待确认</x:v>
      </x:c>
    </x:row>
    <x:row r="743">
      <x:c r="A743" s="56" t="str">
        <x:v>P019</x:v>
      </x:c>
      <x:c r="B743" s="56" t="str">
        <x:v>HX-ADD-007</x:v>
      </x:c>
      <x:c r="C743" s="56" t="str">
        <x:v>history</x:v>
      </x:c>
      <x:c r="D743" s="56" t="n">
        <x:v>50</x:v>
      </x:c>
      <x:c r="E743" s="56" t="str">
        <x:v>history.fever_chills</x:v>
      </x:c>
      <x:c r="F743" s="56" t="str">
        <x:v>fever_chills</x:v>
      </x:c>
      <x:c r="G743" s="56" t="n">
        <x:v>4</x:v>
      </x:c>
      <x:c r="H743" s="56" t="str">
        <x:v>普通得分项</x:v>
      </x:c>
      <x:c r="I743" s="56" t="str">
        <x:v>否</x:v>
      </x:c>
      <x:c r="J743" s="56" t="str">
        <x:v>否</x:v>
      </x:c>
      <x:c r="K743" s="56" t="str">
        <x:v>否</x:v>
      </x:c>
      <x:c r="L743" s="56" t="str">
        <x:v>按结构化事件证据给予0/部分/满分；不能由总结反推已完成</x:v>
      </x:c>
      <x:c r="M743" s="56" t="str"/>
      <x:c r="N743" s="56" t="n">
        <x:f>SUMIFS($G$4:$G$1673,$A$4:$A$1673,A743)</x:f>
        <x:v>360</x:v>
      </x:c>
      <x:c r="O743" s="56" t="str">
        <x:f>IF(N743=360,"通过","失败")</x:f>
        <x:v>通过</x:v>
      </x:c>
      <x:c r="P743" s="56" t="str"/>
      <x:c r="Q743" s="59" t="str">
        <x:v>待确认</x:v>
      </x:c>
    </x:row>
    <x:row r="744">
      <x:c r="A744" s="56" t="str">
        <x:v>P019</x:v>
      </x:c>
      <x:c r="B744" s="56" t="str">
        <x:v>HX-ADD-007</x:v>
      </x:c>
      <x:c r="C744" s="56" t="str">
        <x:v>risk</x:v>
      </x:c>
      <x:c r="D744" s="56" t="n">
        <x:v>40</x:v>
      </x:c>
      <x:c r="E744" s="56" t="str">
        <x:v>risk.uti_history</x:v>
      </x:c>
      <x:c r="F744" s="56" t="str">
        <x:v>uti_history</x:v>
      </x:c>
      <x:c r="G744" s="56" t="n">
        <x:v>10</x:v>
      </x:c>
      <x:c r="H744" s="56" t="str">
        <x:v>普通得分项</x:v>
      </x:c>
      <x:c r="I744" s="56" t="str">
        <x:v>否</x:v>
      </x:c>
      <x:c r="J744" s="56" t="str">
        <x:v>否</x:v>
      </x:c>
      <x:c r="K744" s="56" t="str">
        <x:v>否</x:v>
      </x:c>
      <x:c r="L744" s="56" t="str">
        <x:v>按结构化事件证据给予0/部分/满分；不能由总结反推已完成</x:v>
      </x:c>
      <x:c r="M744" s="56" t="str"/>
      <x:c r="N744" s="56" t="n">
        <x:f>SUMIFS($G$4:$G$1673,$A$4:$A$1673,A744)</x:f>
        <x:v>360</x:v>
      </x:c>
      <x:c r="O744" s="56" t="str">
        <x:f>IF(N744=360,"通过","失败")</x:f>
        <x:v>通过</x:v>
      </x:c>
      <x:c r="P744" s="56" t="str"/>
      <x:c r="Q744" s="59" t="str">
        <x:v>待确认</x:v>
      </x:c>
    </x:row>
    <x:row r="745">
      <x:c r="A745" s="56" t="str">
        <x:v>P019</x:v>
      </x:c>
      <x:c r="B745" s="56" t="str">
        <x:v>HX-ADD-007</x:v>
      </x:c>
      <x:c r="C745" s="56" t="str">
        <x:v>risk</x:v>
      </x:c>
      <x:c r="D745" s="56" t="n">
        <x:v>40</x:v>
      </x:c>
      <x:c r="E745" s="56" t="str">
        <x:v>risk.stone_history</x:v>
      </x:c>
      <x:c r="F745" s="56" t="str">
        <x:v>stone_history</x:v>
      </x:c>
      <x:c r="G745" s="56" t="n">
        <x:v>10</x:v>
      </x:c>
      <x:c r="H745" s="56" t="str">
        <x:v>普通得分项</x:v>
      </x:c>
      <x:c r="I745" s="56" t="str">
        <x:v>否</x:v>
      </x:c>
      <x:c r="J745" s="56" t="str">
        <x:v>否</x:v>
      </x:c>
      <x:c r="K745" s="56" t="str">
        <x:v>否</x:v>
      </x:c>
      <x:c r="L745" s="56" t="str">
        <x:v>按结构化事件证据给予0/部分/满分；不能由总结反推已完成</x:v>
      </x:c>
      <x:c r="M745" s="56" t="str"/>
      <x:c r="N745" s="56" t="n">
        <x:f>SUMIFS($G$4:$G$1673,$A$4:$A$1673,A745)</x:f>
        <x:v>360</x:v>
      </x:c>
      <x:c r="O745" s="56" t="str">
        <x:f>IF(N745=360,"通过","失败")</x:f>
        <x:v>通过</x:v>
      </x:c>
      <x:c r="P745" s="56" t="str"/>
      <x:c r="Q745" s="59" t="str">
        <x:v>待确认</x:v>
      </x:c>
    </x:row>
    <x:row r="746">
      <x:c r="A746" s="56" t="str">
        <x:v>P019</x:v>
      </x:c>
      <x:c r="B746" s="56" t="str">
        <x:v>HX-ADD-007</x:v>
      </x:c>
      <x:c r="C746" s="56" t="str">
        <x:v>risk</x:v>
      </x:c>
      <x:c r="D746" s="56" t="n">
        <x:v>40</x:v>
      </x:c>
      <x:c r="E746" s="56" t="str">
        <x:v>risk.urinary_procedure_history</x:v>
      </x:c>
      <x:c r="F746" s="56" t="str">
        <x:v>urinary_procedure_history</x:v>
      </x:c>
      <x:c r="G746" s="56" t="n">
        <x:v>10</x:v>
      </x:c>
      <x:c r="H746" s="56" t="str">
        <x:v>普通得分项</x:v>
      </x:c>
      <x:c r="I746" s="56" t="str">
        <x:v>否</x:v>
      </x:c>
      <x:c r="J746" s="56" t="str">
        <x:v>否</x:v>
      </x:c>
      <x:c r="K746" s="56" t="str">
        <x:v>否</x:v>
      </x:c>
      <x:c r="L746" s="56" t="str">
        <x:v>按结构化事件证据给予0/部分/满分；不能由总结反推已完成</x:v>
      </x:c>
      <x:c r="M746" s="56" t="str"/>
      <x:c r="N746" s="56" t="n">
        <x:f>SUMIFS($G$4:$G$1673,$A$4:$A$1673,A746)</x:f>
        <x:v>360</x:v>
      </x:c>
      <x:c r="O746" s="56" t="str">
        <x:f>IF(N746=360,"通过","失败")</x:f>
        <x:v>通过</x:v>
      </x:c>
      <x:c r="P746" s="56" t="str"/>
      <x:c r="Q746" s="59" t="str">
        <x:v>待确认</x:v>
      </x:c>
    </x:row>
    <x:row r="747">
      <x:c r="A747" s="56" t="str">
        <x:v>P019</x:v>
      </x:c>
      <x:c r="B747" s="56" t="str">
        <x:v>HX-ADD-007</x:v>
      </x:c>
      <x:c r="C747" s="56" t="str">
        <x:v>risk</x:v>
      </x:c>
      <x:c r="D747" s="56" t="n">
        <x:v>40</x:v>
      </x:c>
      <x:c r="E747" s="56" t="str">
        <x:v>risk.gynecologic_contamination</x:v>
      </x:c>
      <x:c r="F747" s="56" t="str">
        <x:v>gynecologic_contamination</x:v>
      </x:c>
      <x:c r="G747" s="56" t="n">
        <x:v>10</x:v>
      </x:c>
      <x:c r="H747" s="56" t="str">
        <x:v>普通得分项</x:v>
      </x:c>
      <x:c r="I747" s="56" t="str">
        <x:v>否</x:v>
      </x:c>
      <x:c r="J747" s="56" t="str">
        <x:v>否</x:v>
      </x:c>
      <x:c r="K747" s="56" t="str">
        <x:v>否</x:v>
      </x:c>
      <x:c r="L747" s="56" t="str">
        <x:v>按结构化事件证据给予0/部分/满分；不能由总结反推已完成</x:v>
      </x:c>
      <x:c r="M747" s="56" t="str"/>
      <x:c r="N747" s="56" t="n">
        <x:f>SUMIFS($G$4:$G$1673,$A$4:$A$1673,A747)</x:f>
        <x:v>360</x:v>
      </x:c>
      <x:c r="O747" s="56" t="str">
        <x:f>IF(N747=360,"通过","失败")</x:f>
        <x:v>通过</x:v>
      </x:c>
      <x:c r="P747" s="56" t="str"/>
      <x:c r="Q747" s="59" t="str">
        <x:v>待确认</x:v>
      </x:c>
    </x:row>
    <x:row r="748">
      <x:c r="A748" s="56" t="str">
        <x:v>P019</x:v>
      </x:c>
      <x:c r="B748" s="56" t="str">
        <x:v>HX-ADD-007</x:v>
      </x:c>
      <x:c r="C748" s="56" t="str">
        <x:v>exam</x:v>
      </x:c>
      <x:c r="D748" s="56" t="n">
        <x:v>35</x:v>
      </x:c>
      <x:c r="E748" s="56" t="str">
        <x:v>exam.temperature</x:v>
      </x:c>
      <x:c r="F748" s="56" t="str">
        <x:v>体温</x:v>
      </x:c>
      <x:c r="G748" s="56" t="n">
        <x:v>12</x:v>
      </x:c>
      <x:c r="H748" s="56" t="str">
        <x:v>普通得分项</x:v>
      </x:c>
      <x:c r="I748" s="56" t="str">
        <x:v>否</x:v>
      </x:c>
      <x:c r="J748" s="56" t="str">
        <x:v>否</x:v>
      </x:c>
      <x:c r="K748" s="56" t="str">
        <x:v>否</x:v>
      </x:c>
      <x:c r="L748" s="56" t="str">
        <x:v>按结构化事件证据给予0/部分/满分；不能由总结反推已完成</x:v>
      </x:c>
      <x:c r="M748" s="56" t="str"/>
      <x:c r="N748" s="56" t="n">
        <x:f>SUMIFS($G$4:$G$1673,$A$4:$A$1673,A748)</x:f>
        <x:v>360</x:v>
      </x:c>
      <x:c r="O748" s="56" t="str">
        <x:f>IF(N748=360,"通过","失败")</x:f>
        <x:v>通过</x:v>
      </x:c>
      <x:c r="P748" s="56" t="str"/>
      <x:c r="Q748" s="59" t="str">
        <x:v>待确认</x:v>
      </x:c>
    </x:row>
    <x:row r="749">
      <x:c r="A749" s="56" t="str">
        <x:v>P019</x:v>
      </x:c>
      <x:c r="B749" s="56" t="str">
        <x:v>HX-ADD-007</x:v>
      </x:c>
      <x:c r="C749" s="56" t="str">
        <x:v>exam</x:v>
      </x:c>
      <x:c r="D749" s="56" t="n">
        <x:v>35</x:v>
      </x:c>
      <x:c r="E749" s="56" t="str">
        <x:v>exam.blood_pressure</x:v>
      </x:c>
      <x:c r="F749" s="56" t="str">
        <x:v>血压</x:v>
      </x:c>
      <x:c r="G749" s="56" t="n">
        <x:v>12</x:v>
      </x:c>
      <x:c r="H749" s="56" t="str">
        <x:v>普通得分项</x:v>
      </x:c>
      <x:c r="I749" s="56" t="str">
        <x:v>否</x:v>
      </x:c>
      <x:c r="J749" s="56" t="str">
        <x:v>否</x:v>
      </x:c>
      <x:c r="K749" s="56" t="str">
        <x:v>否</x:v>
      </x:c>
      <x:c r="L749" s="56" t="str">
        <x:v>按结构化事件证据给予0/部分/满分；不能由总结反推已完成</x:v>
      </x:c>
      <x:c r="M749" s="56" t="str"/>
      <x:c r="N749" s="56" t="n">
        <x:f>SUMIFS($G$4:$G$1673,$A$4:$A$1673,A749)</x:f>
        <x:v>360</x:v>
      </x:c>
      <x:c r="O749" s="56" t="str">
        <x:f>IF(N749=360,"通过","失败")</x:f>
        <x:v>通过</x:v>
      </x:c>
      <x:c r="P749" s="56" t="str"/>
      <x:c r="Q749" s="59" t="str">
        <x:v>待确认</x:v>
      </x:c>
    </x:row>
    <x:row r="750">
      <x:c r="A750" s="56" t="str">
        <x:v>P019</x:v>
      </x:c>
      <x:c r="B750" s="56" t="str">
        <x:v>HX-ADD-007</x:v>
      </x:c>
      <x:c r="C750" s="56" t="str">
        <x:v>exam</x:v>
      </x:c>
      <x:c r="D750" s="56" t="n">
        <x:v>35</x:v>
      </x:c>
      <x:c r="E750" s="56" t="str">
        <x:v>exam.targeted</x:v>
      </x:c>
      <x:c r="F750" s="56" t="str">
        <x:v>病例针对性查体</x:v>
      </x:c>
      <x:c r="G750" s="56" t="n">
        <x:v>11</x:v>
      </x:c>
      <x:c r="H750" s="56" t="str">
        <x:v>普通得分项</x:v>
      </x:c>
      <x:c r="I750" s="56" t="str">
        <x:v>否</x:v>
      </x:c>
      <x:c r="J750" s="56" t="str">
        <x:v>否</x:v>
      </x:c>
      <x:c r="K750" s="56" t="str">
        <x:v>否</x:v>
      </x:c>
      <x:c r="L750" s="56" t="str">
        <x:v>按结构化事件证据给予0/部分/满分；不能由总结反推已完成</x:v>
      </x:c>
      <x:c r="M750" s="56" t="str"/>
      <x:c r="N750" s="56" t="n">
        <x:f>SUMIFS($G$4:$G$1673,$A$4:$A$1673,A750)</x:f>
        <x:v>360</x:v>
      </x:c>
      <x:c r="O750" s="56" t="str">
        <x:f>IF(N750=360,"通过","失败")</x:f>
        <x:v>通过</x:v>
      </x:c>
      <x:c r="P750" s="56" t="str"/>
      <x:c r="Q750" s="59" t="str">
        <x:v>待确认</x:v>
      </x:c>
    </x:row>
    <x:row r="751">
      <x:c r="A751" s="56" t="str">
        <x:v>P019</x:v>
      </x:c>
      <x:c r="B751" s="56" t="str">
        <x:v>HX-ADD-007</x:v>
      </x:c>
      <x:c r="C751" s="56" t="str">
        <x:v>diagnosis</x:v>
      </x:c>
      <x:c r="D751" s="56" t="n">
        <x:v>45</x:v>
      </x:c>
      <x:c r="E751" s="56" t="str">
        <x:v>diagnosis.primary</x:v>
      </x:c>
      <x:c r="F751" s="56" t="str">
        <x:v>最可能诊断及依据</x:v>
      </x:c>
      <x:c r="G751" s="56" t="n">
        <x:v>15</x:v>
      </x:c>
      <x:c r="H751" s="56" t="str">
        <x:v>普通得分项</x:v>
      </x:c>
      <x:c r="I751" s="56" t="str">
        <x:v>否</x:v>
      </x:c>
      <x:c r="J751" s="56" t="str">
        <x:v>否</x:v>
      </x:c>
      <x:c r="K751" s="56" t="str">
        <x:v>否</x:v>
      </x:c>
      <x:c r="L751" s="56" t="str">
        <x:v>按结构化事件证据给予0/部分/满分；不能由总结反推已完成</x:v>
      </x:c>
      <x:c r="M751" s="56" t="str"/>
      <x:c r="N751" s="56" t="n">
        <x:f>SUMIFS($G$4:$G$1673,$A$4:$A$1673,A751)</x:f>
        <x:v>360</x:v>
      </x:c>
      <x:c r="O751" s="56" t="str">
        <x:f>IF(N751=360,"通过","失败")</x:f>
        <x:v>通过</x:v>
      </x:c>
      <x:c r="P751" s="56" t="str"/>
      <x:c r="Q751" s="59" t="str">
        <x:v>待确认</x:v>
      </x:c>
    </x:row>
    <x:row r="752">
      <x:c r="A752" s="56" t="str">
        <x:v>P019</x:v>
      </x:c>
      <x:c r="B752" s="56" t="str">
        <x:v>HX-ADD-007</x:v>
      </x:c>
      <x:c r="C752" s="56" t="str">
        <x:v>diagnosis</x:v>
      </x:c>
      <x:c r="D752" s="56" t="n">
        <x:v>45</x:v>
      </x:c>
      <x:c r="E752" s="56" t="str">
        <x:v>diagnosis.differentials</x:v>
      </x:c>
      <x:c r="F752" s="56" t="str">
        <x:v>至少3项鉴别及支持/反对点</x:v>
      </x:c>
      <x:c r="G752" s="56" t="n">
        <x:v>15</x:v>
      </x:c>
      <x:c r="H752" s="56" t="str">
        <x:v>普通得分项</x:v>
      </x:c>
      <x:c r="I752" s="56" t="str">
        <x:v>否</x:v>
      </x:c>
      <x:c r="J752" s="56" t="str">
        <x:v>否</x:v>
      </x:c>
      <x:c r="K752" s="56" t="str">
        <x:v>否</x:v>
      </x:c>
      <x:c r="L752" s="56" t="str">
        <x:v>按结构化事件证据给予0/部分/满分；不能由总结反推已完成</x:v>
      </x:c>
      <x:c r="M752" s="56" t="str"/>
      <x:c r="N752" s="56" t="n">
        <x:f>SUMIFS($G$4:$G$1673,$A$4:$A$1673,A752)</x:f>
        <x:v>360</x:v>
      </x:c>
      <x:c r="O752" s="56" t="str">
        <x:f>IF(N752=360,"通过","失败")</x:f>
        <x:v>通过</x:v>
      </x:c>
      <x:c r="P752" s="56" t="str"/>
      <x:c r="Q752" s="59" t="str">
        <x:v>待确认</x:v>
      </x:c>
    </x:row>
    <x:row r="753">
      <x:c r="A753" s="56" t="str">
        <x:v>P019</x:v>
      </x:c>
      <x:c r="B753" s="56" t="str">
        <x:v>HX-ADD-007</x:v>
      </x:c>
      <x:c r="C753" s="56" t="str">
        <x:v>diagnosis</x:v>
      </x:c>
      <x:c r="D753" s="56" t="n">
        <x:v>45</x:v>
      </x:c>
      <x:c r="E753" s="56" t="str">
        <x:v>diagnosis.confirmation</x:v>
      </x:c>
      <x:c r="F753" s="56" t="str">
        <x:v>确认计划</x:v>
      </x:c>
      <x:c r="G753" s="56" t="n">
        <x:v>15</x:v>
      </x:c>
      <x:c r="H753" s="56" t="str">
        <x:v>普通得分项</x:v>
      </x:c>
      <x:c r="I753" s="56" t="str">
        <x:v>否</x:v>
      </x:c>
      <x:c r="J753" s="56" t="str">
        <x:v>否</x:v>
      </x:c>
      <x:c r="K753" s="56" t="str">
        <x:v>否</x:v>
      </x:c>
      <x:c r="L753" s="56" t="str">
        <x:v>按结构化事件证据给予0/部分/满分；不能由总结反推已完成</x:v>
      </x:c>
      <x:c r="M753" s="56" t="str"/>
      <x:c r="N753" s="56" t="n">
        <x:f>SUMIFS($G$4:$G$1673,$A$4:$A$1673,A753)</x:f>
        <x:v>360</x:v>
      </x:c>
      <x:c r="O753" s="56" t="str">
        <x:f>IF(N753=360,"通过","失败")</x:f>
        <x:v>通过</x:v>
      </x:c>
      <x:c r="P753" s="56" t="str"/>
      <x:c r="Q753" s="59" t="str">
        <x:v>待确认</x:v>
      </x:c>
    </x:row>
    <x:row r="754">
      <x:c r="A754" s="56" t="str">
        <x:v>P019</x:v>
      </x:c>
      <x:c r="B754" s="56" t="str">
        <x:v>HX-ADD-007</x:v>
      </x:c>
      <x:c r="C754" s="56" t="str">
        <x:v>orders</x:v>
      </x:c>
      <x:c r="D754" s="56" t="n">
        <x:v>55</x:v>
      </x:c>
      <x:c r="E754" s="56" t="str">
        <x:v>orders.LAB-UR-001</x:v>
      </x:c>
      <x:c r="F754" s="56" t="str">
        <x:v>LAB-UR-001</x:v>
      </x:c>
      <x:c r="G754" s="56" t="n">
        <x:v>10</x:v>
      </x:c>
      <x:c r="H754" s="56" t="str">
        <x:v>病例特异得分项</x:v>
      </x:c>
      <x:c r="I754" s="56" t="str">
        <x:v>否</x:v>
      </x:c>
      <x:c r="J754" s="56" t="str">
        <x:v>否</x:v>
      </x:c>
      <x:c r="K754" s="56" t="str">
        <x:v>否</x:v>
      </x:c>
      <x:c r="L754" s="56" t="str">
        <x:v>按结构化事件证据给予0/部分/满分；不能由总结反推已完成</x:v>
      </x:c>
      <x:c r="M754" s="56" t="str"/>
      <x:c r="N754" s="56" t="n">
        <x:f>SUMIFS($G$4:$G$1673,$A$4:$A$1673,A754)</x:f>
        <x:v>360</x:v>
      </x:c>
      <x:c r="O754" s="56" t="str">
        <x:f>IF(N754=360,"通过","失败")</x:f>
        <x:v>通过</x:v>
      </x:c>
      <x:c r="P754" s="56" t="str"/>
      <x:c r="Q754" s="59" t="str">
        <x:v>待确认</x:v>
      </x:c>
    </x:row>
    <x:row r="755">
      <x:c r="A755" s="56" t="str">
        <x:v>P019</x:v>
      </x:c>
      <x:c r="B755" s="56" t="str">
        <x:v>HX-ADD-007</x:v>
      </x:c>
      <x:c r="C755" s="56" t="str">
        <x:v>orders</x:v>
      </x:c>
      <x:c r="D755" s="56" t="n">
        <x:v>55</x:v>
      </x:c>
      <x:c r="E755" s="56" t="str">
        <x:v>orders.LAB-UR-002</x:v>
      </x:c>
      <x:c r="F755" s="56" t="str">
        <x:v>LAB-UR-002</x:v>
      </x:c>
      <x:c r="G755" s="56" t="n">
        <x:v>9</x:v>
      </x:c>
      <x:c r="H755" s="56" t="str">
        <x:v>病例特异得分项</x:v>
      </x:c>
      <x:c r="I755" s="56" t="str">
        <x:v>否</x:v>
      </x:c>
      <x:c r="J755" s="56" t="str">
        <x:v>否</x:v>
      </x:c>
      <x:c r="K755" s="56" t="str">
        <x:v>否</x:v>
      </x:c>
      <x:c r="L755" s="56" t="str">
        <x:v>按结构化事件证据给予0/部分/满分；不能由总结反推已完成</x:v>
      </x:c>
      <x:c r="M755" s="56" t="str"/>
      <x:c r="N755" s="56" t="n">
        <x:f>SUMIFS($G$4:$G$1673,$A$4:$A$1673,A755)</x:f>
        <x:v>360</x:v>
      </x:c>
      <x:c r="O755" s="56" t="str">
        <x:f>IF(N755=360,"通过","失败")</x:f>
        <x:v>通过</x:v>
      </x:c>
      <x:c r="P755" s="56" t="str"/>
      <x:c r="Q755" s="59" t="str">
        <x:v>待确认</x:v>
      </x:c>
    </x:row>
    <x:row r="756">
      <x:c r="A756" s="56" t="str">
        <x:v>P019</x:v>
      </x:c>
      <x:c r="B756" s="56" t="str">
        <x:v>HX-ADD-007</x:v>
      </x:c>
      <x:c r="C756" s="56" t="str">
        <x:v>orders</x:v>
      </x:c>
      <x:c r="D756" s="56" t="n">
        <x:v>55</x:v>
      </x:c>
      <x:c r="E756" s="56" t="str">
        <x:v>orders.LAB-UR-008</x:v>
      </x:c>
      <x:c r="F756" s="56" t="str">
        <x:v>LAB-UR-008</x:v>
      </x:c>
      <x:c r="G756" s="56" t="n">
        <x:v>9</x:v>
      </x:c>
      <x:c r="H756" s="56" t="str">
        <x:v>病例特异得分项</x:v>
      </x:c>
      <x:c r="I756" s="56" t="str">
        <x:v>否</x:v>
      </x:c>
      <x:c r="J756" s="56" t="str">
        <x:v>否</x:v>
      </x:c>
      <x:c r="K756" s="56" t="str">
        <x:v>否</x:v>
      </x:c>
      <x:c r="L756" s="56" t="str">
        <x:v>按结构化事件证据给予0/部分/满分；不能由总结反推已完成</x:v>
      </x:c>
      <x:c r="M756" s="56" t="str"/>
      <x:c r="N756" s="56" t="n">
        <x:f>SUMIFS($G$4:$G$1673,$A$4:$A$1673,A756)</x:f>
        <x:v>360</x:v>
      </x:c>
      <x:c r="O756" s="56" t="str">
        <x:f>IF(N756=360,"通过","失败")</x:f>
        <x:v>通过</x:v>
      </x:c>
      <x:c r="P756" s="56" t="str"/>
      <x:c r="Q756" s="59" t="str">
        <x:v>待确认</x:v>
      </x:c>
    </x:row>
    <x:row r="757">
      <x:c r="A757" s="56" t="str">
        <x:v>P019</x:v>
      </x:c>
      <x:c r="B757" s="56" t="str">
        <x:v>HX-ADD-007</x:v>
      </x:c>
      <x:c r="C757" s="56" t="str">
        <x:v>orders</x:v>
      </x:c>
      <x:c r="D757" s="56" t="n">
        <x:v>55</x:v>
      </x:c>
      <x:c r="E757" s="56" t="str">
        <x:v>orders.LAB-BL-001</x:v>
      </x:c>
      <x:c r="F757" s="56" t="str">
        <x:v>LAB-BL-001</x:v>
      </x:c>
      <x:c r="G757" s="56" t="n">
        <x:v>9</x:v>
      </x:c>
      <x:c r="H757" s="56" t="str">
        <x:v>病例特异得分项</x:v>
      </x:c>
      <x:c r="I757" s="56" t="str">
        <x:v>否</x:v>
      </x:c>
      <x:c r="J757" s="56" t="str">
        <x:v>否</x:v>
      </x:c>
      <x:c r="K757" s="56" t="str">
        <x:v>否</x:v>
      </x:c>
      <x:c r="L757" s="56" t="str">
        <x:v>按结构化事件证据给予0/部分/满分；不能由总结反推已完成</x:v>
      </x:c>
      <x:c r="M757" s="56" t="str"/>
      <x:c r="N757" s="56" t="n">
        <x:f>SUMIFS($G$4:$G$1673,$A$4:$A$1673,A757)</x:f>
        <x:v>360</x:v>
      </x:c>
      <x:c r="O757" s="56" t="str">
        <x:f>IF(N757=360,"通过","失败")</x:f>
        <x:v>通过</x:v>
      </x:c>
      <x:c r="P757" s="56" t="str"/>
      <x:c r="Q757" s="59" t="str">
        <x:v>待确认</x:v>
      </x:c>
    </x:row>
    <x:row r="758">
      <x:c r="A758" s="56" t="str">
        <x:v>P019</x:v>
      </x:c>
      <x:c r="B758" s="56" t="str">
        <x:v>HX-ADD-007</x:v>
      </x:c>
      <x:c r="C758" s="56" t="str">
        <x:v>orders</x:v>
      </x:c>
      <x:c r="D758" s="56" t="n">
        <x:v>55</x:v>
      </x:c>
      <x:c r="E758" s="56" t="str">
        <x:v>orders.LAB-BL-002</x:v>
      </x:c>
      <x:c r="F758" s="56" t="str">
        <x:v>LAB-BL-002</x:v>
      </x:c>
      <x:c r="G758" s="56" t="n">
        <x:v>9</x:v>
      </x:c>
      <x:c r="H758" s="56" t="str">
        <x:v>病例特异得分项</x:v>
      </x:c>
      <x:c r="I758" s="56" t="str">
        <x:v>否</x:v>
      </x:c>
      <x:c r="J758" s="56" t="str">
        <x:v>否</x:v>
      </x:c>
      <x:c r="K758" s="56" t="str">
        <x:v>否</x:v>
      </x:c>
      <x:c r="L758" s="56" t="str">
        <x:v>按结构化事件证据给予0/部分/满分；不能由总结反推已完成</x:v>
      </x:c>
      <x:c r="M758" s="56" t="str"/>
      <x:c r="N758" s="56" t="n">
        <x:f>SUMIFS($G$4:$G$1673,$A$4:$A$1673,A758)</x:f>
        <x:v>360</x:v>
      </x:c>
      <x:c r="O758" s="56" t="str">
        <x:f>IF(N758=360,"通过","失败")</x:f>
        <x:v>通过</x:v>
      </x:c>
      <x:c r="P758" s="56" t="str"/>
      <x:c r="Q758" s="59" t="str">
        <x:v>待确认</x:v>
      </x:c>
    </x:row>
    <x:row r="759">
      <x:c r="A759" s="56" t="str">
        <x:v>P019</x:v>
      </x:c>
      <x:c r="B759" s="56" t="str">
        <x:v>HX-ADD-007</x:v>
      </x:c>
      <x:c r="C759" s="56" t="str">
        <x:v>orders</x:v>
      </x:c>
      <x:c r="D759" s="56" t="n">
        <x:v>55</x:v>
      </x:c>
      <x:c r="E759" s="56" t="str">
        <x:v>orders.LAB-BL-003</x:v>
      </x:c>
      <x:c r="F759" s="56" t="str">
        <x:v>LAB-BL-003</x:v>
      </x:c>
      <x:c r="G759" s="56" t="n">
        <x:v>9</x:v>
      </x:c>
      <x:c r="H759" s="56" t="str">
        <x:v>病例特异得分项</x:v>
      </x:c>
      <x:c r="I759" s="56" t="str">
        <x:v>否</x:v>
      </x:c>
      <x:c r="J759" s="56" t="str">
        <x:v>否</x:v>
      </x:c>
      <x:c r="K759" s="56" t="str">
        <x:v>否</x:v>
      </x:c>
      <x:c r="L759" s="56" t="str">
        <x:v>按结构化事件证据给予0/部分/满分；不能由总结反推已完成</x:v>
      </x:c>
      <x:c r="M759" s="56" t="str"/>
      <x:c r="N759" s="56" t="n">
        <x:f>SUMIFS($G$4:$G$1673,$A$4:$A$1673,A759)</x:f>
        <x:v>360</x:v>
      </x:c>
      <x:c r="O759" s="56" t="str">
        <x:f>IF(N759=360,"通过","失败")</x:f>
        <x:v>通过</x:v>
      </x:c>
      <x:c r="P759" s="56" t="str"/>
      <x:c r="Q759" s="59" t="str">
        <x:v>待确认</x:v>
      </x:c>
    </x:row>
    <x:row r="760">
      <x:c r="A760" s="56" t="str">
        <x:v>P019</x:v>
      </x:c>
      <x:c r="B760" s="56" t="str">
        <x:v>HX-ADD-007</x:v>
      </x:c>
      <x:c r="C760" s="56" t="str">
        <x:v>mdt</x:v>
      </x:c>
      <x:c r="D760" s="56" t="n">
        <x:v>45</x:v>
      </x:c>
      <x:c r="E760" s="56" t="str">
        <x:v>mdt.department</x:v>
      </x:c>
      <x:c r="F760" s="56" t="str">
        <x:v>department</x:v>
      </x:c>
      <x:c r="G760" s="56" t="n">
        <x:v>12</x:v>
      </x:c>
      <x:c r="H760" s="56" t="str">
        <x:v>病例特异得分项</x:v>
      </x:c>
      <x:c r="I760" s="56" t="str">
        <x:v>否</x:v>
      </x:c>
      <x:c r="J760" s="56" t="str">
        <x:v>否</x:v>
      </x:c>
      <x:c r="K760" s="56" t="str">
        <x:v>否</x:v>
      </x:c>
      <x:c r="L760" s="56" t="str">
        <x:v>按结构化事件证据给予0/部分/满分；不能由总结反推已完成</x:v>
      </x:c>
      <x:c r="M760" s="56" t="str"/>
      <x:c r="N760" s="56" t="n">
        <x:f>SUMIFS($G$4:$G$1673,$A$4:$A$1673,A760)</x:f>
        <x:v>360</x:v>
      </x:c>
      <x:c r="O760" s="56" t="str">
        <x:f>IF(N760=360,"通过","失败")</x:f>
        <x:v>通过</x:v>
      </x:c>
      <x:c r="P760" s="56" t="str"/>
      <x:c r="Q760" s="59" t="str">
        <x:v>待确认</x:v>
      </x:c>
    </x:row>
    <x:row r="761">
      <x:c r="A761" s="56" t="str">
        <x:v>P019</x:v>
      </x:c>
      <x:c r="B761" s="56" t="str">
        <x:v>HX-ADD-007</x:v>
      </x:c>
      <x:c r="C761" s="56" t="str">
        <x:v>mdt</x:v>
      </x:c>
      <x:c r="D761" s="56" t="n">
        <x:v>45</x:v>
      </x:c>
      <x:c r="E761" s="56" t="str">
        <x:v>mdt.trigger</x:v>
      </x:c>
      <x:c r="F761" s="56" t="str">
        <x:v>trigger</x:v>
      </x:c>
      <x:c r="G761" s="56" t="n">
        <x:v>11</x:v>
      </x:c>
      <x:c r="H761" s="56" t="str">
        <x:v>病例特异得分项</x:v>
      </x:c>
      <x:c r="I761" s="56" t="str">
        <x:v>否</x:v>
      </x:c>
      <x:c r="J761" s="56" t="str">
        <x:v>否</x:v>
      </x:c>
      <x:c r="K761" s="56" t="str">
        <x:v>否</x:v>
      </x:c>
      <x:c r="L761" s="56" t="str">
        <x:v>按结构化事件证据给予0/部分/满分；不能由总结反推已完成</x:v>
      </x:c>
      <x:c r="M761" s="56" t="str"/>
      <x:c r="N761" s="56" t="n">
        <x:f>SUMIFS($G$4:$G$1673,$A$4:$A$1673,A761)</x:f>
        <x:v>360</x:v>
      </x:c>
      <x:c r="O761" s="56" t="str">
        <x:f>IF(N761=360,"通过","失败")</x:f>
        <x:v>通过</x:v>
      </x:c>
      <x:c r="P761" s="56" t="str"/>
      <x:c r="Q761" s="59" t="str">
        <x:v>待确认</x:v>
      </x:c>
    </x:row>
    <x:row r="762">
      <x:c r="A762" s="56" t="str">
        <x:v>P019</x:v>
      </x:c>
      <x:c r="B762" s="56" t="str">
        <x:v>HX-ADD-007</x:v>
      </x:c>
      <x:c r="C762" s="56" t="str">
        <x:v>mdt</x:v>
      </x:c>
      <x:c r="D762" s="56" t="n">
        <x:v>45</x:v>
      </x:c>
      <x:c r="E762" s="56" t="str">
        <x:v>mdt.question</x:v>
      </x:c>
      <x:c r="F762" s="56" t="str">
        <x:v>question</x:v>
      </x:c>
      <x:c r="G762" s="56" t="n">
        <x:v>11</x:v>
      </x:c>
      <x:c r="H762" s="56" t="str">
        <x:v>病例特异得分项</x:v>
      </x:c>
      <x:c r="I762" s="56" t="str">
        <x:v>否</x:v>
      </x:c>
      <x:c r="J762" s="56" t="str">
        <x:v>否</x:v>
      </x:c>
      <x:c r="K762" s="56" t="str">
        <x:v>否</x:v>
      </x:c>
      <x:c r="L762" s="56" t="str">
        <x:v>按结构化事件证据给予0/部分/满分；不能由总结反推已完成</x:v>
      </x:c>
      <x:c r="M762" s="56" t="str"/>
      <x:c r="N762" s="56" t="n">
        <x:f>SUMIFS($G$4:$G$1673,$A$4:$A$1673,A762)</x:f>
        <x:v>360</x:v>
      </x:c>
      <x:c r="O762" s="56" t="str">
        <x:f>IF(N762=360,"通过","失败")</x:f>
        <x:v>通过</x:v>
      </x:c>
      <x:c r="P762" s="56" t="str"/>
      <x:c r="Q762" s="59" t="str">
        <x:v>待确认</x:v>
      </x:c>
    </x:row>
    <x:row r="763">
      <x:c r="A763" s="56" t="str">
        <x:v>P019</x:v>
      </x:c>
      <x:c r="B763" s="56" t="str">
        <x:v>HX-ADD-007</x:v>
      </x:c>
      <x:c r="C763" s="56" t="str">
        <x:v>mdt</x:v>
      </x:c>
      <x:c r="D763" s="56" t="n">
        <x:v>45</x:v>
      </x:c>
      <x:c r="E763" s="56" t="str">
        <x:v>mdt.evidence</x:v>
      </x:c>
      <x:c r="F763" s="56" t="str">
        <x:v>evidence</x:v>
      </x:c>
      <x:c r="G763" s="56" t="n">
        <x:v>11</x:v>
      </x:c>
      <x:c r="H763" s="56" t="str">
        <x:v>病例特异得分项</x:v>
      </x:c>
      <x:c r="I763" s="56" t="str">
        <x:v>否</x:v>
      </x:c>
      <x:c r="J763" s="56" t="str">
        <x:v>否</x:v>
      </x:c>
      <x:c r="K763" s="56" t="str">
        <x:v>否</x:v>
      </x:c>
      <x:c r="L763" s="56" t="str">
        <x:v>按结构化事件证据给予0/部分/满分；不能由总结反推已完成</x:v>
      </x:c>
      <x:c r="M763" s="56" t="str"/>
      <x:c r="N763" s="56" t="n">
        <x:f>SUMIFS($G$4:$G$1673,$A$4:$A$1673,A763)</x:f>
        <x:v>360</x:v>
      </x:c>
      <x:c r="O763" s="56" t="str">
        <x:f>IF(N763=360,"通过","失败")</x:f>
        <x:v>通过</x:v>
      </x:c>
      <x:c r="P763" s="56" t="str"/>
      <x:c r="Q763" s="59" t="str">
        <x:v>待确认</x:v>
      </x:c>
    </x:row>
    <x:row r="764">
      <x:c r="A764" s="56" t="str">
        <x:v>P019</x:v>
      </x:c>
      <x:c r="B764" s="56" t="str">
        <x:v>HX-ADD-007</x:v>
      </x:c>
      <x:c r="C764" s="56" t="str">
        <x:v>treatment</x:v>
      </x:c>
      <x:c r="D764" s="56" t="n">
        <x:v>50</x:v>
      </x:c>
      <x:c r="E764" s="56" t="str">
        <x:v>treatment.immediate</x:v>
      </x:c>
      <x:c r="F764" s="56" t="str">
        <x:v>immediate</x:v>
      </x:c>
      <x:c r="G764" s="56" t="n">
        <x:v>13</x:v>
      </x:c>
      <x:c r="H764" s="56" t="str">
        <x:v>病例特异得分项</x:v>
      </x:c>
      <x:c r="I764" s="56" t="str">
        <x:v>否</x:v>
      </x:c>
      <x:c r="J764" s="56" t="str">
        <x:v>否</x:v>
      </x:c>
      <x:c r="K764" s="56" t="str">
        <x:v>否</x:v>
      </x:c>
      <x:c r="L764" s="56" t="str">
        <x:v>按结构化事件证据给予0/部分/满分；不能由总结反推已完成</x:v>
      </x:c>
      <x:c r="M764" s="56" t="str"/>
      <x:c r="N764" s="56" t="n">
        <x:f>SUMIFS($G$4:$G$1673,$A$4:$A$1673,A764)</x:f>
        <x:v>360</x:v>
      </x:c>
      <x:c r="O764" s="56" t="str">
        <x:f>IF(N764=360,"通过","失败")</x:f>
        <x:v>通过</x:v>
      </x:c>
      <x:c r="P764" s="56" t="str"/>
      <x:c r="Q764" s="59" t="str">
        <x:v>待确认</x:v>
      </x:c>
    </x:row>
    <x:row r="765">
      <x:c r="A765" s="56" t="str">
        <x:v>P019</x:v>
      </x:c>
      <x:c r="B765" s="56" t="str">
        <x:v>HX-ADD-007</x:v>
      </x:c>
      <x:c r="C765" s="56" t="str">
        <x:v>treatment</x:v>
      </x:c>
      <x:c r="D765" s="56" t="n">
        <x:v>50</x:v>
      </x:c>
      <x:c r="E765" s="56" t="str">
        <x:v>treatment.etiologic</x:v>
      </x:c>
      <x:c r="F765" s="56" t="str">
        <x:v>etiologic</x:v>
      </x:c>
      <x:c r="G765" s="56" t="n">
        <x:v>13</x:v>
      </x:c>
      <x:c r="H765" s="56" t="str">
        <x:v>病例特异得分项</x:v>
      </x:c>
      <x:c r="I765" s="56" t="str">
        <x:v>否</x:v>
      </x:c>
      <x:c r="J765" s="56" t="str">
        <x:v>否</x:v>
      </x:c>
      <x:c r="K765" s="56" t="str">
        <x:v>否</x:v>
      </x:c>
      <x:c r="L765" s="56" t="str">
        <x:v>按结构化事件证据给予0/部分/满分；不能由总结反推已完成</x:v>
      </x:c>
      <x:c r="M765" s="56" t="str"/>
      <x:c r="N765" s="56" t="n">
        <x:f>SUMIFS($G$4:$G$1673,$A$4:$A$1673,A765)</x:f>
        <x:v>360</x:v>
      </x:c>
      <x:c r="O765" s="56" t="str">
        <x:f>IF(N765=360,"通过","失败")</x:f>
        <x:v>通过</x:v>
      </x:c>
      <x:c r="P765" s="56" t="str"/>
      <x:c r="Q765" s="59" t="str">
        <x:v>待确认</x:v>
      </x:c>
    </x:row>
    <x:row r="766">
      <x:c r="A766" s="56" t="str">
        <x:v>P019</x:v>
      </x:c>
      <x:c r="B766" s="56" t="str">
        <x:v>HX-ADD-007</x:v>
      </x:c>
      <x:c r="C766" s="56" t="str">
        <x:v>treatment</x:v>
      </x:c>
      <x:c r="D766" s="56" t="n">
        <x:v>50</x:v>
      </x:c>
      <x:c r="E766" s="56" t="str">
        <x:v>treatment.definitive</x:v>
      </x:c>
      <x:c r="F766" s="56" t="str">
        <x:v>definitive</x:v>
      </x:c>
      <x:c r="G766" s="56" t="n">
        <x:v>12</x:v>
      </x:c>
      <x:c r="H766" s="56" t="str">
        <x:v>病例特异得分项</x:v>
      </x:c>
      <x:c r="I766" s="56" t="str">
        <x:v>否</x:v>
      </x:c>
      <x:c r="J766" s="56" t="str">
        <x:v>否</x:v>
      </x:c>
      <x:c r="K766" s="56" t="str">
        <x:v>否</x:v>
      </x:c>
      <x:c r="L766" s="56" t="str">
        <x:v>按结构化事件证据给予0/部分/满分；不能由总结反推已完成</x:v>
      </x:c>
      <x:c r="M766" s="56" t="str"/>
      <x:c r="N766" s="56" t="n">
        <x:f>SUMIFS($G$4:$G$1673,$A$4:$A$1673,A766)</x:f>
        <x:v>360</x:v>
      </x:c>
      <x:c r="O766" s="56" t="str">
        <x:f>IF(N766=360,"通过","失败")</x:f>
        <x:v>通过</x:v>
      </x:c>
      <x:c r="P766" s="56" t="str"/>
      <x:c r="Q766" s="59" t="str">
        <x:v>待确认</x:v>
      </x:c>
    </x:row>
    <x:row r="767">
      <x:c r="A767" s="56" t="str">
        <x:v>P019</x:v>
      </x:c>
      <x:c r="B767" s="56" t="str">
        <x:v>HX-ADD-007</x:v>
      </x:c>
      <x:c r="C767" s="56" t="str">
        <x:v>treatment</x:v>
      </x:c>
      <x:c r="D767" s="56" t="n">
        <x:v>50</x:v>
      </x:c>
      <x:c r="E767" s="56" t="str">
        <x:v>treatment.perioperative</x:v>
      </x:c>
      <x:c r="F767" s="56" t="str">
        <x:v>perioperative</x:v>
      </x:c>
      <x:c r="G767" s="56" t="n">
        <x:v>12</x:v>
      </x:c>
      <x:c r="H767" s="56" t="str">
        <x:v>病例特异得分项</x:v>
      </x:c>
      <x:c r="I767" s="56" t="str">
        <x:v>否</x:v>
      </x:c>
      <x:c r="J767" s="56" t="str">
        <x:v>否</x:v>
      </x:c>
      <x:c r="K767" s="56" t="str">
        <x:v>否</x:v>
      </x:c>
      <x:c r="L767" s="56" t="str">
        <x:v>按结构化事件证据给予0/部分/满分；不能由总结反推已完成</x:v>
      </x:c>
      <x:c r="M767" s="56" t="str"/>
      <x:c r="N767" s="56" t="n">
        <x:f>SUMIFS($G$4:$G$1673,$A$4:$A$1673,A767)</x:f>
        <x:v>360</x:v>
      </x:c>
      <x:c r="O767" s="56" t="str">
        <x:f>IF(N767=360,"通过","失败")</x:f>
        <x:v>通过</x:v>
      </x:c>
      <x:c r="P767" s="56" t="str"/>
      <x:c r="Q767" s="59" t="str">
        <x:v>待确认</x:v>
      </x:c>
    </x:row>
    <x:row r="768">
      <x:c r="A768" s="56" t="str">
        <x:v>P019</x:v>
      </x:c>
      <x:c r="B768" s="56" t="str">
        <x:v>HX-ADD-007</x:v>
      </x:c>
      <x:c r="C768" s="56" t="str">
        <x:v>followup</x:v>
      </x:c>
      <x:c r="D768" s="56" t="n">
        <x:v>40</x:v>
      </x:c>
      <x:c r="E768" s="56" t="str">
        <x:v>followup.plan</x:v>
      </x:c>
      <x:c r="F768" s="56" t="str">
        <x:v>随访复查</x:v>
      </x:c>
      <x:c r="G768" s="56" t="n">
        <x:v>10</x:v>
      </x:c>
      <x:c r="H768" s="56" t="str">
        <x:v>普通得分项</x:v>
      </x:c>
      <x:c r="I768" s="56" t="str">
        <x:v>否</x:v>
      </x:c>
      <x:c r="J768" s="56" t="str">
        <x:v>否</x:v>
      </x:c>
      <x:c r="K768" s="56" t="str">
        <x:v>否</x:v>
      </x:c>
      <x:c r="L768" s="56" t="str">
        <x:v>按结构化事件证据给予0/部分/满分；不能由总结反推已完成</x:v>
      </x:c>
      <x:c r="M768" s="56" t="str"/>
      <x:c r="N768" s="56" t="n">
        <x:f>SUMIFS($G$4:$G$1673,$A$4:$A$1673,A768)</x:f>
        <x:v>360</x:v>
      </x:c>
      <x:c r="O768" s="56" t="str">
        <x:f>IF(N768=360,"通过","失败")</x:f>
        <x:v>通过</x:v>
      </x:c>
      <x:c r="P768" s="56" t="str"/>
      <x:c r="Q768" s="59" t="str">
        <x:v>待确认</x:v>
      </x:c>
    </x:row>
    <x:row r="769">
      <x:c r="A769" s="56" t="str">
        <x:v>P019</x:v>
      </x:c>
      <x:c r="B769" s="56" t="str">
        <x:v>HX-ADD-007</x:v>
      </x:c>
      <x:c r="C769" s="56" t="str">
        <x:v>followup</x:v>
      </x:c>
      <x:c r="D769" s="56" t="n">
        <x:v>40</x:v>
      </x:c>
      <x:c r="E769" s="56" t="str">
        <x:v>followup.education</x:v>
      </x:c>
      <x:c r="F769" s="56" t="str">
        <x:v>患者教育</x:v>
      </x:c>
      <x:c r="G769" s="56" t="n">
        <x:v>10</x:v>
      </x:c>
      <x:c r="H769" s="56" t="str">
        <x:v>普通得分项</x:v>
      </x:c>
      <x:c r="I769" s="56" t="str">
        <x:v>否</x:v>
      </x:c>
      <x:c r="J769" s="56" t="str">
        <x:v>否</x:v>
      </x:c>
      <x:c r="K769" s="56" t="str">
        <x:v>否</x:v>
      </x:c>
      <x:c r="L769" s="56" t="str">
        <x:v>按结构化事件证据给予0/部分/满分；不能由总结反推已完成</x:v>
      </x:c>
      <x:c r="M769" s="56" t="str"/>
      <x:c r="N769" s="56" t="n">
        <x:f>SUMIFS($G$4:$G$1673,$A$4:$A$1673,A769)</x:f>
        <x:v>360</x:v>
      </x:c>
      <x:c r="O769" s="56" t="str">
        <x:f>IF(N769=360,"通过","失败")</x:f>
        <x:v>通过</x:v>
      </x:c>
      <x:c r="P769" s="56" t="str"/>
      <x:c r="Q769" s="59" t="str">
        <x:v>待确认</x:v>
      </x:c>
    </x:row>
    <x:row r="770">
      <x:c r="A770" s="56" t="str">
        <x:v>P019</x:v>
      </x:c>
      <x:c r="B770" s="56" t="str">
        <x:v>HX-ADD-007</x:v>
      </x:c>
      <x:c r="C770" s="56" t="str">
        <x:v>followup</x:v>
      </x:c>
      <x:c r="D770" s="56" t="n">
        <x:v>40</x:v>
      </x:c>
      <x:c r="E770" s="56" t="str">
        <x:v>followup.reflection</x:v>
      </x:c>
      <x:c r="F770" s="56" t="str">
        <x:v>学习反思质量</x:v>
      </x:c>
      <x:c r="G770" s="56" t="n">
        <x:v>10</x:v>
      </x:c>
      <x:c r="H770" s="56" t="str">
        <x:v>普通得分项</x:v>
      </x:c>
      <x:c r="I770" s="56" t="str">
        <x:v>否</x:v>
      </x:c>
      <x:c r="J770" s="56" t="str">
        <x:v>否</x:v>
      </x:c>
      <x:c r="K770" s="56" t="str">
        <x:v>否</x:v>
      </x:c>
      <x:c r="L770" s="56" t="str">
        <x:v>按结构化事件证据给予0/部分/满分；不能由总结反推已完成</x:v>
      </x:c>
      <x:c r="M770" s="56" t="str"/>
      <x:c r="N770" s="56" t="n">
        <x:f>SUMIFS($G$4:$G$1673,$A$4:$A$1673,A770)</x:f>
        <x:v>360</x:v>
      </x:c>
      <x:c r="O770" s="56" t="str">
        <x:f>IF(N770=360,"通过","失败")</x:f>
        <x:v>通过</x:v>
      </x:c>
      <x:c r="P770" s="56" t="str"/>
      <x:c r="Q770" s="59" t="str">
        <x:v>待确认</x:v>
      </x:c>
    </x:row>
    <x:row r="771">
      <x:c r="A771" s="56" t="str">
        <x:v>P019</x:v>
      </x:c>
      <x:c r="B771" s="56" t="str">
        <x:v>HX-ADD-007</x:v>
      </x:c>
      <x:c r="C771" s="56" t="str">
        <x:v>followup</x:v>
      </x:c>
      <x:c r="D771" s="56" t="n">
        <x:v>40</x:v>
      </x:c>
      <x:c r="E771" s="56" t="str">
        <x:v>followup.efficiency</x:v>
      </x:c>
      <x:c r="F771" s="56" t="str">
        <x:v>操作效率</x:v>
      </x:c>
      <x:c r="G771" s="56" t="n">
        <x:v>10</x:v>
      </x:c>
      <x:c r="H771" s="56" t="str">
        <x:v>普通得分项</x:v>
      </x:c>
      <x:c r="I771" s="56" t="str">
        <x:v>否</x:v>
      </x:c>
      <x:c r="J771" s="56" t="str">
        <x:v>否</x:v>
      </x:c>
      <x:c r="K771" s="56" t="str">
        <x:v>否</x:v>
      </x:c>
      <x:c r="L771" s="56" t="str">
        <x:v>按结构化事件证据给予0/部分/满分；不能由总结反推已完成</x:v>
      </x:c>
      <x:c r="M771" s="56" t="str"/>
      <x:c r="N771" s="56" t="n">
        <x:f>SUMIFS($G$4:$G$1673,$A$4:$A$1673,A771)</x:f>
        <x:v>360</x:v>
      </x:c>
      <x:c r="O771" s="56" t="str">
        <x:f>IF(N771=360,"通过","失败")</x:f>
        <x:v>通过</x:v>
      </x:c>
      <x:c r="P771" s="56" t="str"/>
      <x:c r="Q771" s="59" t="str">
        <x:v>待确认</x:v>
      </x:c>
    </x:row>
    <x:row r="772">
      <x:c r="A772" s="56" t="str">
        <x:v>P019</x:v>
      </x:c>
      <x:c r="B772" s="56" t="str">
        <x:v>HX-ADD-007</x:v>
      </x:c>
      <x:c r="C772" s="56" t="str">
        <x:v>safety_gate</x:v>
      </x:c>
      <x:c r="D772" s="56" t="n">
        <x:v>0</x:v>
      </x:c>
      <x:c r="E772" s="56" t="str">
        <x:v>safety.P019.1</x:v>
      </x:c>
      <x:c r="F772" s="56" t="str">
        <x:v>脓毒症未识别或延误复苏</x:v>
      </x:c>
      <x:c r="G772" s="56" t="n">
        <x:v>0</x:v>
      </x:c>
      <x:c r="H772" s="56" t="str">
        <x:v>患者安全关键项</x:v>
      </x:c>
      <x:c r="I772" s="56" t="str">
        <x:v>是</x:v>
      </x:c>
      <x:c r="J772" s="56" t="str">
        <x:v>是</x:v>
      </x:c>
      <x:c r="K772" s="56" t="str">
        <x:v>是</x:v>
      </x:c>
      <x:c r="L772" s="56" t="str">
        <x:v>触发时不加分并按专家设定封顶</x:v>
      </x:c>
      <x:c r="M772" s="56" t="str">
        <x:v>脓毒症未识别或延误复苏</x:v>
      </x:c>
      <x:c r="N772" s="56" t="n">
        <x:f>SUMIFS($G$4:$G$1673,$A$4:$A$1673,A772)</x:f>
        <x:v>360</x:v>
      </x:c>
      <x:c r="O772" s="56" t="str">
        <x:f>IF(N772=360,"通过","失败")</x:f>
        <x:v>通过</x:v>
      </x:c>
      <x:c r="P772" s="56" t="str"/>
      <x:c r="Q772" s="59" t="str">
        <x:v>待确认</x:v>
      </x:c>
    </x:row>
    <x:row r="773">
      <x:c r="A773" s="56" t="str">
        <x:v>P020</x:v>
      </x:c>
      <x:c r="B773" s="56" t="str">
        <x:v>HX-ADD-008</x:v>
      </x:c>
      <x:c r="C773" s="56" t="str">
        <x:v>history</x:v>
      </x:c>
      <x:c r="D773" s="56" t="n">
        <x:v>50</x:v>
      </x:c>
      <x:c r="E773" s="56" t="str">
        <x:v>history.hematuria_visibility</x:v>
      </x:c>
      <x:c r="F773" s="56" t="str">
        <x:v>hematuria_visibility</x:v>
      </x:c>
      <x:c r="G773" s="56" t="n">
        <x:v>5</x:v>
      </x:c>
      <x:c r="H773" s="56" t="str">
        <x:v>普通得分项</x:v>
      </x:c>
      <x:c r="I773" s="56" t="str">
        <x:v>否</x:v>
      </x:c>
      <x:c r="J773" s="56" t="str">
        <x:v>否</x:v>
      </x:c>
      <x:c r="K773" s="56" t="str">
        <x:v>否</x:v>
      </x:c>
      <x:c r="L773" s="56" t="str">
        <x:v>按结构化事件证据给予0/部分/满分；不能由总结反推已完成</x:v>
      </x:c>
      <x:c r="M773" s="56" t="str"/>
      <x:c r="N773" s="56" t="n">
        <x:f>SUMIFS($G$4:$G$1673,$A$4:$A$1673,A773)</x:f>
        <x:v>360</x:v>
      </x:c>
      <x:c r="O773" s="56" t="str">
        <x:f>IF(N773=360,"通过","失败")</x:f>
        <x:v>通过</x:v>
      </x:c>
      <x:c r="P773" s="56" t="str"/>
      <x:c r="Q773" s="59" t="str">
        <x:v>待确认</x:v>
      </x:c>
    </x:row>
    <x:row r="774">
      <x:c r="A774" s="56" t="str">
        <x:v>P020</x:v>
      </x:c>
      <x:c r="B774" s="56" t="str">
        <x:v>HX-ADD-008</x:v>
      </x:c>
      <x:c r="C774" s="56" t="str">
        <x:v>history</x:v>
      </x:c>
      <x:c r="D774" s="56" t="n">
        <x:v>50</x:v>
      </x:c>
      <x:c r="E774" s="56" t="str">
        <x:v>history.hematuria_onset</x:v>
      </x:c>
      <x:c r="F774" s="56" t="str">
        <x:v>hematuria_onset</x:v>
      </x:c>
      <x:c r="G774" s="56" t="n">
        <x:v>5</x:v>
      </x:c>
      <x:c r="H774" s="56" t="str">
        <x:v>普通得分项</x:v>
      </x:c>
      <x:c r="I774" s="56" t="str">
        <x:v>否</x:v>
      </x:c>
      <x:c r="J774" s="56" t="str">
        <x:v>否</x:v>
      </x:c>
      <x:c r="K774" s="56" t="str">
        <x:v>否</x:v>
      </x:c>
      <x:c r="L774" s="56" t="str">
        <x:v>按结构化事件证据给予0/部分/满分；不能由总结反推已完成</x:v>
      </x:c>
      <x:c r="M774" s="56" t="str"/>
      <x:c r="N774" s="56" t="n">
        <x:f>SUMIFS($G$4:$G$1673,$A$4:$A$1673,A774)</x:f>
        <x:v>360</x:v>
      </x:c>
      <x:c r="O774" s="56" t="str">
        <x:f>IF(N774=360,"通过","失败")</x:f>
        <x:v>通过</x:v>
      </x:c>
      <x:c r="P774" s="56" t="str"/>
      <x:c r="Q774" s="59" t="str">
        <x:v>待确认</x:v>
      </x:c>
    </x:row>
    <x:row r="775">
      <x:c r="A775" s="56" t="str">
        <x:v>P020</x:v>
      </x:c>
      <x:c r="B775" s="56" t="str">
        <x:v>HX-ADD-008</x:v>
      </x:c>
      <x:c r="C775" s="56" t="str">
        <x:v>history</x:v>
      </x:c>
      <x:c r="D775" s="56" t="n">
        <x:v>50</x:v>
      </x:c>
      <x:c r="E775" s="56" t="str">
        <x:v>history.hematuria_frequency</x:v>
      </x:c>
      <x:c r="F775" s="56" t="str">
        <x:v>hematuria_frequency</x:v>
      </x:c>
      <x:c r="G775" s="56" t="n">
        <x:v>4</x:v>
      </x:c>
      <x:c r="H775" s="56" t="str">
        <x:v>普通得分项</x:v>
      </x:c>
      <x:c r="I775" s="56" t="str">
        <x:v>否</x:v>
      </x:c>
      <x:c r="J775" s="56" t="str">
        <x:v>否</x:v>
      </x:c>
      <x:c r="K775" s="56" t="str">
        <x:v>否</x:v>
      </x:c>
      <x:c r="L775" s="56" t="str">
        <x:v>按结构化事件证据给予0/部分/满分；不能由总结反推已完成</x:v>
      </x:c>
      <x:c r="M775" s="56" t="str"/>
      <x:c r="N775" s="56" t="n">
        <x:f>SUMIFS($G$4:$G$1673,$A$4:$A$1673,A775)</x:f>
        <x:v>360</x:v>
      </x:c>
      <x:c r="O775" s="56" t="str">
        <x:f>IF(N775=360,"通过","失败")</x:f>
        <x:v>通过</x:v>
      </x:c>
      <x:c r="P775" s="56" t="str"/>
      <x:c r="Q775" s="59" t="str">
        <x:v>待确认</x:v>
      </x:c>
    </x:row>
    <x:row r="776">
      <x:c r="A776" s="56" t="str">
        <x:v>P020</x:v>
      </x:c>
      <x:c r="B776" s="56" t="str">
        <x:v>HX-ADD-008</x:v>
      </x:c>
      <x:c r="C776" s="56" t="str">
        <x:v>history</x:v>
      </x:c>
      <x:c r="D776" s="56" t="n">
        <x:v>50</x:v>
      </x:c>
      <x:c r="E776" s="56" t="str">
        <x:v>history.hematuria_phase</x:v>
      </x:c>
      <x:c r="F776" s="56" t="str">
        <x:v>hematuria_phase</x:v>
      </x:c>
      <x:c r="G776" s="56" t="n">
        <x:v>4</x:v>
      </x:c>
      <x:c r="H776" s="56" t="str">
        <x:v>普通得分项</x:v>
      </x:c>
      <x:c r="I776" s="56" t="str">
        <x:v>否</x:v>
      </x:c>
      <x:c r="J776" s="56" t="str">
        <x:v>否</x:v>
      </x:c>
      <x:c r="K776" s="56" t="str">
        <x:v>否</x:v>
      </x:c>
      <x:c r="L776" s="56" t="str">
        <x:v>按结构化事件证据给予0/部分/满分；不能由总结反推已完成</x:v>
      </x:c>
      <x:c r="M776" s="56" t="str"/>
      <x:c r="N776" s="56" t="n">
        <x:f>SUMIFS($G$4:$G$1673,$A$4:$A$1673,A776)</x:f>
        <x:v>360</x:v>
      </x:c>
      <x:c r="O776" s="56" t="str">
        <x:f>IF(N776=360,"通过","失败")</x:f>
        <x:v>通过</x:v>
      </x:c>
      <x:c r="P776" s="56" t="str"/>
      <x:c r="Q776" s="59" t="str">
        <x:v>待确认</x:v>
      </x:c>
    </x:row>
    <x:row r="777">
      <x:c r="A777" s="56" t="str">
        <x:v>P020</x:v>
      </x:c>
      <x:c r="B777" s="56" t="str">
        <x:v>HX-ADD-008</x:v>
      </x:c>
      <x:c r="C777" s="56" t="str">
        <x:v>history</x:v>
      </x:c>
      <x:c r="D777" s="56" t="n">
        <x:v>50</x:v>
      </x:c>
      <x:c r="E777" s="56" t="str">
        <x:v>history.urine_color</x:v>
      </x:c>
      <x:c r="F777" s="56" t="str">
        <x:v>urine_color</x:v>
      </x:c>
      <x:c r="G777" s="56" t="n">
        <x:v>4</x:v>
      </x:c>
      <x:c r="H777" s="56" t="str">
        <x:v>普通得分项</x:v>
      </x:c>
      <x:c r="I777" s="56" t="str">
        <x:v>否</x:v>
      </x:c>
      <x:c r="J777" s="56" t="str">
        <x:v>否</x:v>
      </x:c>
      <x:c r="K777" s="56" t="str">
        <x:v>否</x:v>
      </x:c>
      <x:c r="L777" s="56" t="str">
        <x:v>按结构化事件证据给予0/部分/满分；不能由总结反推已完成</x:v>
      </x:c>
      <x:c r="M777" s="56" t="str"/>
      <x:c r="N777" s="56" t="n">
        <x:f>SUMIFS($G$4:$G$1673,$A$4:$A$1673,A777)</x:f>
        <x:v>360</x:v>
      </x:c>
      <x:c r="O777" s="56" t="str">
        <x:f>IF(N777=360,"通过","失败")</x:f>
        <x:v>通过</x:v>
      </x:c>
      <x:c r="P777" s="56" t="str"/>
      <x:c r="Q777" s="59" t="str">
        <x:v>待确认</x:v>
      </x:c>
    </x:row>
    <x:row r="778">
      <x:c r="A778" s="56" t="str">
        <x:v>P020</x:v>
      </x:c>
      <x:c r="B778" s="56" t="str">
        <x:v>HX-ADD-008</x:v>
      </x:c>
      <x:c r="C778" s="56" t="str">
        <x:v>history</x:v>
      </x:c>
      <x:c r="D778" s="56" t="n">
        <x:v>50</x:v>
      </x:c>
      <x:c r="E778" s="56" t="str">
        <x:v>history.clots</x:v>
      </x:c>
      <x:c r="F778" s="56" t="str">
        <x:v>clots</x:v>
      </x:c>
      <x:c r="G778" s="56" t="n">
        <x:v>4</x:v>
      </x:c>
      <x:c r="H778" s="56" t="str">
        <x:v>普通得分项</x:v>
      </x:c>
      <x:c r="I778" s="56" t="str">
        <x:v>否</x:v>
      </x:c>
      <x:c r="J778" s="56" t="str">
        <x:v>否</x:v>
      </x:c>
      <x:c r="K778" s="56" t="str">
        <x:v>否</x:v>
      </x:c>
      <x:c r="L778" s="56" t="str">
        <x:v>按结构化事件证据给予0/部分/满分；不能由总结反推已完成</x:v>
      </x:c>
      <x:c r="M778" s="56" t="str"/>
      <x:c r="N778" s="56" t="n">
        <x:f>SUMIFS($G$4:$G$1673,$A$4:$A$1673,A778)</x:f>
        <x:v>360</x:v>
      </x:c>
      <x:c r="O778" s="56" t="str">
        <x:f>IF(N778=360,"通过","失败")</x:f>
        <x:v>通过</x:v>
      </x:c>
      <x:c r="P778" s="56" t="str"/>
      <x:c r="Q778" s="59" t="str">
        <x:v>待确认</x:v>
      </x:c>
    </x:row>
    <x:row r="779">
      <x:c r="A779" s="56" t="str">
        <x:v>P020</x:v>
      </x:c>
      <x:c r="B779" s="56" t="str">
        <x:v>HX-ADD-008</x:v>
      </x:c>
      <x:c r="C779" s="56" t="str">
        <x:v>history</x:v>
      </x:c>
      <x:c r="D779" s="56" t="n">
        <x:v>50</x:v>
      </x:c>
      <x:c r="E779" s="56" t="str">
        <x:v>history.pain</x:v>
      </x:c>
      <x:c r="F779" s="56" t="str">
        <x:v>pain</x:v>
      </x:c>
      <x:c r="G779" s="56" t="n">
        <x:v>4</x:v>
      </x:c>
      <x:c r="H779" s="56" t="str">
        <x:v>普通得分项</x:v>
      </x:c>
      <x:c r="I779" s="56" t="str">
        <x:v>否</x:v>
      </x:c>
      <x:c r="J779" s="56" t="str">
        <x:v>否</x:v>
      </x:c>
      <x:c r="K779" s="56" t="str">
        <x:v>否</x:v>
      </x:c>
      <x:c r="L779" s="56" t="str">
        <x:v>按结构化事件证据给予0/部分/满分；不能由总结反推已完成</x:v>
      </x:c>
      <x:c r="M779" s="56" t="str"/>
      <x:c r="N779" s="56" t="n">
        <x:f>SUMIFS($G$4:$G$1673,$A$4:$A$1673,A779)</x:f>
        <x:v>360</x:v>
      </x:c>
      <x:c r="O779" s="56" t="str">
        <x:f>IF(N779=360,"通过","失败")</x:f>
        <x:v>通过</x:v>
      </x:c>
      <x:c r="P779" s="56" t="str"/>
      <x:c r="Q779" s="59" t="str">
        <x:v>待确认</x:v>
      </x:c>
    </x:row>
    <x:row r="780">
      <x:c r="A780" s="56" t="str">
        <x:v>P020</x:v>
      </x:c>
      <x:c r="B780" s="56" t="str">
        <x:v>HX-ADD-008</x:v>
      </x:c>
      <x:c r="C780" s="56" t="str">
        <x:v>history</x:v>
      </x:c>
      <x:c r="D780" s="56" t="n">
        <x:v>50</x:v>
      </x:c>
      <x:c r="E780" s="56" t="str">
        <x:v>history.dysuria</x:v>
      </x:c>
      <x:c r="F780" s="56" t="str">
        <x:v>dysuria</x:v>
      </x:c>
      <x:c r="G780" s="56" t="n">
        <x:v>4</x:v>
      </x:c>
      <x:c r="H780" s="56" t="str">
        <x:v>普通得分项</x:v>
      </x:c>
      <x:c r="I780" s="56" t="str">
        <x:v>否</x:v>
      </x:c>
      <x:c r="J780" s="56" t="str">
        <x:v>否</x:v>
      </x:c>
      <x:c r="K780" s="56" t="str">
        <x:v>否</x:v>
      </x:c>
      <x:c r="L780" s="56" t="str">
        <x:v>按结构化事件证据给予0/部分/满分；不能由总结反推已完成</x:v>
      </x:c>
      <x:c r="M780" s="56" t="str"/>
      <x:c r="N780" s="56" t="n">
        <x:f>SUMIFS($G$4:$G$1673,$A$4:$A$1673,A780)</x:f>
        <x:v>360</x:v>
      </x:c>
      <x:c r="O780" s="56" t="str">
        <x:f>IF(N780=360,"通过","失败")</x:f>
        <x:v>通过</x:v>
      </x:c>
      <x:c r="P780" s="56" t="str"/>
      <x:c r="Q780" s="59" t="str">
        <x:v>待确认</x:v>
      </x:c>
    </x:row>
    <x:row r="781">
      <x:c r="A781" s="56" t="str">
        <x:v>P020</x:v>
      </x:c>
      <x:c r="B781" s="56" t="str">
        <x:v>HX-ADD-008</x:v>
      </x:c>
      <x:c r="C781" s="56" t="str">
        <x:v>history</x:v>
      </x:c>
      <x:c r="D781" s="56" t="n">
        <x:v>50</x:v>
      </x:c>
      <x:c r="E781" s="56" t="str">
        <x:v>history.urinary_frequency</x:v>
      </x:c>
      <x:c r="F781" s="56" t="str">
        <x:v>urinary_frequency</x:v>
      </x:c>
      <x:c r="G781" s="56" t="n">
        <x:v>4</x:v>
      </x:c>
      <x:c r="H781" s="56" t="str">
        <x:v>普通得分项</x:v>
      </x:c>
      <x:c r="I781" s="56" t="str">
        <x:v>否</x:v>
      </x:c>
      <x:c r="J781" s="56" t="str">
        <x:v>否</x:v>
      </x:c>
      <x:c r="K781" s="56" t="str">
        <x:v>否</x:v>
      </x:c>
      <x:c r="L781" s="56" t="str">
        <x:v>按结构化事件证据给予0/部分/满分；不能由总结反推已完成</x:v>
      </x:c>
      <x:c r="M781" s="56" t="str"/>
      <x:c r="N781" s="56" t="n">
        <x:f>SUMIFS($G$4:$G$1673,$A$4:$A$1673,A781)</x:f>
        <x:v>360</x:v>
      </x:c>
      <x:c r="O781" s="56" t="str">
        <x:f>IF(N781=360,"通过","失败")</x:f>
        <x:v>通过</x:v>
      </x:c>
      <x:c r="P781" s="56" t="str"/>
      <x:c r="Q781" s="59" t="str">
        <x:v>待确认</x:v>
      </x:c>
    </x:row>
    <x:row r="782">
      <x:c r="A782" s="56" t="str">
        <x:v>P020</x:v>
      </x:c>
      <x:c r="B782" s="56" t="str">
        <x:v>HX-ADD-008</x:v>
      </x:c>
      <x:c r="C782" s="56" t="str">
        <x:v>history</x:v>
      </x:c>
      <x:c r="D782" s="56" t="n">
        <x:v>50</x:v>
      </x:c>
      <x:c r="E782" s="56" t="str">
        <x:v>history.urinary_urgency</x:v>
      </x:c>
      <x:c r="F782" s="56" t="str">
        <x:v>urinary_urgency</x:v>
      </x:c>
      <x:c r="G782" s="56" t="n">
        <x:v>4</x:v>
      </x:c>
      <x:c r="H782" s="56" t="str">
        <x:v>普通得分项</x:v>
      </x:c>
      <x:c r="I782" s="56" t="str">
        <x:v>否</x:v>
      </x:c>
      <x:c r="J782" s="56" t="str">
        <x:v>否</x:v>
      </x:c>
      <x:c r="K782" s="56" t="str">
        <x:v>否</x:v>
      </x:c>
      <x:c r="L782" s="56" t="str">
        <x:v>按结构化事件证据给予0/部分/满分；不能由总结反推已完成</x:v>
      </x:c>
      <x:c r="M782" s="56" t="str"/>
      <x:c r="N782" s="56" t="n">
        <x:f>SUMIFS($G$4:$G$1673,$A$4:$A$1673,A782)</x:f>
        <x:v>360</x:v>
      </x:c>
      <x:c r="O782" s="56" t="str">
        <x:f>IF(N782=360,"通过","失败")</x:f>
        <x:v>通过</x:v>
      </x:c>
      <x:c r="P782" s="56" t="str"/>
      <x:c r="Q782" s="59" t="str">
        <x:v>待确认</x:v>
      </x:c>
    </x:row>
    <x:row r="783">
      <x:c r="A783" s="56" t="str">
        <x:v>P020</x:v>
      </x:c>
      <x:c r="B783" s="56" t="str">
        <x:v>HX-ADD-008</x:v>
      </x:c>
      <x:c r="C783" s="56" t="str">
        <x:v>history</x:v>
      </x:c>
      <x:c r="D783" s="56" t="n">
        <x:v>50</x:v>
      </x:c>
      <x:c r="E783" s="56" t="str">
        <x:v>history.flank_pain</x:v>
      </x:c>
      <x:c r="F783" s="56" t="str">
        <x:v>flank_pain</x:v>
      </x:c>
      <x:c r="G783" s="56" t="n">
        <x:v>4</x:v>
      </x:c>
      <x:c r="H783" s="56" t="str">
        <x:v>普通得分项</x:v>
      </x:c>
      <x:c r="I783" s="56" t="str">
        <x:v>否</x:v>
      </x:c>
      <x:c r="J783" s="56" t="str">
        <x:v>否</x:v>
      </x:c>
      <x:c r="K783" s="56" t="str">
        <x:v>否</x:v>
      </x:c>
      <x:c r="L783" s="56" t="str">
        <x:v>按结构化事件证据给予0/部分/满分；不能由总结反推已完成</x:v>
      </x:c>
      <x:c r="M783" s="56" t="str"/>
      <x:c r="N783" s="56" t="n">
        <x:f>SUMIFS($G$4:$G$1673,$A$4:$A$1673,A783)</x:f>
        <x:v>360</x:v>
      </x:c>
      <x:c r="O783" s="56" t="str">
        <x:f>IF(N783=360,"通过","失败")</x:f>
        <x:v>通过</x:v>
      </x:c>
      <x:c r="P783" s="56" t="str"/>
      <x:c r="Q783" s="59" t="str">
        <x:v>待确认</x:v>
      </x:c>
    </x:row>
    <x:row r="784">
      <x:c r="A784" s="56" t="str">
        <x:v>P020</x:v>
      </x:c>
      <x:c r="B784" s="56" t="str">
        <x:v>HX-ADD-008</x:v>
      </x:c>
      <x:c r="C784" s="56" t="str">
        <x:v>history</x:v>
      </x:c>
      <x:c r="D784" s="56" t="n">
        <x:v>50</x:v>
      </x:c>
      <x:c r="E784" s="56" t="str">
        <x:v>history.fever_chills</x:v>
      </x:c>
      <x:c r="F784" s="56" t="str">
        <x:v>fever_chills</x:v>
      </x:c>
      <x:c r="G784" s="56" t="n">
        <x:v>4</x:v>
      </x:c>
      <x:c r="H784" s="56" t="str">
        <x:v>普通得分项</x:v>
      </x:c>
      <x:c r="I784" s="56" t="str">
        <x:v>否</x:v>
      </x:c>
      <x:c r="J784" s="56" t="str">
        <x:v>否</x:v>
      </x:c>
      <x:c r="K784" s="56" t="str">
        <x:v>否</x:v>
      </x:c>
      <x:c r="L784" s="56" t="str">
        <x:v>按结构化事件证据给予0/部分/满分；不能由总结反推已完成</x:v>
      </x:c>
      <x:c r="M784" s="56" t="str"/>
      <x:c r="N784" s="56" t="n">
        <x:f>SUMIFS($G$4:$G$1673,$A$4:$A$1673,A784)</x:f>
        <x:v>360</x:v>
      </x:c>
      <x:c r="O784" s="56" t="str">
        <x:f>IF(N784=360,"通过","失败")</x:f>
        <x:v>通过</x:v>
      </x:c>
      <x:c r="P784" s="56" t="str"/>
      <x:c r="Q784" s="59" t="str">
        <x:v>待确认</x:v>
      </x:c>
    </x:row>
    <x:row r="785">
      <x:c r="A785" s="56" t="str">
        <x:v>P020</x:v>
      </x:c>
      <x:c r="B785" s="56" t="str">
        <x:v>HX-ADD-008</x:v>
      </x:c>
      <x:c r="C785" s="56" t="str">
        <x:v>risk</x:v>
      </x:c>
      <x:c r="D785" s="56" t="n">
        <x:v>40</x:v>
      </x:c>
      <x:c r="E785" s="56" t="str">
        <x:v>risk.uti_history</x:v>
      </x:c>
      <x:c r="F785" s="56" t="str">
        <x:v>uti_history</x:v>
      </x:c>
      <x:c r="G785" s="56" t="n">
        <x:v>10</x:v>
      </x:c>
      <x:c r="H785" s="56" t="str">
        <x:v>普通得分项</x:v>
      </x:c>
      <x:c r="I785" s="56" t="str">
        <x:v>否</x:v>
      </x:c>
      <x:c r="J785" s="56" t="str">
        <x:v>否</x:v>
      </x:c>
      <x:c r="K785" s="56" t="str">
        <x:v>否</x:v>
      </x:c>
      <x:c r="L785" s="56" t="str">
        <x:v>按结构化事件证据给予0/部分/满分；不能由总结反推已完成</x:v>
      </x:c>
      <x:c r="M785" s="56" t="str"/>
      <x:c r="N785" s="56" t="n">
        <x:f>SUMIFS($G$4:$G$1673,$A$4:$A$1673,A785)</x:f>
        <x:v>360</x:v>
      </x:c>
      <x:c r="O785" s="56" t="str">
        <x:f>IF(N785=360,"通过","失败")</x:f>
        <x:v>通过</x:v>
      </x:c>
      <x:c r="P785" s="56" t="str"/>
      <x:c r="Q785" s="59" t="str">
        <x:v>待确认</x:v>
      </x:c>
    </x:row>
    <x:row r="786">
      <x:c r="A786" s="56" t="str">
        <x:v>P020</x:v>
      </x:c>
      <x:c r="B786" s="56" t="str">
        <x:v>HX-ADD-008</x:v>
      </x:c>
      <x:c r="C786" s="56" t="str">
        <x:v>risk</x:v>
      </x:c>
      <x:c r="D786" s="56" t="n">
        <x:v>40</x:v>
      </x:c>
      <x:c r="E786" s="56" t="str">
        <x:v>risk.stone_history</x:v>
      </x:c>
      <x:c r="F786" s="56" t="str">
        <x:v>stone_history</x:v>
      </x:c>
      <x:c r="G786" s="56" t="n">
        <x:v>10</x:v>
      </x:c>
      <x:c r="H786" s="56" t="str">
        <x:v>普通得分项</x:v>
      </x:c>
      <x:c r="I786" s="56" t="str">
        <x:v>否</x:v>
      </x:c>
      <x:c r="J786" s="56" t="str">
        <x:v>否</x:v>
      </x:c>
      <x:c r="K786" s="56" t="str">
        <x:v>否</x:v>
      </x:c>
      <x:c r="L786" s="56" t="str">
        <x:v>按结构化事件证据给予0/部分/满分；不能由总结反推已完成</x:v>
      </x:c>
      <x:c r="M786" s="56" t="str"/>
      <x:c r="N786" s="56" t="n">
        <x:f>SUMIFS($G$4:$G$1673,$A$4:$A$1673,A786)</x:f>
        <x:v>360</x:v>
      </x:c>
      <x:c r="O786" s="56" t="str">
        <x:f>IF(N786=360,"通过","失败")</x:f>
        <x:v>通过</x:v>
      </x:c>
      <x:c r="P786" s="56" t="str"/>
      <x:c r="Q786" s="59" t="str">
        <x:v>待确认</x:v>
      </x:c>
    </x:row>
    <x:row r="787">
      <x:c r="A787" s="56" t="str">
        <x:v>P020</x:v>
      </x:c>
      <x:c r="B787" s="56" t="str">
        <x:v>HX-ADD-008</x:v>
      </x:c>
      <x:c r="C787" s="56" t="str">
        <x:v>risk</x:v>
      </x:c>
      <x:c r="D787" s="56" t="n">
        <x:v>40</x:v>
      </x:c>
      <x:c r="E787" s="56" t="str">
        <x:v>risk.urinary_procedure_history</x:v>
      </x:c>
      <x:c r="F787" s="56" t="str">
        <x:v>urinary_procedure_history</x:v>
      </x:c>
      <x:c r="G787" s="56" t="n">
        <x:v>10</x:v>
      </x:c>
      <x:c r="H787" s="56" t="str">
        <x:v>普通得分项</x:v>
      </x:c>
      <x:c r="I787" s="56" t="str">
        <x:v>否</x:v>
      </x:c>
      <x:c r="J787" s="56" t="str">
        <x:v>否</x:v>
      </x:c>
      <x:c r="K787" s="56" t="str">
        <x:v>否</x:v>
      </x:c>
      <x:c r="L787" s="56" t="str">
        <x:v>按结构化事件证据给予0/部分/满分；不能由总结反推已完成</x:v>
      </x:c>
      <x:c r="M787" s="56" t="str"/>
      <x:c r="N787" s="56" t="n">
        <x:f>SUMIFS($G$4:$G$1673,$A$4:$A$1673,A787)</x:f>
        <x:v>360</x:v>
      </x:c>
      <x:c r="O787" s="56" t="str">
        <x:f>IF(N787=360,"通过","失败")</x:f>
        <x:v>通过</x:v>
      </x:c>
      <x:c r="P787" s="56" t="str"/>
      <x:c r="Q787" s="59" t="str">
        <x:v>待确认</x:v>
      </x:c>
    </x:row>
    <x:row r="788">
      <x:c r="A788" s="56" t="str">
        <x:v>P020</x:v>
      </x:c>
      <x:c r="B788" s="56" t="str">
        <x:v>HX-ADD-008</x:v>
      </x:c>
      <x:c r="C788" s="56" t="str">
        <x:v>risk</x:v>
      </x:c>
      <x:c r="D788" s="56" t="n">
        <x:v>40</x:v>
      </x:c>
      <x:c r="E788" s="56" t="str">
        <x:v>risk.gynecologic_contamination</x:v>
      </x:c>
      <x:c r="F788" s="56" t="str">
        <x:v>gynecologic_contamination</x:v>
      </x:c>
      <x:c r="G788" s="56" t="n">
        <x:v>10</x:v>
      </x:c>
      <x:c r="H788" s="56" t="str">
        <x:v>普通得分项</x:v>
      </x:c>
      <x:c r="I788" s="56" t="str">
        <x:v>否</x:v>
      </x:c>
      <x:c r="J788" s="56" t="str">
        <x:v>否</x:v>
      </x:c>
      <x:c r="K788" s="56" t="str">
        <x:v>否</x:v>
      </x:c>
      <x:c r="L788" s="56" t="str">
        <x:v>按结构化事件证据给予0/部分/满分；不能由总结反推已完成</x:v>
      </x:c>
      <x:c r="M788" s="56" t="str"/>
      <x:c r="N788" s="56" t="n">
        <x:f>SUMIFS($G$4:$G$1673,$A$4:$A$1673,A788)</x:f>
        <x:v>360</x:v>
      </x:c>
      <x:c r="O788" s="56" t="str">
        <x:f>IF(N788=360,"通过","失败")</x:f>
        <x:v>通过</x:v>
      </x:c>
      <x:c r="P788" s="56" t="str"/>
      <x:c r="Q788" s="59" t="str">
        <x:v>待确认</x:v>
      </x:c>
    </x:row>
    <x:row r="789">
      <x:c r="A789" s="56" t="str">
        <x:v>P020</x:v>
      </x:c>
      <x:c r="B789" s="56" t="str">
        <x:v>HX-ADD-008</x:v>
      </x:c>
      <x:c r="C789" s="56" t="str">
        <x:v>exam</x:v>
      </x:c>
      <x:c r="D789" s="56" t="n">
        <x:v>35</x:v>
      </x:c>
      <x:c r="E789" s="56" t="str">
        <x:v>exam.temperature</x:v>
      </x:c>
      <x:c r="F789" s="56" t="str">
        <x:v>体温</x:v>
      </x:c>
      <x:c r="G789" s="56" t="n">
        <x:v>12</x:v>
      </x:c>
      <x:c r="H789" s="56" t="str">
        <x:v>普通得分项</x:v>
      </x:c>
      <x:c r="I789" s="56" t="str">
        <x:v>否</x:v>
      </x:c>
      <x:c r="J789" s="56" t="str">
        <x:v>否</x:v>
      </x:c>
      <x:c r="K789" s="56" t="str">
        <x:v>否</x:v>
      </x:c>
      <x:c r="L789" s="56" t="str">
        <x:v>按结构化事件证据给予0/部分/满分；不能由总结反推已完成</x:v>
      </x:c>
      <x:c r="M789" s="56" t="str"/>
      <x:c r="N789" s="56" t="n">
        <x:f>SUMIFS($G$4:$G$1673,$A$4:$A$1673,A789)</x:f>
        <x:v>360</x:v>
      </x:c>
      <x:c r="O789" s="56" t="str">
        <x:f>IF(N789=360,"通过","失败")</x:f>
        <x:v>通过</x:v>
      </x:c>
      <x:c r="P789" s="56" t="str"/>
      <x:c r="Q789" s="59" t="str">
        <x:v>待确认</x:v>
      </x:c>
    </x:row>
    <x:row r="790">
      <x:c r="A790" s="56" t="str">
        <x:v>P020</x:v>
      </x:c>
      <x:c r="B790" s="56" t="str">
        <x:v>HX-ADD-008</x:v>
      </x:c>
      <x:c r="C790" s="56" t="str">
        <x:v>exam</x:v>
      </x:c>
      <x:c r="D790" s="56" t="n">
        <x:v>35</x:v>
      </x:c>
      <x:c r="E790" s="56" t="str">
        <x:v>exam.blood_pressure</x:v>
      </x:c>
      <x:c r="F790" s="56" t="str">
        <x:v>血压</x:v>
      </x:c>
      <x:c r="G790" s="56" t="n">
        <x:v>12</x:v>
      </x:c>
      <x:c r="H790" s="56" t="str">
        <x:v>普通得分项</x:v>
      </x:c>
      <x:c r="I790" s="56" t="str">
        <x:v>否</x:v>
      </x:c>
      <x:c r="J790" s="56" t="str">
        <x:v>否</x:v>
      </x:c>
      <x:c r="K790" s="56" t="str">
        <x:v>否</x:v>
      </x:c>
      <x:c r="L790" s="56" t="str">
        <x:v>按结构化事件证据给予0/部分/满分；不能由总结反推已完成</x:v>
      </x:c>
      <x:c r="M790" s="56" t="str"/>
      <x:c r="N790" s="56" t="n">
        <x:f>SUMIFS($G$4:$G$1673,$A$4:$A$1673,A790)</x:f>
        <x:v>360</x:v>
      </x:c>
      <x:c r="O790" s="56" t="str">
        <x:f>IF(N790=360,"通过","失败")</x:f>
        <x:v>通过</x:v>
      </x:c>
      <x:c r="P790" s="56" t="str"/>
      <x:c r="Q790" s="59" t="str">
        <x:v>待确认</x:v>
      </x:c>
    </x:row>
    <x:row r="791">
      <x:c r="A791" s="56" t="str">
        <x:v>P020</x:v>
      </x:c>
      <x:c r="B791" s="56" t="str">
        <x:v>HX-ADD-008</x:v>
      </x:c>
      <x:c r="C791" s="56" t="str">
        <x:v>exam</x:v>
      </x:c>
      <x:c r="D791" s="56" t="n">
        <x:v>35</x:v>
      </x:c>
      <x:c r="E791" s="56" t="str">
        <x:v>exam.targeted</x:v>
      </x:c>
      <x:c r="F791" s="56" t="str">
        <x:v>病例针对性查体</x:v>
      </x:c>
      <x:c r="G791" s="56" t="n">
        <x:v>11</x:v>
      </x:c>
      <x:c r="H791" s="56" t="str">
        <x:v>普通得分项</x:v>
      </x:c>
      <x:c r="I791" s="56" t="str">
        <x:v>否</x:v>
      </x:c>
      <x:c r="J791" s="56" t="str">
        <x:v>否</x:v>
      </x:c>
      <x:c r="K791" s="56" t="str">
        <x:v>否</x:v>
      </x:c>
      <x:c r="L791" s="56" t="str">
        <x:v>按结构化事件证据给予0/部分/满分；不能由总结反推已完成</x:v>
      </x:c>
      <x:c r="M791" s="56" t="str"/>
      <x:c r="N791" s="56" t="n">
        <x:f>SUMIFS($G$4:$G$1673,$A$4:$A$1673,A791)</x:f>
        <x:v>360</x:v>
      </x:c>
      <x:c r="O791" s="56" t="str">
        <x:f>IF(N791=360,"通过","失败")</x:f>
        <x:v>通过</x:v>
      </x:c>
      <x:c r="P791" s="56" t="str"/>
      <x:c r="Q791" s="59" t="str">
        <x:v>待确认</x:v>
      </x:c>
    </x:row>
    <x:row r="792">
      <x:c r="A792" s="56" t="str">
        <x:v>P020</x:v>
      </x:c>
      <x:c r="B792" s="56" t="str">
        <x:v>HX-ADD-008</x:v>
      </x:c>
      <x:c r="C792" s="56" t="str">
        <x:v>diagnosis</x:v>
      </x:c>
      <x:c r="D792" s="56" t="n">
        <x:v>45</x:v>
      </x:c>
      <x:c r="E792" s="56" t="str">
        <x:v>diagnosis.primary</x:v>
      </x:c>
      <x:c r="F792" s="56" t="str">
        <x:v>最可能诊断及依据</x:v>
      </x:c>
      <x:c r="G792" s="56" t="n">
        <x:v>15</x:v>
      </x:c>
      <x:c r="H792" s="56" t="str">
        <x:v>普通得分项</x:v>
      </x:c>
      <x:c r="I792" s="56" t="str">
        <x:v>否</x:v>
      </x:c>
      <x:c r="J792" s="56" t="str">
        <x:v>否</x:v>
      </x:c>
      <x:c r="K792" s="56" t="str">
        <x:v>否</x:v>
      </x:c>
      <x:c r="L792" s="56" t="str">
        <x:v>按结构化事件证据给予0/部分/满分；不能由总结反推已完成</x:v>
      </x:c>
      <x:c r="M792" s="56" t="str"/>
      <x:c r="N792" s="56" t="n">
        <x:f>SUMIFS($G$4:$G$1673,$A$4:$A$1673,A792)</x:f>
        <x:v>360</x:v>
      </x:c>
      <x:c r="O792" s="56" t="str">
        <x:f>IF(N792=360,"通过","失败")</x:f>
        <x:v>通过</x:v>
      </x:c>
      <x:c r="P792" s="56" t="str"/>
      <x:c r="Q792" s="59" t="str">
        <x:v>待确认</x:v>
      </x:c>
    </x:row>
    <x:row r="793">
      <x:c r="A793" s="56" t="str">
        <x:v>P020</x:v>
      </x:c>
      <x:c r="B793" s="56" t="str">
        <x:v>HX-ADD-008</x:v>
      </x:c>
      <x:c r="C793" s="56" t="str">
        <x:v>diagnosis</x:v>
      </x:c>
      <x:c r="D793" s="56" t="n">
        <x:v>45</x:v>
      </x:c>
      <x:c r="E793" s="56" t="str">
        <x:v>diagnosis.differentials</x:v>
      </x:c>
      <x:c r="F793" s="56" t="str">
        <x:v>至少3项鉴别及支持/反对点</x:v>
      </x:c>
      <x:c r="G793" s="56" t="n">
        <x:v>15</x:v>
      </x:c>
      <x:c r="H793" s="56" t="str">
        <x:v>普通得分项</x:v>
      </x:c>
      <x:c r="I793" s="56" t="str">
        <x:v>否</x:v>
      </x:c>
      <x:c r="J793" s="56" t="str">
        <x:v>否</x:v>
      </x:c>
      <x:c r="K793" s="56" t="str">
        <x:v>否</x:v>
      </x:c>
      <x:c r="L793" s="56" t="str">
        <x:v>按结构化事件证据给予0/部分/满分；不能由总结反推已完成</x:v>
      </x:c>
      <x:c r="M793" s="56" t="str"/>
      <x:c r="N793" s="56" t="n">
        <x:f>SUMIFS($G$4:$G$1673,$A$4:$A$1673,A793)</x:f>
        <x:v>360</x:v>
      </x:c>
      <x:c r="O793" s="56" t="str">
        <x:f>IF(N793=360,"通过","失败")</x:f>
        <x:v>通过</x:v>
      </x:c>
      <x:c r="P793" s="56" t="str"/>
      <x:c r="Q793" s="59" t="str">
        <x:v>待确认</x:v>
      </x:c>
    </x:row>
    <x:row r="794">
      <x:c r="A794" s="56" t="str">
        <x:v>P020</x:v>
      </x:c>
      <x:c r="B794" s="56" t="str">
        <x:v>HX-ADD-008</x:v>
      </x:c>
      <x:c r="C794" s="56" t="str">
        <x:v>diagnosis</x:v>
      </x:c>
      <x:c r="D794" s="56" t="n">
        <x:v>45</x:v>
      </x:c>
      <x:c r="E794" s="56" t="str">
        <x:v>diagnosis.confirmation</x:v>
      </x:c>
      <x:c r="F794" s="56" t="str">
        <x:v>确认计划</x:v>
      </x:c>
      <x:c r="G794" s="56" t="n">
        <x:v>15</x:v>
      </x:c>
      <x:c r="H794" s="56" t="str">
        <x:v>普通得分项</x:v>
      </x:c>
      <x:c r="I794" s="56" t="str">
        <x:v>否</x:v>
      </x:c>
      <x:c r="J794" s="56" t="str">
        <x:v>否</x:v>
      </x:c>
      <x:c r="K794" s="56" t="str">
        <x:v>否</x:v>
      </x:c>
      <x:c r="L794" s="56" t="str">
        <x:v>按结构化事件证据给予0/部分/满分；不能由总结反推已完成</x:v>
      </x:c>
      <x:c r="M794" s="56" t="str"/>
      <x:c r="N794" s="56" t="n">
        <x:f>SUMIFS($G$4:$G$1673,$A$4:$A$1673,A794)</x:f>
        <x:v>360</x:v>
      </x:c>
      <x:c r="O794" s="56" t="str">
        <x:f>IF(N794=360,"通过","失败")</x:f>
        <x:v>通过</x:v>
      </x:c>
      <x:c r="P794" s="56" t="str"/>
      <x:c r="Q794" s="59" t="str">
        <x:v>待确认</x:v>
      </x:c>
    </x:row>
    <x:row r="795">
      <x:c r="A795" s="56" t="str">
        <x:v>P020</x:v>
      </x:c>
      <x:c r="B795" s="56" t="str">
        <x:v>HX-ADD-008</x:v>
      </x:c>
      <x:c r="C795" s="56" t="str">
        <x:v>orders</x:v>
      </x:c>
      <x:c r="D795" s="56" t="n">
        <x:v>55</x:v>
      </x:c>
      <x:c r="E795" s="56" t="str">
        <x:v>orders.LAB-UR-001</x:v>
      </x:c>
      <x:c r="F795" s="56" t="str">
        <x:v>LAB-UR-001</x:v>
      </x:c>
      <x:c r="G795" s="56" t="n">
        <x:v>10</x:v>
      </x:c>
      <x:c r="H795" s="56" t="str">
        <x:v>病例特异得分项</x:v>
      </x:c>
      <x:c r="I795" s="56" t="str">
        <x:v>否</x:v>
      </x:c>
      <x:c r="J795" s="56" t="str">
        <x:v>否</x:v>
      </x:c>
      <x:c r="K795" s="56" t="str">
        <x:v>否</x:v>
      </x:c>
      <x:c r="L795" s="56" t="str">
        <x:v>按结构化事件证据给予0/部分/满分；不能由总结反推已完成</x:v>
      </x:c>
      <x:c r="M795" s="56" t="str"/>
      <x:c r="N795" s="56" t="n">
        <x:f>SUMIFS($G$4:$G$1673,$A$4:$A$1673,A795)</x:f>
        <x:v>360</x:v>
      </x:c>
      <x:c r="O795" s="56" t="str">
        <x:f>IF(N795=360,"通过","失败")</x:f>
        <x:v>通过</x:v>
      </x:c>
      <x:c r="P795" s="56" t="str"/>
      <x:c r="Q795" s="59" t="str">
        <x:v>待确认</x:v>
      </x:c>
    </x:row>
    <x:row r="796">
      <x:c r="A796" s="56" t="str">
        <x:v>P020</x:v>
      </x:c>
      <x:c r="B796" s="56" t="str">
        <x:v>HX-ADD-008</x:v>
      </x:c>
      <x:c r="C796" s="56" t="str">
        <x:v>orders</x:v>
      </x:c>
      <x:c r="D796" s="56" t="n">
        <x:v>55</x:v>
      </x:c>
      <x:c r="E796" s="56" t="str">
        <x:v>orders.LAB-UR-002</x:v>
      </x:c>
      <x:c r="F796" s="56" t="str">
        <x:v>LAB-UR-002</x:v>
      </x:c>
      <x:c r="G796" s="56" t="n">
        <x:v>9</x:v>
      </x:c>
      <x:c r="H796" s="56" t="str">
        <x:v>病例特异得分项</x:v>
      </x:c>
      <x:c r="I796" s="56" t="str">
        <x:v>否</x:v>
      </x:c>
      <x:c r="J796" s="56" t="str">
        <x:v>否</x:v>
      </x:c>
      <x:c r="K796" s="56" t="str">
        <x:v>否</x:v>
      </x:c>
      <x:c r="L796" s="56" t="str">
        <x:v>按结构化事件证据给予0/部分/满分；不能由总结反推已完成</x:v>
      </x:c>
      <x:c r="M796" s="56" t="str"/>
      <x:c r="N796" s="56" t="n">
        <x:f>SUMIFS($G$4:$G$1673,$A$4:$A$1673,A796)</x:f>
        <x:v>360</x:v>
      </x:c>
      <x:c r="O796" s="56" t="str">
        <x:f>IF(N796=360,"通过","失败")</x:f>
        <x:v>通过</x:v>
      </x:c>
      <x:c r="P796" s="56" t="str"/>
      <x:c r="Q796" s="59" t="str">
        <x:v>待确认</x:v>
      </x:c>
    </x:row>
    <x:row r="797">
      <x:c r="A797" s="56" t="str">
        <x:v>P020</x:v>
      </x:c>
      <x:c r="B797" s="56" t="str">
        <x:v>HX-ADD-008</x:v>
      </x:c>
      <x:c r="C797" s="56" t="str">
        <x:v>orders</x:v>
      </x:c>
      <x:c r="D797" s="56" t="n">
        <x:v>55</x:v>
      </x:c>
      <x:c r="E797" s="56" t="str">
        <x:v>orders.LAB-UR-008</x:v>
      </x:c>
      <x:c r="F797" s="56" t="str">
        <x:v>LAB-UR-008</x:v>
      </x:c>
      <x:c r="G797" s="56" t="n">
        <x:v>9</x:v>
      </x:c>
      <x:c r="H797" s="56" t="str">
        <x:v>病例特异得分项</x:v>
      </x:c>
      <x:c r="I797" s="56" t="str">
        <x:v>否</x:v>
      </x:c>
      <x:c r="J797" s="56" t="str">
        <x:v>否</x:v>
      </x:c>
      <x:c r="K797" s="56" t="str">
        <x:v>否</x:v>
      </x:c>
      <x:c r="L797" s="56" t="str">
        <x:v>按结构化事件证据给予0/部分/满分；不能由总结反推已完成</x:v>
      </x:c>
      <x:c r="M797" s="56" t="str"/>
      <x:c r="N797" s="56" t="n">
        <x:f>SUMIFS($G$4:$G$1673,$A$4:$A$1673,A797)</x:f>
        <x:v>360</x:v>
      </x:c>
      <x:c r="O797" s="56" t="str">
        <x:f>IF(N797=360,"通过","失败")</x:f>
        <x:v>通过</x:v>
      </x:c>
      <x:c r="P797" s="56" t="str"/>
      <x:c r="Q797" s="59" t="str">
        <x:v>待确认</x:v>
      </x:c>
    </x:row>
    <x:row r="798">
      <x:c r="A798" s="56" t="str">
        <x:v>P020</x:v>
      </x:c>
      <x:c r="B798" s="56" t="str">
        <x:v>HX-ADD-008</x:v>
      </x:c>
      <x:c r="C798" s="56" t="str">
        <x:v>orders</x:v>
      </x:c>
      <x:c r="D798" s="56" t="n">
        <x:v>55</x:v>
      </x:c>
      <x:c r="E798" s="56" t="str">
        <x:v>orders.LAB-BL-001</x:v>
      </x:c>
      <x:c r="F798" s="56" t="str">
        <x:v>LAB-BL-001</x:v>
      </x:c>
      <x:c r="G798" s="56" t="n">
        <x:v>9</x:v>
      </x:c>
      <x:c r="H798" s="56" t="str">
        <x:v>病例特异得分项</x:v>
      </x:c>
      <x:c r="I798" s="56" t="str">
        <x:v>否</x:v>
      </x:c>
      <x:c r="J798" s="56" t="str">
        <x:v>否</x:v>
      </x:c>
      <x:c r="K798" s="56" t="str">
        <x:v>否</x:v>
      </x:c>
      <x:c r="L798" s="56" t="str">
        <x:v>按结构化事件证据给予0/部分/满分；不能由总结反推已完成</x:v>
      </x:c>
      <x:c r="M798" s="56" t="str"/>
      <x:c r="N798" s="56" t="n">
        <x:f>SUMIFS($G$4:$G$1673,$A$4:$A$1673,A798)</x:f>
        <x:v>360</x:v>
      </x:c>
      <x:c r="O798" s="56" t="str">
        <x:f>IF(N798=360,"通过","失败")</x:f>
        <x:v>通过</x:v>
      </x:c>
      <x:c r="P798" s="56" t="str"/>
      <x:c r="Q798" s="59" t="str">
        <x:v>待确认</x:v>
      </x:c>
    </x:row>
    <x:row r="799">
      <x:c r="A799" s="56" t="str">
        <x:v>P020</x:v>
      </x:c>
      <x:c r="B799" s="56" t="str">
        <x:v>HX-ADD-008</x:v>
      </x:c>
      <x:c r="C799" s="56" t="str">
        <x:v>orders</x:v>
      </x:c>
      <x:c r="D799" s="56" t="n">
        <x:v>55</x:v>
      </x:c>
      <x:c r="E799" s="56" t="str">
        <x:v>orders.LAB-BL-002</x:v>
      </x:c>
      <x:c r="F799" s="56" t="str">
        <x:v>LAB-BL-002</x:v>
      </x:c>
      <x:c r="G799" s="56" t="n">
        <x:v>9</x:v>
      </x:c>
      <x:c r="H799" s="56" t="str">
        <x:v>病例特异得分项</x:v>
      </x:c>
      <x:c r="I799" s="56" t="str">
        <x:v>否</x:v>
      </x:c>
      <x:c r="J799" s="56" t="str">
        <x:v>否</x:v>
      </x:c>
      <x:c r="K799" s="56" t="str">
        <x:v>否</x:v>
      </x:c>
      <x:c r="L799" s="56" t="str">
        <x:v>按结构化事件证据给予0/部分/满分；不能由总结反推已完成</x:v>
      </x:c>
      <x:c r="M799" s="56" t="str"/>
      <x:c r="N799" s="56" t="n">
        <x:f>SUMIFS($G$4:$G$1673,$A$4:$A$1673,A799)</x:f>
        <x:v>360</x:v>
      </x:c>
      <x:c r="O799" s="56" t="str">
        <x:f>IF(N799=360,"通过","失败")</x:f>
        <x:v>通过</x:v>
      </x:c>
      <x:c r="P799" s="56" t="str"/>
      <x:c r="Q799" s="59" t="str">
        <x:v>待确认</x:v>
      </x:c>
    </x:row>
    <x:row r="800">
      <x:c r="A800" s="56" t="str">
        <x:v>P020</x:v>
      </x:c>
      <x:c r="B800" s="56" t="str">
        <x:v>HX-ADD-008</x:v>
      </x:c>
      <x:c r="C800" s="56" t="str">
        <x:v>orders</x:v>
      </x:c>
      <x:c r="D800" s="56" t="n">
        <x:v>55</x:v>
      </x:c>
      <x:c r="E800" s="56" t="str">
        <x:v>orders.LAB-BL-003</x:v>
      </x:c>
      <x:c r="F800" s="56" t="str">
        <x:v>LAB-BL-003</x:v>
      </x:c>
      <x:c r="G800" s="56" t="n">
        <x:v>9</x:v>
      </x:c>
      <x:c r="H800" s="56" t="str">
        <x:v>病例特异得分项</x:v>
      </x:c>
      <x:c r="I800" s="56" t="str">
        <x:v>否</x:v>
      </x:c>
      <x:c r="J800" s="56" t="str">
        <x:v>否</x:v>
      </x:c>
      <x:c r="K800" s="56" t="str">
        <x:v>否</x:v>
      </x:c>
      <x:c r="L800" s="56" t="str">
        <x:v>按结构化事件证据给予0/部分/满分；不能由总结反推已完成</x:v>
      </x:c>
      <x:c r="M800" s="56" t="str"/>
      <x:c r="N800" s="56" t="n">
        <x:f>SUMIFS($G$4:$G$1673,$A$4:$A$1673,A800)</x:f>
        <x:v>360</x:v>
      </x:c>
      <x:c r="O800" s="56" t="str">
        <x:f>IF(N800=360,"通过","失败")</x:f>
        <x:v>通过</x:v>
      </x:c>
      <x:c r="P800" s="56" t="str"/>
      <x:c r="Q800" s="59" t="str">
        <x:v>待确认</x:v>
      </x:c>
    </x:row>
    <x:row r="801">
      <x:c r="A801" s="56" t="str">
        <x:v>P020</x:v>
      </x:c>
      <x:c r="B801" s="56" t="str">
        <x:v>HX-ADD-008</x:v>
      </x:c>
      <x:c r="C801" s="56" t="str">
        <x:v>mdt</x:v>
      </x:c>
      <x:c r="D801" s="56" t="n">
        <x:v>45</x:v>
      </x:c>
      <x:c r="E801" s="56" t="str">
        <x:v>mdt.department</x:v>
      </x:c>
      <x:c r="F801" s="56" t="str">
        <x:v>department</x:v>
      </x:c>
      <x:c r="G801" s="56" t="n">
        <x:v>12</x:v>
      </x:c>
      <x:c r="H801" s="56" t="str">
        <x:v>病例特异得分项</x:v>
      </x:c>
      <x:c r="I801" s="56" t="str">
        <x:v>否</x:v>
      </x:c>
      <x:c r="J801" s="56" t="str">
        <x:v>否</x:v>
      </x:c>
      <x:c r="K801" s="56" t="str">
        <x:v>否</x:v>
      </x:c>
      <x:c r="L801" s="56" t="str">
        <x:v>按结构化事件证据给予0/部分/满分；不能由总结反推已完成</x:v>
      </x:c>
      <x:c r="M801" s="56" t="str"/>
      <x:c r="N801" s="56" t="n">
        <x:f>SUMIFS($G$4:$G$1673,$A$4:$A$1673,A801)</x:f>
        <x:v>360</x:v>
      </x:c>
      <x:c r="O801" s="56" t="str">
        <x:f>IF(N801=360,"通过","失败")</x:f>
        <x:v>通过</x:v>
      </x:c>
      <x:c r="P801" s="56" t="str"/>
      <x:c r="Q801" s="59" t="str">
        <x:v>待确认</x:v>
      </x:c>
    </x:row>
    <x:row r="802">
      <x:c r="A802" s="56" t="str">
        <x:v>P020</x:v>
      </x:c>
      <x:c r="B802" s="56" t="str">
        <x:v>HX-ADD-008</x:v>
      </x:c>
      <x:c r="C802" s="56" t="str">
        <x:v>mdt</x:v>
      </x:c>
      <x:c r="D802" s="56" t="n">
        <x:v>45</x:v>
      </x:c>
      <x:c r="E802" s="56" t="str">
        <x:v>mdt.trigger</x:v>
      </x:c>
      <x:c r="F802" s="56" t="str">
        <x:v>trigger</x:v>
      </x:c>
      <x:c r="G802" s="56" t="n">
        <x:v>11</x:v>
      </x:c>
      <x:c r="H802" s="56" t="str">
        <x:v>病例特异得分项</x:v>
      </x:c>
      <x:c r="I802" s="56" t="str">
        <x:v>否</x:v>
      </x:c>
      <x:c r="J802" s="56" t="str">
        <x:v>否</x:v>
      </x:c>
      <x:c r="K802" s="56" t="str">
        <x:v>否</x:v>
      </x:c>
      <x:c r="L802" s="56" t="str">
        <x:v>按结构化事件证据给予0/部分/满分；不能由总结反推已完成</x:v>
      </x:c>
      <x:c r="M802" s="56" t="str"/>
      <x:c r="N802" s="56" t="n">
        <x:f>SUMIFS($G$4:$G$1673,$A$4:$A$1673,A802)</x:f>
        <x:v>360</x:v>
      </x:c>
      <x:c r="O802" s="56" t="str">
        <x:f>IF(N802=360,"通过","失败")</x:f>
        <x:v>通过</x:v>
      </x:c>
      <x:c r="P802" s="56" t="str"/>
      <x:c r="Q802" s="59" t="str">
        <x:v>待确认</x:v>
      </x:c>
    </x:row>
    <x:row r="803">
      <x:c r="A803" s="56" t="str">
        <x:v>P020</x:v>
      </x:c>
      <x:c r="B803" s="56" t="str">
        <x:v>HX-ADD-008</x:v>
      </x:c>
      <x:c r="C803" s="56" t="str">
        <x:v>mdt</x:v>
      </x:c>
      <x:c r="D803" s="56" t="n">
        <x:v>45</x:v>
      </x:c>
      <x:c r="E803" s="56" t="str">
        <x:v>mdt.question</x:v>
      </x:c>
      <x:c r="F803" s="56" t="str">
        <x:v>question</x:v>
      </x:c>
      <x:c r="G803" s="56" t="n">
        <x:v>11</x:v>
      </x:c>
      <x:c r="H803" s="56" t="str">
        <x:v>病例特异得分项</x:v>
      </x:c>
      <x:c r="I803" s="56" t="str">
        <x:v>否</x:v>
      </x:c>
      <x:c r="J803" s="56" t="str">
        <x:v>否</x:v>
      </x:c>
      <x:c r="K803" s="56" t="str">
        <x:v>否</x:v>
      </x:c>
      <x:c r="L803" s="56" t="str">
        <x:v>按结构化事件证据给予0/部分/满分；不能由总结反推已完成</x:v>
      </x:c>
      <x:c r="M803" s="56" t="str"/>
      <x:c r="N803" s="56" t="n">
        <x:f>SUMIFS($G$4:$G$1673,$A$4:$A$1673,A803)</x:f>
        <x:v>360</x:v>
      </x:c>
      <x:c r="O803" s="56" t="str">
        <x:f>IF(N803=360,"通过","失败")</x:f>
        <x:v>通过</x:v>
      </x:c>
      <x:c r="P803" s="56" t="str"/>
      <x:c r="Q803" s="59" t="str">
        <x:v>待确认</x:v>
      </x:c>
    </x:row>
    <x:row r="804">
      <x:c r="A804" s="56" t="str">
        <x:v>P020</x:v>
      </x:c>
      <x:c r="B804" s="56" t="str">
        <x:v>HX-ADD-008</x:v>
      </x:c>
      <x:c r="C804" s="56" t="str">
        <x:v>mdt</x:v>
      </x:c>
      <x:c r="D804" s="56" t="n">
        <x:v>45</x:v>
      </x:c>
      <x:c r="E804" s="56" t="str">
        <x:v>mdt.evidence</x:v>
      </x:c>
      <x:c r="F804" s="56" t="str">
        <x:v>evidence</x:v>
      </x:c>
      <x:c r="G804" s="56" t="n">
        <x:v>11</x:v>
      </x:c>
      <x:c r="H804" s="56" t="str">
        <x:v>病例特异得分项</x:v>
      </x:c>
      <x:c r="I804" s="56" t="str">
        <x:v>否</x:v>
      </x:c>
      <x:c r="J804" s="56" t="str">
        <x:v>否</x:v>
      </x:c>
      <x:c r="K804" s="56" t="str">
        <x:v>否</x:v>
      </x:c>
      <x:c r="L804" s="56" t="str">
        <x:v>按结构化事件证据给予0/部分/满分；不能由总结反推已完成</x:v>
      </x:c>
      <x:c r="M804" s="56" t="str"/>
      <x:c r="N804" s="56" t="n">
        <x:f>SUMIFS($G$4:$G$1673,$A$4:$A$1673,A804)</x:f>
        <x:v>360</x:v>
      </x:c>
      <x:c r="O804" s="56" t="str">
        <x:f>IF(N804=360,"通过","失败")</x:f>
        <x:v>通过</x:v>
      </x:c>
      <x:c r="P804" s="56" t="str"/>
      <x:c r="Q804" s="59" t="str">
        <x:v>待确认</x:v>
      </x:c>
    </x:row>
    <x:row r="805">
      <x:c r="A805" s="56" t="str">
        <x:v>P020</x:v>
      </x:c>
      <x:c r="B805" s="56" t="str">
        <x:v>HX-ADD-008</x:v>
      </x:c>
      <x:c r="C805" s="56" t="str">
        <x:v>treatment</x:v>
      </x:c>
      <x:c r="D805" s="56" t="n">
        <x:v>50</x:v>
      </x:c>
      <x:c r="E805" s="56" t="str">
        <x:v>treatment.immediate</x:v>
      </x:c>
      <x:c r="F805" s="56" t="str">
        <x:v>immediate</x:v>
      </x:c>
      <x:c r="G805" s="56" t="n">
        <x:v>13</x:v>
      </x:c>
      <x:c r="H805" s="56" t="str">
        <x:v>病例特异得分项</x:v>
      </x:c>
      <x:c r="I805" s="56" t="str">
        <x:v>否</x:v>
      </x:c>
      <x:c r="J805" s="56" t="str">
        <x:v>否</x:v>
      </x:c>
      <x:c r="K805" s="56" t="str">
        <x:v>否</x:v>
      </x:c>
      <x:c r="L805" s="56" t="str">
        <x:v>按结构化事件证据给予0/部分/满分；不能由总结反推已完成</x:v>
      </x:c>
      <x:c r="M805" s="56" t="str"/>
      <x:c r="N805" s="56" t="n">
        <x:f>SUMIFS($G$4:$G$1673,$A$4:$A$1673,A805)</x:f>
        <x:v>360</x:v>
      </x:c>
      <x:c r="O805" s="56" t="str">
        <x:f>IF(N805=360,"通过","失败")</x:f>
        <x:v>通过</x:v>
      </x:c>
      <x:c r="P805" s="56" t="str"/>
      <x:c r="Q805" s="59" t="str">
        <x:v>待确认</x:v>
      </x:c>
    </x:row>
    <x:row r="806">
      <x:c r="A806" s="56" t="str">
        <x:v>P020</x:v>
      </x:c>
      <x:c r="B806" s="56" t="str">
        <x:v>HX-ADD-008</x:v>
      </x:c>
      <x:c r="C806" s="56" t="str">
        <x:v>treatment</x:v>
      </x:c>
      <x:c r="D806" s="56" t="n">
        <x:v>50</x:v>
      </x:c>
      <x:c r="E806" s="56" t="str">
        <x:v>treatment.etiologic</x:v>
      </x:c>
      <x:c r="F806" s="56" t="str">
        <x:v>etiologic</x:v>
      </x:c>
      <x:c r="G806" s="56" t="n">
        <x:v>13</x:v>
      </x:c>
      <x:c r="H806" s="56" t="str">
        <x:v>病例特异得分项</x:v>
      </x:c>
      <x:c r="I806" s="56" t="str">
        <x:v>否</x:v>
      </x:c>
      <x:c r="J806" s="56" t="str">
        <x:v>否</x:v>
      </x:c>
      <x:c r="K806" s="56" t="str">
        <x:v>否</x:v>
      </x:c>
      <x:c r="L806" s="56" t="str">
        <x:v>按结构化事件证据给予0/部分/满分；不能由总结反推已完成</x:v>
      </x:c>
      <x:c r="M806" s="56" t="str"/>
      <x:c r="N806" s="56" t="n">
        <x:f>SUMIFS($G$4:$G$1673,$A$4:$A$1673,A806)</x:f>
        <x:v>360</x:v>
      </x:c>
      <x:c r="O806" s="56" t="str">
        <x:f>IF(N806=360,"通过","失败")</x:f>
        <x:v>通过</x:v>
      </x:c>
      <x:c r="P806" s="56" t="str"/>
      <x:c r="Q806" s="59" t="str">
        <x:v>待确认</x:v>
      </x:c>
    </x:row>
    <x:row r="807">
      <x:c r="A807" s="56" t="str">
        <x:v>P020</x:v>
      </x:c>
      <x:c r="B807" s="56" t="str">
        <x:v>HX-ADD-008</x:v>
      </x:c>
      <x:c r="C807" s="56" t="str">
        <x:v>treatment</x:v>
      </x:c>
      <x:c r="D807" s="56" t="n">
        <x:v>50</x:v>
      </x:c>
      <x:c r="E807" s="56" t="str">
        <x:v>treatment.definitive</x:v>
      </x:c>
      <x:c r="F807" s="56" t="str">
        <x:v>definitive</x:v>
      </x:c>
      <x:c r="G807" s="56" t="n">
        <x:v>12</x:v>
      </x:c>
      <x:c r="H807" s="56" t="str">
        <x:v>病例特异得分项</x:v>
      </x:c>
      <x:c r="I807" s="56" t="str">
        <x:v>否</x:v>
      </x:c>
      <x:c r="J807" s="56" t="str">
        <x:v>否</x:v>
      </x:c>
      <x:c r="K807" s="56" t="str">
        <x:v>否</x:v>
      </x:c>
      <x:c r="L807" s="56" t="str">
        <x:v>按结构化事件证据给予0/部分/满分；不能由总结反推已完成</x:v>
      </x:c>
      <x:c r="M807" s="56" t="str"/>
      <x:c r="N807" s="56" t="n">
        <x:f>SUMIFS($G$4:$G$1673,$A$4:$A$1673,A807)</x:f>
        <x:v>360</x:v>
      </x:c>
      <x:c r="O807" s="56" t="str">
        <x:f>IF(N807=360,"通过","失败")</x:f>
        <x:v>通过</x:v>
      </x:c>
      <x:c r="P807" s="56" t="str"/>
      <x:c r="Q807" s="59" t="str">
        <x:v>待确认</x:v>
      </x:c>
    </x:row>
    <x:row r="808">
      <x:c r="A808" s="56" t="str">
        <x:v>P020</x:v>
      </x:c>
      <x:c r="B808" s="56" t="str">
        <x:v>HX-ADD-008</x:v>
      </x:c>
      <x:c r="C808" s="56" t="str">
        <x:v>treatment</x:v>
      </x:c>
      <x:c r="D808" s="56" t="n">
        <x:v>50</x:v>
      </x:c>
      <x:c r="E808" s="56" t="str">
        <x:v>treatment.perioperative</x:v>
      </x:c>
      <x:c r="F808" s="56" t="str">
        <x:v>perioperative</x:v>
      </x:c>
      <x:c r="G808" s="56" t="n">
        <x:v>12</x:v>
      </x:c>
      <x:c r="H808" s="56" t="str">
        <x:v>病例特异得分项</x:v>
      </x:c>
      <x:c r="I808" s="56" t="str">
        <x:v>否</x:v>
      </x:c>
      <x:c r="J808" s="56" t="str">
        <x:v>否</x:v>
      </x:c>
      <x:c r="K808" s="56" t="str">
        <x:v>否</x:v>
      </x:c>
      <x:c r="L808" s="56" t="str">
        <x:v>按结构化事件证据给予0/部分/满分；不能由总结反推已完成</x:v>
      </x:c>
      <x:c r="M808" s="56" t="str"/>
      <x:c r="N808" s="56" t="n">
        <x:f>SUMIFS($G$4:$G$1673,$A$4:$A$1673,A808)</x:f>
        <x:v>360</x:v>
      </x:c>
      <x:c r="O808" s="56" t="str">
        <x:f>IF(N808=360,"通过","失败")</x:f>
        <x:v>通过</x:v>
      </x:c>
      <x:c r="P808" s="56" t="str"/>
      <x:c r="Q808" s="59" t="str">
        <x:v>待确认</x:v>
      </x:c>
    </x:row>
    <x:row r="809">
      <x:c r="A809" s="56" t="str">
        <x:v>P020</x:v>
      </x:c>
      <x:c r="B809" s="56" t="str">
        <x:v>HX-ADD-008</x:v>
      </x:c>
      <x:c r="C809" s="56" t="str">
        <x:v>followup</x:v>
      </x:c>
      <x:c r="D809" s="56" t="n">
        <x:v>40</x:v>
      </x:c>
      <x:c r="E809" s="56" t="str">
        <x:v>followup.plan</x:v>
      </x:c>
      <x:c r="F809" s="56" t="str">
        <x:v>随访复查</x:v>
      </x:c>
      <x:c r="G809" s="56" t="n">
        <x:v>10</x:v>
      </x:c>
      <x:c r="H809" s="56" t="str">
        <x:v>普通得分项</x:v>
      </x:c>
      <x:c r="I809" s="56" t="str">
        <x:v>否</x:v>
      </x:c>
      <x:c r="J809" s="56" t="str">
        <x:v>否</x:v>
      </x:c>
      <x:c r="K809" s="56" t="str">
        <x:v>否</x:v>
      </x:c>
      <x:c r="L809" s="56" t="str">
        <x:v>按结构化事件证据给予0/部分/满分；不能由总结反推已完成</x:v>
      </x:c>
      <x:c r="M809" s="56" t="str"/>
      <x:c r="N809" s="56" t="n">
        <x:f>SUMIFS($G$4:$G$1673,$A$4:$A$1673,A809)</x:f>
        <x:v>360</x:v>
      </x:c>
      <x:c r="O809" s="56" t="str">
        <x:f>IF(N809=360,"通过","失败")</x:f>
        <x:v>通过</x:v>
      </x:c>
      <x:c r="P809" s="56" t="str"/>
      <x:c r="Q809" s="59" t="str">
        <x:v>待确认</x:v>
      </x:c>
    </x:row>
    <x:row r="810">
      <x:c r="A810" s="56" t="str">
        <x:v>P020</x:v>
      </x:c>
      <x:c r="B810" s="56" t="str">
        <x:v>HX-ADD-008</x:v>
      </x:c>
      <x:c r="C810" s="56" t="str">
        <x:v>followup</x:v>
      </x:c>
      <x:c r="D810" s="56" t="n">
        <x:v>40</x:v>
      </x:c>
      <x:c r="E810" s="56" t="str">
        <x:v>followup.education</x:v>
      </x:c>
      <x:c r="F810" s="56" t="str">
        <x:v>患者教育</x:v>
      </x:c>
      <x:c r="G810" s="56" t="n">
        <x:v>10</x:v>
      </x:c>
      <x:c r="H810" s="56" t="str">
        <x:v>普通得分项</x:v>
      </x:c>
      <x:c r="I810" s="56" t="str">
        <x:v>否</x:v>
      </x:c>
      <x:c r="J810" s="56" t="str">
        <x:v>否</x:v>
      </x:c>
      <x:c r="K810" s="56" t="str">
        <x:v>否</x:v>
      </x:c>
      <x:c r="L810" s="56" t="str">
        <x:v>按结构化事件证据给予0/部分/满分；不能由总结反推已完成</x:v>
      </x:c>
      <x:c r="M810" s="56" t="str"/>
      <x:c r="N810" s="56" t="n">
        <x:f>SUMIFS($G$4:$G$1673,$A$4:$A$1673,A810)</x:f>
        <x:v>360</x:v>
      </x:c>
      <x:c r="O810" s="56" t="str">
        <x:f>IF(N810=360,"通过","失败")</x:f>
        <x:v>通过</x:v>
      </x:c>
      <x:c r="P810" s="56" t="str"/>
      <x:c r="Q810" s="59" t="str">
        <x:v>待确认</x:v>
      </x:c>
    </x:row>
    <x:row r="811">
      <x:c r="A811" s="56" t="str">
        <x:v>P020</x:v>
      </x:c>
      <x:c r="B811" s="56" t="str">
        <x:v>HX-ADD-008</x:v>
      </x:c>
      <x:c r="C811" s="56" t="str">
        <x:v>followup</x:v>
      </x:c>
      <x:c r="D811" s="56" t="n">
        <x:v>40</x:v>
      </x:c>
      <x:c r="E811" s="56" t="str">
        <x:v>followup.reflection</x:v>
      </x:c>
      <x:c r="F811" s="56" t="str">
        <x:v>学习反思质量</x:v>
      </x:c>
      <x:c r="G811" s="56" t="n">
        <x:v>10</x:v>
      </x:c>
      <x:c r="H811" s="56" t="str">
        <x:v>普通得分项</x:v>
      </x:c>
      <x:c r="I811" s="56" t="str">
        <x:v>否</x:v>
      </x:c>
      <x:c r="J811" s="56" t="str">
        <x:v>否</x:v>
      </x:c>
      <x:c r="K811" s="56" t="str">
        <x:v>否</x:v>
      </x:c>
      <x:c r="L811" s="56" t="str">
        <x:v>按结构化事件证据给予0/部分/满分；不能由总结反推已完成</x:v>
      </x:c>
      <x:c r="M811" s="56" t="str"/>
      <x:c r="N811" s="56" t="n">
        <x:f>SUMIFS($G$4:$G$1673,$A$4:$A$1673,A811)</x:f>
        <x:v>360</x:v>
      </x:c>
      <x:c r="O811" s="56" t="str">
        <x:f>IF(N811=360,"通过","失败")</x:f>
        <x:v>通过</x:v>
      </x:c>
      <x:c r="P811" s="56" t="str"/>
      <x:c r="Q811" s="59" t="str">
        <x:v>待确认</x:v>
      </x:c>
    </x:row>
    <x:row r="812">
      <x:c r="A812" s="56" t="str">
        <x:v>P020</x:v>
      </x:c>
      <x:c r="B812" s="56" t="str">
        <x:v>HX-ADD-008</x:v>
      </x:c>
      <x:c r="C812" s="56" t="str">
        <x:v>followup</x:v>
      </x:c>
      <x:c r="D812" s="56" t="n">
        <x:v>40</x:v>
      </x:c>
      <x:c r="E812" s="56" t="str">
        <x:v>followup.efficiency</x:v>
      </x:c>
      <x:c r="F812" s="56" t="str">
        <x:v>操作效率</x:v>
      </x:c>
      <x:c r="G812" s="56" t="n">
        <x:v>10</x:v>
      </x:c>
      <x:c r="H812" s="56" t="str">
        <x:v>普通得分项</x:v>
      </x:c>
      <x:c r="I812" s="56" t="str">
        <x:v>否</x:v>
      </x:c>
      <x:c r="J812" s="56" t="str">
        <x:v>否</x:v>
      </x:c>
      <x:c r="K812" s="56" t="str">
        <x:v>否</x:v>
      </x:c>
      <x:c r="L812" s="56" t="str">
        <x:v>按结构化事件证据给予0/部分/满分；不能由总结反推已完成</x:v>
      </x:c>
      <x:c r="M812" s="56" t="str"/>
      <x:c r="N812" s="56" t="n">
        <x:f>SUMIFS($G$4:$G$1673,$A$4:$A$1673,A812)</x:f>
        <x:v>360</x:v>
      </x:c>
      <x:c r="O812" s="56" t="str">
        <x:f>IF(N812=360,"通过","失败")</x:f>
        <x:v>通过</x:v>
      </x:c>
      <x:c r="P812" s="56" t="str"/>
      <x:c r="Q812" s="59" t="str">
        <x:v>待确认</x:v>
      </x:c>
    </x:row>
    <x:row r="813">
      <x:c r="A813" s="56" t="str">
        <x:v>P020</x:v>
      </x:c>
      <x:c r="B813" s="56" t="str">
        <x:v>HX-ADD-008</x:v>
      </x:c>
      <x:c r="C813" s="56" t="str">
        <x:v>safety_gate</x:v>
      </x:c>
      <x:c r="D813" s="56" t="n">
        <x:v>0</x:v>
      </x:c>
      <x:c r="E813" s="56" t="str">
        <x:v>safety.P020.1</x:v>
      </x:c>
      <x:c r="F813" s="56" t="str">
        <x:v>脓毒症未识别或用力前列腺按摩</x:v>
      </x:c>
      <x:c r="G813" s="56" t="n">
        <x:v>0</x:v>
      </x:c>
      <x:c r="H813" s="56" t="str">
        <x:v>患者安全关键项</x:v>
      </x:c>
      <x:c r="I813" s="56" t="str">
        <x:v>是</x:v>
      </x:c>
      <x:c r="J813" s="56" t="str">
        <x:v>是</x:v>
      </x:c>
      <x:c r="K813" s="56" t="str">
        <x:v>是</x:v>
      </x:c>
      <x:c r="L813" s="56" t="str">
        <x:v>触发时不加分并按专家设定封顶</x:v>
      </x:c>
      <x:c r="M813" s="56" t="str">
        <x:v>脓毒症未识别或用力前列腺按摩</x:v>
      </x:c>
      <x:c r="N813" s="56" t="n">
        <x:f>SUMIFS($G$4:$G$1673,$A$4:$A$1673,A813)</x:f>
        <x:v>360</x:v>
      </x:c>
      <x:c r="O813" s="56" t="str">
        <x:f>IF(N813=360,"通过","失败")</x:f>
        <x:v>通过</x:v>
      </x:c>
      <x:c r="P813" s="56" t="str"/>
      <x:c r="Q813" s="59" t="str">
        <x:v>待确认</x:v>
      </x:c>
    </x:row>
    <x:row r="814">
      <x:c r="A814" s="56" t="str">
        <x:v>P021</x:v>
      </x:c>
      <x:c r="B814" s="56" t="str">
        <x:v>HX-ADD-009</x:v>
      </x:c>
      <x:c r="C814" s="56" t="str">
        <x:v>history</x:v>
      </x:c>
      <x:c r="D814" s="56" t="n">
        <x:v>50</x:v>
      </x:c>
      <x:c r="E814" s="56" t="str">
        <x:v>history.hematuria_visibility</x:v>
      </x:c>
      <x:c r="F814" s="56" t="str">
        <x:v>hematuria_visibility</x:v>
      </x:c>
      <x:c r="G814" s="56" t="n">
        <x:v>5</x:v>
      </x:c>
      <x:c r="H814" s="56" t="str">
        <x:v>普通得分项</x:v>
      </x:c>
      <x:c r="I814" s="56" t="str">
        <x:v>否</x:v>
      </x:c>
      <x:c r="J814" s="56" t="str">
        <x:v>否</x:v>
      </x:c>
      <x:c r="K814" s="56" t="str">
        <x:v>否</x:v>
      </x:c>
      <x:c r="L814" s="56" t="str">
        <x:v>按结构化事件证据给予0/部分/满分；不能由总结反推已完成</x:v>
      </x:c>
      <x:c r="M814" s="56" t="str"/>
      <x:c r="N814" s="56" t="n">
        <x:f>SUMIFS($G$4:$G$1673,$A$4:$A$1673,A814)</x:f>
        <x:v>360</x:v>
      </x:c>
      <x:c r="O814" s="56" t="str">
        <x:f>IF(N814=360,"通过","失败")</x:f>
        <x:v>通过</x:v>
      </x:c>
      <x:c r="P814" s="56" t="str"/>
      <x:c r="Q814" s="59" t="str">
        <x:v>待确认</x:v>
      </x:c>
    </x:row>
    <x:row r="815">
      <x:c r="A815" s="56" t="str">
        <x:v>P021</x:v>
      </x:c>
      <x:c r="B815" s="56" t="str">
        <x:v>HX-ADD-009</x:v>
      </x:c>
      <x:c r="C815" s="56" t="str">
        <x:v>history</x:v>
      </x:c>
      <x:c r="D815" s="56" t="n">
        <x:v>50</x:v>
      </x:c>
      <x:c r="E815" s="56" t="str">
        <x:v>history.hematuria_onset</x:v>
      </x:c>
      <x:c r="F815" s="56" t="str">
        <x:v>hematuria_onset</x:v>
      </x:c>
      <x:c r="G815" s="56" t="n">
        <x:v>5</x:v>
      </x:c>
      <x:c r="H815" s="56" t="str">
        <x:v>普通得分项</x:v>
      </x:c>
      <x:c r="I815" s="56" t="str">
        <x:v>否</x:v>
      </x:c>
      <x:c r="J815" s="56" t="str">
        <x:v>否</x:v>
      </x:c>
      <x:c r="K815" s="56" t="str">
        <x:v>否</x:v>
      </x:c>
      <x:c r="L815" s="56" t="str">
        <x:v>按结构化事件证据给予0/部分/满分；不能由总结反推已完成</x:v>
      </x:c>
      <x:c r="M815" s="56" t="str"/>
      <x:c r="N815" s="56" t="n">
        <x:f>SUMIFS($G$4:$G$1673,$A$4:$A$1673,A815)</x:f>
        <x:v>360</x:v>
      </x:c>
      <x:c r="O815" s="56" t="str">
        <x:f>IF(N815=360,"通过","失败")</x:f>
        <x:v>通过</x:v>
      </x:c>
      <x:c r="P815" s="56" t="str"/>
      <x:c r="Q815" s="59" t="str">
        <x:v>待确认</x:v>
      </x:c>
    </x:row>
    <x:row r="816">
      <x:c r="A816" s="56" t="str">
        <x:v>P021</x:v>
      </x:c>
      <x:c r="B816" s="56" t="str">
        <x:v>HX-ADD-009</x:v>
      </x:c>
      <x:c r="C816" s="56" t="str">
        <x:v>history</x:v>
      </x:c>
      <x:c r="D816" s="56" t="n">
        <x:v>50</x:v>
      </x:c>
      <x:c r="E816" s="56" t="str">
        <x:v>history.hematuria_frequency</x:v>
      </x:c>
      <x:c r="F816" s="56" t="str">
        <x:v>hematuria_frequency</x:v>
      </x:c>
      <x:c r="G816" s="56" t="n">
        <x:v>4</x:v>
      </x:c>
      <x:c r="H816" s="56" t="str">
        <x:v>普通得分项</x:v>
      </x:c>
      <x:c r="I816" s="56" t="str">
        <x:v>否</x:v>
      </x:c>
      <x:c r="J816" s="56" t="str">
        <x:v>否</x:v>
      </x:c>
      <x:c r="K816" s="56" t="str">
        <x:v>否</x:v>
      </x:c>
      <x:c r="L816" s="56" t="str">
        <x:v>按结构化事件证据给予0/部分/满分；不能由总结反推已完成</x:v>
      </x:c>
      <x:c r="M816" s="56" t="str"/>
      <x:c r="N816" s="56" t="n">
        <x:f>SUMIFS($G$4:$G$1673,$A$4:$A$1673,A816)</x:f>
        <x:v>360</x:v>
      </x:c>
      <x:c r="O816" s="56" t="str">
        <x:f>IF(N816=360,"通过","失败")</x:f>
        <x:v>通过</x:v>
      </x:c>
      <x:c r="P816" s="56" t="str"/>
      <x:c r="Q816" s="59" t="str">
        <x:v>待确认</x:v>
      </x:c>
    </x:row>
    <x:row r="817">
      <x:c r="A817" s="56" t="str">
        <x:v>P021</x:v>
      </x:c>
      <x:c r="B817" s="56" t="str">
        <x:v>HX-ADD-009</x:v>
      </x:c>
      <x:c r="C817" s="56" t="str">
        <x:v>history</x:v>
      </x:c>
      <x:c r="D817" s="56" t="n">
        <x:v>50</x:v>
      </x:c>
      <x:c r="E817" s="56" t="str">
        <x:v>history.hematuria_phase</x:v>
      </x:c>
      <x:c r="F817" s="56" t="str">
        <x:v>hematuria_phase</x:v>
      </x:c>
      <x:c r="G817" s="56" t="n">
        <x:v>4</x:v>
      </x:c>
      <x:c r="H817" s="56" t="str">
        <x:v>普通得分项</x:v>
      </x:c>
      <x:c r="I817" s="56" t="str">
        <x:v>否</x:v>
      </x:c>
      <x:c r="J817" s="56" t="str">
        <x:v>否</x:v>
      </x:c>
      <x:c r="K817" s="56" t="str">
        <x:v>否</x:v>
      </x:c>
      <x:c r="L817" s="56" t="str">
        <x:v>按结构化事件证据给予0/部分/满分；不能由总结反推已完成</x:v>
      </x:c>
      <x:c r="M817" s="56" t="str"/>
      <x:c r="N817" s="56" t="n">
        <x:f>SUMIFS($G$4:$G$1673,$A$4:$A$1673,A817)</x:f>
        <x:v>360</x:v>
      </x:c>
      <x:c r="O817" s="56" t="str">
        <x:f>IF(N817=360,"通过","失败")</x:f>
        <x:v>通过</x:v>
      </x:c>
      <x:c r="P817" s="56" t="str"/>
      <x:c r="Q817" s="59" t="str">
        <x:v>待确认</x:v>
      </x:c>
    </x:row>
    <x:row r="818">
      <x:c r="A818" s="56" t="str">
        <x:v>P021</x:v>
      </x:c>
      <x:c r="B818" s="56" t="str">
        <x:v>HX-ADD-009</x:v>
      </x:c>
      <x:c r="C818" s="56" t="str">
        <x:v>history</x:v>
      </x:c>
      <x:c r="D818" s="56" t="n">
        <x:v>50</x:v>
      </x:c>
      <x:c r="E818" s="56" t="str">
        <x:v>history.urine_color</x:v>
      </x:c>
      <x:c r="F818" s="56" t="str">
        <x:v>urine_color</x:v>
      </x:c>
      <x:c r="G818" s="56" t="n">
        <x:v>4</x:v>
      </x:c>
      <x:c r="H818" s="56" t="str">
        <x:v>普通得分项</x:v>
      </x:c>
      <x:c r="I818" s="56" t="str">
        <x:v>否</x:v>
      </x:c>
      <x:c r="J818" s="56" t="str">
        <x:v>否</x:v>
      </x:c>
      <x:c r="K818" s="56" t="str">
        <x:v>否</x:v>
      </x:c>
      <x:c r="L818" s="56" t="str">
        <x:v>按结构化事件证据给予0/部分/满分；不能由总结反推已完成</x:v>
      </x:c>
      <x:c r="M818" s="56" t="str"/>
      <x:c r="N818" s="56" t="n">
        <x:f>SUMIFS($G$4:$G$1673,$A$4:$A$1673,A818)</x:f>
        <x:v>360</x:v>
      </x:c>
      <x:c r="O818" s="56" t="str">
        <x:f>IF(N818=360,"通过","失败")</x:f>
        <x:v>通过</x:v>
      </x:c>
      <x:c r="P818" s="56" t="str"/>
      <x:c r="Q818" s="59" t="str">
        <x:v>待确认</x:v>
      </x:c>
    </x:row>
    <x:row r="819">
      <x:c r="A819" s="56" t="str">
        <x:v>P021</x:v>
      </x:c>
      <x:c r="B819" s="56" t="str">
        <x:v>HX-ADD-009</x:v>
      </x:c>
      <x:c r="C819" s="56" t="str">
        <x:v>history</x:v>
      </x:c>
      <x:c r="D819" s="56" t="n">
        <x:v>50</x:v>
      </x:c>
      <x:c r="E819" s="56" t="str">
        <x:v>history.clots</x:v>
      </x:c>
      <x:c r="F819" s="56" t="str">
        <x:v>clots</x:v>
      </x:c>
      <x:c r="G819" s="56" t="n">
        <x:v>4</x:v>
      </x:c>
      <x:c r="H819" s="56" t="str">
        <x:v>普通得分项</x:v>
      </x:c>
      <x:c r="I819" s="56" t="str">
        <x:v>否</x:v>
      </x:c>
      <x:c r="J819" s="56" t="str">
        <x:v>否</x:v>
      </x:c>
      <x:c r="K819" s="56" t="str">
        <x:v>否</x:v>
      </x:c>
      <x:c r="L819" s="56" t="str">
        <x:v>按结构化事件证据给予0/部分/满分；不能由总结反推已完成</x:v>
      </x:c>
      <x:c r="M819" s="56" t="str"/>
      <x:c r="N819" s="56" t="n">
        <x:f>SUMIFS($G$4:$G$1673,$A$4:$A$1673,A819)</x:f>
        <x:v>360</x:v>
      </x:c>
      <x:c r="O819" s="56" t="str">
        <x:f>IF(N819=360,"通过","失败")</x:f>
        <x:v>通过</x:v>
      </x:c>
      <x:c r="P819" s="56" t="str"/>
      <x:c r="Q819" s="59" t="str">
        <x:v>待确认</x:v>
      </x:c>
    </x:row>
    <x:row r="820">
      <x:c r="A820" s="56" t="str">
        <x:v>P021</x:v>
      </x:c>
      <x:c r="B820" s="56" t="str">
        <x:v>HX-ADD-009</x:v>
      </x:c>
      <x:c r="C820" s="56" t="str">
        <x:v>history</x:v>
      </x:c>
      <x:c r="D820" s="56" t="n">
        <x:v>50</x:v>
      </x:c>
      <x:c r="E820" s="56" t="str">
        <x:v>history.pain</x:v>
      </x:c>
      <x:c r="F820" s="56" t="str">
        <x:v>pain</x:v>
      </x:c>
      <x:c r="G820" s="56" t="n">
        <x:v>4</x:v>
      </x:c>
      <x:c r="H820" s="56" t="str">
        <x:v>普通得分项</x:v>
      </x:c>
      <x:c r="I820" s="56" t="str">
        <x:v>否</x:v>
      </x:c>
      <x:c r="J820" s="56" t="str">
        <x:v>否</x:v>
      </x:c>
      <x:c r="K820" s="56" t="str">
        <x:v>否</x:v>
      </x:c>
      <x:c r="L820" s="56" t="str">
        <x:v>按结构化事件证据给予0/部分/满分；不能由总结反推已完成</x:v>
      </x:c>
      <x:c r="M820" s="56" t="str"/>
      <x:c r="N820" s="56" t="n">
        <x:f>SUMIFS($G$4:$G$1673,$A$4:$A$1673,A820)</x:f>
        <x:v>360</x:v>
      </x:c>
      <x:c r="O820" s="56" t="str">
        <x:f>IF(N820=360,"通过","失败")</x:f>
        <x:v>通过</x:v>
      </x:c>
      <x:c r="P820" s="56" t="str"/>
      <x:c r="Q820" s="59" t="str">
        <x:v>待确认</x:v>
      </x:c>
    </x:row>
    <x:row r="821">
      <x:c r="A821" s="56" t="str">
        <x:v>P021</x:v>
      </x:c>
      <x:c r="B821" s="56" t="str">
        <x:v>HX-ADD-009</x:v>
      </x:c>
      <x:c r="C821" s="56" t="str">
        <x:v>history</x:v>
      </x:c>
      <x:c r="D821" s="56" t="n">
        <x:v>50</x:v>
      </x:c>
      <x:c r="E821" s="56" t="str">
        <x:v>history.dysuria</x:v>
      </x:c>
      <x:c r="F821" s="56" t="str">
        <x:v>dysuria</x:v>
      </x:c>
      <x:c r="G821" s="56" t="n">
        <x:v>4</x:v>
      </x:c>
      <x:c r="H821" s="56" t="str">
        <x:v>普通得分项</x:v>
      </x:c>
      <x:c r="I821" s="56" t="str">
        <x:v>否</x:v>
      </x:c>
      <x:c r="J821" s="56" t="str">
        <x:v>否</x:v>
      </x:c>
      <x:c r="K821" s="56" t="str">
        <x:v>否</x:v>
      </x:c>
      <x:c r="L821" s="56" t="str">
        <x:v>按结构化事件证据给予0/部分/满分；不能由总结反推已完成</x:v>
      </x:c>
      <x:c r="M821" s="56" t="str"/>
      <x:c r="N821" s="56" t="n">
        <x:f>SUMIFS($G$4:$G$1673,$A$4:$A$1673,A821)</x:f>
        <x:v>360</x:v>
      </x:c>
      <x:c r="O821" s="56" t="str">
        <x:f>IF(N821=360,"通过","失败")</x:f>
        <x:v>通过</x:v>
      </x:c>
      <x:c r="P821" s="56" t="str"/>
      <x:c r="Q821" s="59" t="str">
        <x:v>待确认</x:v>
      </x:c>
    </x:row>
    <x:row r="822">
      <x:c r="A822" s="56" t="str">
        <x:v>P021</x:v>
      </x:c>
      <x:c r="B822" s="56" t="str">
        <x:v>HX-ADD-009</x:v>
      </x:c>
      <x:c r="C822" s="56" t="str">
        <x:v>history</x:v>
      </x:c>
      <x:c r="D822" s="56" t="n">
        <x:v>50</x:v>
      </x:c>
      <x:c r="E822" s="56" t="str">
        <x:v>history.urinary_frequency</x:v>
      </x:c>
      <x:c r="F822" s="56" t="str">
        <x:v>urinary_frequency</x:v>
      </x:c>
      <x:c r="G822" s="56" t="n">
        <x:v>4</x:v>
      </x:c>
      <x:c r="H822" s="56" t="str">
        <x:v>普通得分项</x:v>
      </x:c>
      <x:c r="I822" s="56" t="str">
        <x:v>否</x:v>
      </x:c>
      <x:c r="J822" s="56" t="str">
        <x:v>否</x:v>
      </x:c>
      <x:c r="K822" s="56" t="str">
        <x:v>否</x:v>
      </x:c>
      <x:c r="L822" s="56" t="str">
        <x:v>按结构化事件证据给予0/部分/满分；不能由总结反推已完成</x:v>
      </x:c>
      <x:c r="M822" s="56" t="str"/>
      <x:c r="N822" s="56" t="n">
        <x:f>SUMIFS($G$4:$G$1673,$A$4:$A$1673,A822)</x:f>
        <x:v>360</x:v>
      </x:c>
      <x:c r="O822" s="56" t="str">
        <x:f>IF(N822=360,"通过","失败")</x:f>
        <x:v>通过</x:v>
      </x:c>
      <x:c r="P822" s="56" t="str"/>
      <x:c r="Q822" s="59" t="str">
        <x:v>待确认</x:v>
      </x:c>
    </x:row>
    <x:row r="823">
      <x:c r="A823" s="56" t="str">
        <x:v>P021</x:v>
      </x:c>
      <x:c r="B823" s="56" t="str">
        <x:v>HX-ADD-009</x:v>
      </x:c>
      <x:c r="C823" s="56" t="str">
        <x:v>history</x:v>
      </x:c>
      <x:c r="D823" s="56" t="n">
        <x:v>50</x:v>
      </x:c>
      <x:c r="E823" s="56" t="str">
        <x:v>history.urinary_urgency</x:v>
      </x:c>
      <x:c r="F823" s="56" t="str">
        <x:v>urinary_urgency</x:v>
      </x:c>
      <x:c r="G823" s="56" t="n">
        <x:v>4</x:v>
      </x:c>
      <x:c r="H823" s="56" t="str">
        <x:v>普通得分项</x:v>
      </x:c>
      <x:c r="I823" s="56" t="str">
        <x:v>否</x:v>
      </x:c>
      <x:c r="J823" s="56" t="str">
        <x:v>否</x:v>
      </x:c>
      <x:c r="K823" s="56" t="str">
        <x:v>否</x:v>
      </x:c>
      <x:c r="L823" s="56" t="str">
        <x:v>按结构化事件证据给予0/部分/满分；不能由总结反推已完成</x:v>
      </x:c>
      <x:c r="M823" s="56" t="str"/>
      <x:c r="N823" s="56" t="n">
        <x:f>SUMIFS($G$4:$G$1673,$A$4:$A$1673,A823)</x:f>
        <x:v>360</x:v>
      </x:c>
      <x:c r="O823" s="56" t="str">
        <x:f>IF(N823=360,"通过","失败")</x:f>
        <x:v>通过</x:v>
      </x:c>
      <x:c r="P823" s="56" t="str"/>
      <x:c r="Q823" s="59" t="str">
        <x:v>待确认</x:v>
      </x:c>
    </x:row>
    <x:row r="824">
      <x:c r="A824" s="56" t="str">
        <x:v>P021</x:v>
      </x:c>
      <x:c r="B824" s="56" t="str">
        <x:v>HX-ADD-009</x:v>
      </x:c>
      <x:c r="C824" s="56" t="str">
        <x:v>history</x:v>
      </x:c>
      <x:c r="D824" s="56" t="n">
        <x:v>50</x:v>
      </x:c>
      <x:c r="E824" s="56" t="str">
        <x:v>history.flank_pain</x:v>
      </x:c>
      <x:c r="F824" s="56" t="str">
        <x:v>flank_pain</x:v>
      </x:c>
      <x:c r="G824" s="56" t="n">
        <x:v>4</x:v>
      </x:c>
      <x:c r="H824" s="56" t="str">
        <x:v>普通得分项</x:v>
      </x:c>
      <x:c r="I824" s="56" t="str">
        <x:v>否</x:v>
      </x:c>
      <x:c r="J824" s="56" t="str">
        <x:v>否</x:v>
      </x:c>
      <x:c r="K824" s="56" t="str">
        <x:v>否</x:v>
      </x:c>
      <x:c r="L824" s="56" t="str">
        <x:v>按结构化事件证据给予0/部分/满分；不能由总结反推已完成</x:v>
      </x:c>
      <x:c r="M824" s="56" t="str"/>
      <x:c r="N824" s="56" t="n">
        <x:f>SUMIFS($G$4:$G$1673,$A$4:$A$1673,A824)</x:f>
        <x:v>360</x:v>
      </x:c>
      <x:c r="O824" s="56" t="str">
        <x:f>IF(N824=360,"通过","失败")</x:f>
        <x:v>通过</x:v>
      </x:c>
      <x:c r="P824" s="56" t="str"/>
      <x:c r="Q824" s="59" t="str">
        <x:v>待确认</x:v>
      </x:c>
    </x:row>
    <x:row r="825">
      <x:c r="A825" s="56" t="str">
        <x:v>P021</x:v>
      </x:c>
      <x:c r="B825" s="56" t="str">
        <x:v>HX-ADD-009</x:v>
      </x:c>
      <x:c r="C825" s="56" t="str">
        <x:v>history</x:v>
      </x:c>
      <x:c r="D825" s="56" t="n">
        <x:v>50</x:v>
      </x:c>
      <x:c r="E825" s="56" t="str">
        <x:v>history.fever_chills</x:v>
      </x:c>
      <x:c r="F825" s="56" t="str">
        <x:v>fever_chills</x:v>
      </x:c>
      <x:c r="G825" s="56" t="n">
        <x:v>4</x:v>
      </x:c>
      <x:c r="H825" s="56" t="str">
        <x:v>普通得分项</x:v>
      </x:c>
      <x:c r="I825" s="56" t="str">
        <x:v>否</x:v>
      </x:c>
      <x:c r="J825" s="56" t="str">
        <x:v>否</x:v>
      </x:c>
      <x:c r="K825" s="56" t="str">
        <x:v>否</x:v>
      </x:c>
      <x:c r="L825" s="56" t="str">
        <x:v>按结构化事件证据给予0/部分/满分；不能由总结反推已完成</x:v>
      </x:c>
      <x:c r="M825" s="56" t="str"/>
      <x:c r="N825" s="56" t="n">
        <x:f>SUMIFS($G$4:$G$1673,$A$4:$A$1673,A825)</x:f>
        <x:v>360</x:v>
      </x:c>
      <x:c r="O825" s="56" t="str">
        <x:f>IF(N825=360,"通过","失败")</x:f>
        <x:v>通过</x:v>
      </x:c>
      <x:c r="P825" s="56" t="str"/>
      <x:c r="Q825" s="59" t="str">
        <x:v>待确认</x:v>
      </x:c>
    </x:row>
    <x:row r="826">
      <x:c r="A826" s="56" t="str">
        <x:v>P021</x:v>
      </x:c>
      <x:c r="B826" s="56" t="str">
        <x:v>HX-ADD-009</x:v>
      </x:c>
      <x:c r="C826" s="56" t="str">
        <x:v>risk</x:v>
      </x:c>
      <x:c r="D826" s="56" t="n">
        <x:v>40</x:v>
      </x:c>
      <x:c r="E826" s="56" t="str">
        <x:v>risk.uti_history</x:v>
      </x:c>
      <x:c r="F826" s="56" t="str">
        <x:v>uti_history</x:v>
      </x:c>
      <x:c r="G826" s="56" t="n">
        <x:v>10</x:v>
      </x:c>
      <x:c r="H826" s="56" t="str">
        <x:v>普通得分项</x:v>
      </x:c>
      <x:c r="I826" s="56" t="str">
        <x:v>否</x:v>
      </x:c>
      <x:c r="J826" s="56" t="str">
        <x:v>否</x:v>
      </x:c>
      <x:c r="K826" s="56" t="str">
        <x:v>否</x:v>
      </x:c>
      <x:c r="L826" s="56" t="str">
        <x:v>按结构化事件证据给予0/部分/满分；不能由总结反推已完成</x:v>
      </x:c>
      <x:c r="M826" s="56" t="str"/>
      <x:c r="N826" s="56" t="n">
        <x:f>SUMIFS($G$4:$G$1673,$A$4:$A$1673,A826)</x:f>
        <x:v>360</x:v>
      </x:c>
      <x:c r="O826" s="56" t="str">
        <x:f>IF(N826=360,"通过","失败")</x:f>
        <x:v>通过</x:v>
      </x:c>
      <x:c r="P826" s="56" t="str"/>
      <x:c r="Q826" s="59" t="str">
        <x:v>待确认</x:v>
      </x:c>
    </x:row>
    <x:row r="827">
      <x:c r="A827" s="56" t="str">
        <x:v>P021</x:v>
      </x:c>
      <x:c r="B827" s="56" t="str">
        <x:v>HX-ADD-009</x:v>
      </x:c>
      <x:c r="C827" s="56" t="str">
        <x:v>risk</x:v>
      </x:c>
      <x:c r="D827" s="56" t="n">
        <x:v>40</x:v>
      </x:c>
      <x:c r="E827" s="56" t="str">
        <x:v>risk.stone_history</x:v>
      </x:c>
      <x:c r="F827" s="56" t="str">
        <x:v>stone_history</x:v>
      </x:c>
      <x:c r="G827" s="56" t="n">
        <x:v>10</x:v>
      </x:c>
      <x:c r="H827" s="56" t="str">
        <x:v>普通得分项</x:v>
      </x:c>
      <x:c r="I827" s="56" t="str">
        <x:v>否</x:v>
      </x:c>
      <x:c r="J827" s="56" t="str">
        <x:v>否</x:v>
      </x:c>
      <x:c r="K827" s="56" t="str">
        <x:v>否</x:v>
      </x:c>
      <x:c r="L827" s="56" t="str">
        <x:v>按结构化事件证据给予0/部分/满分；不能由总结反推已完成</x:v>
      </x:c>
      <x:c r="M827" s="56" t="str"/>
      <x:c r="N827" s="56" t="n">
        <x:f>SUMIFS($G$4:$G$1673,$A$4:$A$1673,A827)</x:f>
        <x:v>360</x:v>
      </x:c>
      <x:c r="O827" s="56" t="str">
        <x:f>IF(N827=360,"通过","失败")</x:f>
        <x:v>通过</x:v>
      </x:c>
      <x:c r="P827" s="56" t="str"/>
      <x:c r="Q827" s="59" t="str">
        <x:v>待确认</x:v>
      </x:c>
    </x:row>
    <x:row r="828">
      <x:c r="A828" s="56" t="str">
        <x:v>P021</x:v>
      </x:c>
      <x:c r="B828" s="56" t="str">
        <x:v>HX-ADD-009</x:v>
      </x:c>
      <x:c r="C828" s="56" t="str">
        <x:v>risk</x:v>
      </x:c>
      <x:c r="D828" s="56" t="n">
        <x:v>40</x:v>
      </x:c>
      <x:c r="E828" s="56" t="str">
        <x:v>risk.urinary_procedure_history</x:v>
      </x:c>
      <x:c r="F828" s="56" t="str">
        <x:v>urinary_procedure_history</x:v>
      </x:c>
      <x:c r="G828" s="56" t="n">
        <x:v>10</x:v>
      </x:c>
      <x:c r="H828" s="56" t="str">
        <x:v>普通得分项</x:v>
      </x:c>
      <x:c r="I828" s="56" t="str">
        <x:v>否</x:v>
      </x:c>
      <x:c r="J828" s="56" t="str">
        <x:v>否</x:v>
      </x:c>
      <x:c r="K828" s="56" t="str">
        <x:v>否</x:v>
      </x:c>
      <x:c r="L828" s="56" t="str">
        <x:v>按结构化事件证据给予0/部分/满分；不能由总结反推已完成</x:v>
      </x:c>
      <x:c r="M828" s="56" t="str"/>
      <x:c r="N828" s="56" t="n">
        <x:f>SUMIFS($G$4:$G$1673,$A$4:$A$1673,A828)</x:f>
        <x:v>360</x:v>
      </x:c>
      <x:c r="O828" s="56" t="str">
        <x:f>IF(N828=360,"通过","失败")</x:f>
        <x:v>通过</x:v>
      </x:c>
      <x:c r="P828" s="56" t="str"/>
      <x:c r="Q828" s="59" t="str">
        <x:v>待确认</x:v>
      </x:c>
    </x:row>
    <x:row r="829">
      <x:c r="A829" s="56" t="str">
        <x:v>P021</x:v>
      </x:c>
      <x:c r="B829" s="56" t="str">
        <x:v>HX-ADD-009</x:v>
      </x:c>
      <x:c r="C829" s="56" t="str">
        <x:v>risk</x:v>
      </x:c>
      <x:c r="D829" s="56" t="n">
        <x:v>40</x:v>
      </x:c>
      <x:c r="E829" s="56" t="str">
        <x:v>risk.gynecologic_contamination</x:v>
      </x:c>
      <x:c r="F829" s="56" t="str">
        <x:v>gynecologic_contamination</x:v>
      </x:c>
      <x:c r="G829" s="56" t="n">
        <x:v>10</x:v>
      </x:c>
      <x:c r="H829" s="56" t="str">
        <x:v>普通得分项</x:v>
      </x:c>
      <x:c r="I829" s="56" t="str">
        <x:v>否</x:v>
      </x:c>
      <x:c r="J829" s="56" t="str">
        <x:v>否</x:v>
      </x:c>
      <x:c r="K829" s="56" t="str">
        <x:v>否</x:v>
      </x:c>
      <x:c r="L829" s="56" t="str">
        <x:v>按结构化事件证据给予0/部分/满分；不能由总结反推已完成</x:v>
      </x:c>
      <x:c r="M829" s="56" t="str"/>
      <x:c r="N829" s="56" t="n">
        <x:f>SUMIFS($G$4:$G$1673,$A$4:$A$1673,A829)</x:f>
        <x:v>360</x:v>
      </x:c>
      <x:c r="O829" s="56" t="str">
        <x:f>IF(N829=360,"通过","失败")</x:f>
        <x:v>通过</x:v>
      </x:c>
      <x:c r="P829" s="56" t="str"/>
      <x:c r="Q829" s="59" t="str">
        <x:v>待确认</x:v>
      </x:c>
    </x:row>
    <x:row r="830">
      <x:c r="A830" s="56" t="str">
        <x:v>P021</x:v>
      </x:c>
      <x:c r="B830" s="56" t="str">
        <x:v>HX-ADD-009</x:v>
      </x:c>
      <x:c r="C830" s="56" t="str">
        <x:v>exam</x:v>
      </x:c>
      <x:c r="D830" s="56" t="n">
        <x:v>35</x:v>
      </x:c>
      <x:c r="E830" s="56" t="str">
        <x:v>exam.temperature</x:v>
      </x:c>
      <x:c r="F830" s="56" t="str">
        <x:v>体温</x:v>
      </x:c>
      <x:c r="G830" s="56" t="n">
        <x:v>12</x:v>
      </x:c>
      <x:c r="H830" s="56" t="str">
        <x:v>普通得分项</x:v>
      </x:c>
      <x:c r="I830" s="56" t="str">
        <x:v>否</x:v>
      </x:c>
      <x:c r="J830" s="56" t="str">
        <x:v>否</x:v>
      </x:c>
      <x:c r="K830" s="56" t="str">
        <x:v>否</x:v>
      </x:c>
      <x:c r="L830" s="56" t="str">
        <x:v>按结构化事件证据给予0/部分/满分；不能由总结反推已完成</x:v>
      </x:c>
      <x:c r="M830" s="56" t="str"/>
      <x:c r="N830" s="56" t="n">
        <x:f>SUMIFS($G$4:$G$1673,$A$4:$A$1673,A830)</x:f>
        <x:v>360</x:v>
      </x:c>
      <x:c r="O830" s="56" t="str">
        <x:f>IF(N830=360,"通过","失败")</x:f>
        <x:v>通过</x:v>
      </x:c>
      <x:c r="P830" s="56" t="str"/>
      <x:c r="Q830" s="59" t="str">
        <x:v>待确认</x:v>
      </x:c>
    </x:row>
    <x:row r="831">
      <x:c r="A831" s="56" t="str">
        <x:v>P021</x:v>
      </x:c>
      <x:c r="B831" s="56" t="str">
        <x:v>HX-ADD-009</x:v>
      </x:c>
      <x:c r="C831" s="56" t="str">
        <x:v>exam</x:v>
      </x:c>
      <x:c r="D831" s="56" t="n">
        <x:v>35</x:v>
      </x:c>
      <x:c r="E831" s="56" t="str">
        <x:v>exam.blood_pressure</x:v>
      </x:c>
      <x:c r="F831" s="56" t="str">
        <x:v>血压</x:v>
      </x:c>
      <x:c r="G831" s="56" t="n">
        <x:v>12</x:v>
      </x:c>
      <x:c r="H831" s="56" t="str">
        <x:v>普通得分项</x:v>
      </x:c>
      <x:c r="I831" s="56" t="str">
        <x:v>否</x:v>
      </x:c>
      <x:c r="J831" s="56" t="str">
        <x:v>否</x:v>
      </x:c>
      <x:c r="K831" s="56" t="str">
        <x:v>否</x:v>
      </x:c>
      <x:c r="L831" s="56" t="str">
        <x:v>按结构化事件证据给予0/部分/满分；不能由总结反推已完成</x:v>
      </x:c>
      <x:c r="M831" s="56" t="str"/>
      <x:c r="N831" s="56" t="n">
        <x:f>SUMIFS($G$4:$G$1673,$A$4:$A$1673,A831)</x:f>
        <x:v>360</x:v>
      </x:c>
      <x:c r="O831" s="56" t="str">
        <x:f>IF(N831=360,"通过","失败")</x:f>
        <x:v>通过</x:v>
      </x:c>
      <x:c r="P831" s="56" t="str"/>
      <x:c r="Q831" s="59" t="str">
        <x:v>待确认</x:v>
      </x:c>
    </x:row>
    <x:row r="832">
      <x:c r="A832" s="56" t="str">
        <x:v>P021</x:v>
      </x:c>
      <x:c r="B832" s="56" t="str">
        <x:v>HX-ADD-009</x:v>
      </x:c>
      <x:c r="C832" s="56" t="str">
        <x:v>exam</x:v>
      </x:c>
      <x:c r="D832" s="56" t="n">
        <x:v>35</x:v>
      </x:c>
      <x:c r="E832" s="56" t="str">
        <x:v>exam.targeted</x:v>
      </x:c>
      <x:c r="F832" s="56" t="str">
        <x:v>病例针对性查体</x:v>
      </x:c>
      <x:c r="G832" s="56" t="n">
        <x:v>11</x:v>
      </x:c>
      <x:c r="H832" s="56" t="str">
        <x:v>普通得分项</x:v>
      </x:c>
      <x:c r="I832" s="56" t="str">
        <x:v>否</x:v>
      </x:c>
      <x:c r="J832" s="56" t="str">
        <x:v>否</x:v>
      </x:c>
      <x:c r="K832" s="56" t="str">
        <x:v>否</x:v>
      </x:c>
      <x:c r="L832" s="56" t="str">
        <x:v>按结构化事件证据给予0/部分/满分；不能由总结反推已完成</x:v>
      </x:c>
      <x:c r="M832" s="56" t="str"/>
      <x:c r="N832" s="56" t="n">
        <x:f>SUMIFS($G$4:$G$1673,$A$4:$A$1673,A832)</x:f>
        <x:v>360</x:v>
      </x:c>
      <x:c r="O832" s="56" t="str">
        <x:f>IF(N832=360,"通过","失败")</x:f>
        <x:v>通过</x:v>
      </x:c>
      <x:c r="P832" s="56" t="str"/>
      <x:c r="Q832" s="59" t="str">
        <x:v>待确认</x:v>
      </x:c>
    </x:row>
    <x:row r="833">
      <x:c r="A833" s="56" t="str">
        <x:v>P021</x:v>
      </x:c>
      <x:c r="B833" s="56" t="str">
        <x:v>HX-ADD-009</x:v>
      </x:c>
      <x:c r="C833" s="56" t="str">
        <x:v>diagnosis</x:v>
      </x:c>
      <x:c r="D833" s="56" t="n">
        <x:v>45</x:v>
      </x:c>
      <x:c r="E833" s="56" t="str">
        <x:v>diagnosis.primary</x:v>
      </x:c>
      <x:c r="F833" s="56" t="str">
        <x:v>最可能诊断及依据</x:v>
      </x:c>
      <x:c r="G833" s="56" t="n">
        <x:v>15</x:v>
      </x:c>
      <x:c r="H833" s="56" t="str">
        <x:v>普通得分项</x:v>
      </x:c>
      <x:c r="I833" s="56" t="str">
        <x:v>否</x:v>
      </x:c>
      <x:c r="J833" s="56" t="str">
        <x:v>否</x:v>
      </x:c>
      <x:c r="K833" s="56" t="str">
        <x:v>否</x:v>
      </x:c>
      <x:c r="L833" s="56" t="str">
        <x:v>按结构化事件证据给予0/部分/满分；不能由总结反推已完成</x:v>
      </x:c>
      <x:c r="M833" s="56" t="str"/>
      <x:c r="N833" s="56" t="n">
        <x:f>SUMIFS($G$4:$G$1673,$A$4:$A$1673,A833)</x:f>
        <x:v>360</x:v>
      </x:c>
      <x:c r="O833" s="56" t="str">
        <x:f>IF(N833=360,"通过","失败")</x:f>
        <x:v>通过</x:v>
      </x:c>
      <x:c r="P833" s="56" t="str"/>
      <x:c r="Q833" s="59" t="str">
        <x:v>待确认</x:v>
      </x:c>
    </x:row>
    <x:row r="834">
      <x:c r="A834" s="56" t="str">
        <x:v>P021</x:v>
      </x:c>
      <x:c r="B834" s="56" t="str">
        <x:v>HX-ADD-009</x:v>
      </x:c>
      <x:c r="C834" s="56" t="str">
        <x:v>diagnosis</x:v>
      </x:c>
      <x:c r="D834" s="56" t="n">
        <x:v>45</x:v>
      </x:c>
      <x:c r="E834" s="56" t="str">
        <x:v>diagnosis.differentials</x:v>
      </x:c>
      <x:c r="F834" s="56" t="str">
        <x:v>至少3项鉴别及支持/反对点</x:v>
      </x:c>
      <x:c r="G834" s="56" t="n">
        <x:v>15</x:v>
      </x:c>
      <x:c r="H834" s="56" t="str">
        <x:v>普通得分项</x:v>
      </x:c>
      <x:c r="I834" s="56" t="str">
        <x:v>否</x:v>
      </x:c>
      <x:c r="J834" s="56" t="str">
        <x:v>否</x:v>
      </x:c>
      <x:c r="K834" s="56" t="str">
        <x:v>否</x:v>
      </x:c>
      <x:c r="L834" s="56" t="str">
        <x:v>按结构化事件证据给予0/部分/满分；不能由总结反推已完成</x:v>
      </x:c>
      <x:c r="M834" s="56" t="str"/>
      <x:c r="N834" s="56" t="n">
        <x:f>SUMIFS($G$4:$G$1673,$A$4:$A$1673,A834)</x:f>
        <x:v>360</x:v>
      </x:c>
      <x:c r="O834" s="56" t="str">
        <x:f>IF(N834=360,"通过","失败")</x:f>
        <x:v>通过</x:v>
      </x:c>
      <x:c r="P834" s="56" t="str"/>
      <x:c r="Q834" s="59" t="str">
        <x:v>待确认</x:v>
      </x:c>
    </x:row>
    <x:row r="835">
      <x:c r="A835" s="56" t="str">
        <x:v>P021</x:v>
      </x:c>
      <x:c r="B835" s="56" t="str">
        <x:v>HX-ADD-009</x:v>
      </x:c>
      <x:c r="C835" s="56" t="str">
        <x:v>diagnosis</x:v>
      </x:c>
      <x:c r="D835" s="56" t="n">
        <x:v>45</x:v>
      </x:c>
      <x:c r="E835" s="56" t="str">
        <x:v>diagnosis.confirmation</x:v>
      </x:c>
      <x:c r="F835" s="56" t="str">
        <x:v>确认计划</x:v>
      </x:c>
      <x:c r="G835" s="56" t="n">
        <x:v>15</x:v>
      </x:c>
      <x:c r="H835" s="56" t="str">
        <x:v>普通得分项</x:v>
      </x:c>
      <x:c r="I835" s="56" t="str">
        <x:v>否</x:v>
      </x:c>
      <x:c r="J835" s="56" t="str">
        <x:v>否</x:v>
      </x:c>
      <x:c r="K835" s="56" t="str">
        <x:v>否</x:v>
      </x:c>
      <x:c r="L835" s="56" t="str">
        <x:v>按结构化事件证据给予0/部分/满分；不能由总结反推已完成</x:v>
      </x:c>
      <x:c r="M835" s="56" t="str"/>
      <x:c r="N835" s="56" t="n">
        <x:f>SUMIFS($G$4:$G$1673,$A$4:$A$1673,A835)</x:f>
        <x:v>360</x:v>
      </x:c>
      <x:c r="O835" s="56" t="str">
        <x:f>IF(N835=360,"通过","失败")</x:f>
        <x:v>通过</x:v>
      </x:c>
      <x:c r="P835" s="56" t="str"/>
      <x:c r="Q835" s="59" t="str">
        <x:v>待确认</x:v>
      </x:c>
    </x:row>
    <x:row r="836">
      <x:c r="A836" s="56" t="str">
        <x:v>P021</x:v>
      </x:c>
      <x:c r="B836" s="56" t="str">
        <x:v>HX-ADD-009</x:v>
      </x:c>
      <x:c r="C836" s="56" t="str">
        <x:v>orders</x:v>
      </x:c>
      <x:c r="D836" s="56" t="n">
        <x:v>55</x:v>
      </x:c>
      <x:c r="E836" s="56" t="str">
        <x:v>orders.LAB-UR-001</x:v>
      </x:c>
      <x:c r="F836" s="56" t="str">
        <x:v>LAB-UR-001</x:v>
      </x:c>
      <x:c r="G836" s="56" t="n">
        <x:v>10</x:v>
      </x:c>
      <x:c r="H836" s="56" t="str">
        <x:v>病例特异得分项</x:v>
      </x:c>
      <x:c r="I836" s="56" t="str">
        <x:v>否</x:v>
      </x:c>
      <x:c r="J836" s="56" t="str">
        <x:v>否</x:v>
      </x:c>
      <x:c r="K836" s="56" t="str">
        <x:v>否</x:v>
      </x:c>
      <x:c r="L836" s="56" t="str">
        <x:v>按结构化事件证据给予0/部分/满分；不能由总结反推已完成</x:v>
      </x:c>
      <x:c r="M836" s="56" t="str"/>
      <x:c r="N836" s="56" t="n">
        <x:f>SUMIFS($G$4:$G$1673,$A$4:$A$1673,A836)</x:f>
        <x:v>360</x:v>
      </x:c>
      <x:c r="O836" s="56" t="str">
        <x:f>IF(N836=360,"通过","失败")</x:f>
        <x:v>通过</x:v>
      </x:c>
      <x:c r="P836" s="56" t="str"/>
      <x:c r="Q836" s="59" t="str">
        <x:v>待确认</x:v>
      </x:c>
    </x:row>
    <x:row r="837">
      <x:c r="A837" s="56" t="str">
        <x:v>P021</x:v>
      </x:c>
      <x:c r="B837" s="56" t="str">
        <x:v>HX-ADD-009</x:v>
      </x:c>
      <x:c r="C837" s="56" t="str">
        <x:v>orders</x:v>
      </x:c>
      <x:c r="D837" s="56" t="n">
        <x:v>55</x:v>
      </x:c>
      <x:c r="E837" s="56" t="str">
        <x:v>orders.LAB-UR-002</x:v>
      </x:c>
      <x:c r="F837" s="56" t="str">
        <x:v>LAB-UR-002</x:v>
      </x:c>
      <x:c r="G837" s="56" t="n">
        <x:v>9</x:v>
      </x:c>
      <x:c r="H837" s="56" t="str">
        <x:v>病例特异得分项</x:v>
      </x:c>
      <x:c r="I837" s="56" t="str">
        <x:v>否</x:v>
      </x:c>
      <x:c r="J837" s="56" t="str">
        <x:v>否</x:v>
      </x:c>
      <x:c r="K837" s="56" t="str">
        <x:v>否</x:v>
      </x:c>
      <x:c r="L837" s="56" t="str">
        <x:v>按结构化事件证据给予0/部分/满分；不能由总结反推已完成</x:v>
      </x:c>
      <x:c r="M837" s="56" t="str"/>
      <x:c r="N837" s="56" t="n">
        <x:f>SUMIFS($G$4:$G$1673,$A$4:$A$1673,A837)</x:f>
        <x:v>360</x:v>
      </x:c>
      <x:c r="O837" s="56" t="str">
        <x:f>IF(N837=360,"通过","失败")</x:f>
        <x:v>通过</x:v>
      </x:c>
      <x:c r="P837" s="56" t="str"/>
      <x:c r="Q837" s="59" t="str">
        <x:v>待确认</x:v>
      </x:c>
    </x:row>
    <x:row r="838">
      <x:c r="A838" s="56" t="str">
        <x:v>P021</x:v>
      </x:c>
      <x:c r="B838" s="56" t="str">
        <x:v>HX-ADD-009</x:v>
      </x:c>
      <x:c r="C838" s="56" t="str">
        <x:v>orders</x:v>
      </x:c>
      <x:c r="D838" s="56" t="n">
        <x:v>55</x:v>
      </x:c>
      <x:c r="E838" s="56" t="str">
        <x:v>orders.LAB-UR-008</x:v>
      </x:c>
      <x:c r="F838" s="56" t="str">
        <x:v>LAB-UR-008</x:v>
      </x:c>
      <x:c r="G838" s="56" t="n">
        <x:v>9</x:v>
      </x:c>
      <x:c r="H838" s="56" t="str">
        <x:v>病例特异得分项</x:v>
      </x:c>
      <x:c r="I838" s="56" t="str">
        <x:v>否</x:v>
      </x:c>
      <x:c r="J838" s="56" t="str">
        <x:v>否</x:v>
      </x:c>
      <x:c r="K838" s="56" t="str">
        <x:v>否</x:v>
      </x:c>
      <x:c r="L838" s="56" t="str">
        <x:v>按结构化事件证据给予0/部分/满分；不能由总结反推已完成</x:v>
      </x:c>
      <x:c r="M838" s="56" t="str"/>
      <x:c r="N838" s="56" t="n">
        <x:f>SUMIFS($G$4:$G$1673,$A$4:$A$1673,A838)</x:f>
        <x:v>360</x:v>
      </x:c>
      <x:c r="O838" s="56" t="str">
        <x:f>IF(N838=360,"通过","失败")</x:f>
        <x:v>通过</x:v>
      </x:c>
      <x:c r="P838" s="56" t="str"/>
      <x:c r="Q838" s="59" t="str">
        <x:v>待确认</x:v>
      </x:c>
    </x:row>
    <x:row r="839">
      <x:c r="A839" s="56" t="str">
        <x:v>P021</x:v>
      </x:c>
      <x:c r="B839" s="56" t="str">
        <x:v>HX-ADD-009</x:v>
      </x:c>
      <x:c r="C839" s="56" t="str">
        <x:v>orders</x:v>
      </x:c>
      <x:c r="D839" s="56" t="n">
        <x:v>55</x:v>
      </x:c>
      <x:c r="E839" s="56" t="str">
        <x:v>orders.LAB-BL-001</x:v>
      </x:c>
      <x:c r="F839" s="56" t="str">
        <x:v>LAB-BL-001</x:v>
      </x:c>
      <x:c r="G839" s="56" t="n">
        <x:v>9</x:v>
      </x:c>
      <x:c r="H839" s="56" t="str">
        <x:v>病例特异得分项</x:v>
      </x:c>
      <x:c r="I839" s="56" t="str">
        <x:v>否</x:v>
      </x:c>
      <x:c r="J839" s="56" t="str">
        <x:v>否</x:v>
      </x:c>
      <x:c r="K839" s="56" t="str">
        <x:v>否</x:v>
      </x:c>
      <x:c r="L839" s="56" t="str">
        <x:v>按结构化事件证据给予0/部分/满分；不能由总结反推已完成</x:v>
      </x:c>
      <x:c r="M839" s="56" t="str"/>
      <x:c r="N839" s="56" t="n">
        <x:f>SUMIFS($G$4:$G$1673,$A$4:$A$1673,A839)</x:f>
        <x:v>360</x:v>
      </x:c>
      <x:c r="O839" s="56" t="str">
        <x:f>IF(N839=360,"通过","失败")</x:f>
        <x:v>通过</x:v>
      </x:c>
      <x:c r="P839" s="56" t="str"/>
      <x:c r="Q839" s="59" t="str">
        <x:v>待确认</x:v>
      </x:c>
    </x:row>
    <x:row r="840">
      <x:c r="A840" s="56" t="str">
        <x:v>P021</x:v>
      </x:c>
      <x:c r="B840" s="56" t="str">
        <x:v>HX-ADD-009</x:v>
      </x:c>
      <x:c r="C840" s="56" t="str">
        <x:v>orders</x:v>
      </x:c>
      <x:c r="D840" s="56" t="n">
        <x:v>55</x:v>
      </x:c>
      <x:c r="E840" s="56" t="str">
        <x:v>orders.LAB-BL-002</x:v>
      </x:c>
      <x:c r="F840" s="56" t="str">
        <x:v>LAB-BL-002</x:v>
      </x:c>
      <x:c r="G840" s="56" t="n">
        <x:v>9</x:v>
      </x:c>
      <x:c r="H840" s="56" t="str">
        <x:v>病例特异得分项</x:v>
      </x:c>
      <x:c r="I840" s="56" t="str">
        <x:v>否</x:v>
      </x:c>
      <x:c r="J840" s="56" t="str">
        <x:v>否</x:v>
      </x:c>
      <x:c r="K840" s="56" t="str">
        <x:v>否</x:v>
      </x:c>
      <x:c r="L840" s="56" t="str">
        <x:v>按结构化事件证据给予0/部分/满分；不能由总结反推已完成</x:v>
      </x:c>
      <x:c r="M840" s="56" t="str"/>
      <x:c r="N840" s="56" t="n">
        <x:f>SUMIFS($G$4:$G$1673,$A$4:$A$1673,A840)</x:f>
        <x:v>360</x:v>
      </x:c>
      <x:c r="O840" s="56" t="str">
        <x:f>IF(N840=360,"通过","失败")</x:f>
        <x:v>通过</x:v>
      </x:c>
      <x:c r="P840" s="56" t="str"/>
      <x:c r="Q840" s="59" t="str">
        <x:v>待确认</x:v>
      </x:c>
    </x:row>
    <x:row r="841">
      <x:c r="A841" s="56" t="str">
        <x:v>P021</x:v>
      </x:c>
      <x:c r="B841" s="56" t="str">
        <x:v>HX-ADD-009</x:v>
      </x:c>
      <x:c r="C841" s="56" t="str">
        <x:v>orders</x:v>
      </x:c>
      <x:c r="D841" s="56" t="n">
        <x:v>55</x:v>
      </x:c>
      <x:c r="E841" s="56" t="str">
        <x:v>orders.LAB-BL-003</x:v>
      </x:c>
      <x:c r="F841" s="56" t="str">
        <x:v>LAB-BL-003</x:v>
      </x:c>
      <x:c r="G841" s="56" t="n">
        <x:v>9</x:v>
      </x:c>
      <x:c r="H841" s="56" t="str">
        <x:v>病例特异得分项</x:v>
      </x:c>
      <x:c r="I841" s="56" t="str">
        <x:v>否</x:v>
      </x:c>
      <x:c r="J841" s="56" t="str">
        <x:v>否</x:v>
      </x:c>
      <x:c r="K841" s="56" t="str">
        <x:v>否</x:v>
      </x:c>
      <x:c r="L841" s="56" t="str">
        <x:v>按结构化事件证据给予0/部分/满分；不能由总结反推已完成</x:v>
      </x:c>
      <x:c r="M841" s="56" t="str"/>
      <x:c r="N841" s="56" t="n">
        <x:f>SUMIFS($G$4:$G$1673,$A$4:$A$1673,A841)</x:f>
        <x:v>360</x:v>
      </x:c>
      <x:c r="O841" s="56" t="str">
        <x:f>IF(N841=360,"通过","失败")</x:f>
        <x:v>通过</x:v>
      </x:c>
      <x:c r="P841" s="56" t="str"/>
      <x:c r="Q841" s="59" t="str">
        <x:v>待确认</x:v>
      </x:c>
    </x:row>
    <x:row r="842">
      <x:c r="A842" s="56" t="str">
        <x:v>P021</x:v>
      </x:c>
      <x:c r="B842" s="56" t="str">
        <x:v>HX-ADD-009</x:v>
      </x:c>
      <x:c r="C842" s="56" t="str">
        <x:v>mdt</x:v>
      </x:c>
      <x:c r="D842" s="56" t="n">
        <x:v>45</x:v>
      </x:c>
      <x:c r="E842" s="56" t="str">
        <x:v>mdt.department</x:v>
      </x:c>
      <x:c r="F842" s="56" t="str">
        <x:v>department</x:v>
      </x:c>
      <x:c r="G842" s="56" t="n">
        <x:v>12</x:v>
      </x:c>
      <x:c r="H842" s="56" t="str">
        <x:v>病例特异得分项</x:v>
      </x:c>
      <x:c r="I842" s="56" t="str">
        <x:v>否</x:v>
      </x:c>
      <x:c r="J842" s="56" t="str">
        <x:v>否</x:v>
      </x:c>
      <x:c r="K842" s="56" t="str">
        <x:v>否</x:v>
      </x:c>
      <x:c r="L842" s="56" t="str">
        <x:v>按结构化事件证据给予0/部分/满分；不能由总结反推已完成</x:v>
      </x:c>
      <x:c r="M842" s="56" t="str"/>
      <x:c r="N842" s="56" t="n">
        <x:f>SUMIFS($G$4:$G$1673,$A$4:$A$1673,A842)</x:f>
        <x:v>360</x:v>
      </x:c>
      <x:c r="O842" s="56" t="str">
        <x:f>IF(N842=360,"通过","失败")</x:f>
        <x:v>通过</x:v>
      </x:c>
      <x:c r="P842" s="56" t="str"/>
      <x:c r="Q842" s="59" t="str">
        <x:v>待确认</x:v>
      </x:c>
    </x:row>
    <x:row r="843">
      <x:c r="A843" s="56" t="str">
        <x:v>P021</x:v>
      </x:c>
      <x:c r="B843" s="56" t="str">
        <x:v>HX-ADD-009</x:v>
      </x:c>
      <x:c r="C843" s="56" t="str">
        <x:v>mdt</x:v>
      </x:c>
      <x:c r="D843" s="56" t="n">
        <x:v>45</x:v>
      </x:c>
      <x:c r="E843" s="56" t="str">
        <x:v>mdt.trigger</x:v>
      </x:c>
      <x:c r="F843" s="56" t="str">
        <x:v>trigger</x:v>
      </x:c>
      <x:c r="G843" s="56" t="n">
        <x:v>11</x:v>
      </x:c>
      <x:c r="H843" s="56" t="str">
        <x:v>病例特异得分项</x:v>
      </x:c>
      <x:c r="I843" s="56" t="str">
        <x:v>否</x:v>
      </x:c>
      <x:c r="J843" s="56" t="str">
        <x:v>否</x:v>
      </x:c>
      <x:c r="K843" s="56" t="str">
        <x:v>否</x:v>
      </x:c>
      <x:c r="L843" s="56" t="str">
        <x:v>按结构化事件证据给予0/部分/满分；不能由总结反推已完成</x:v>
      </x:c>
      <x:c r="M843" s="56" t="str"/>
      <x:c r="N843" s="56" t="n">
        <x:f>SUMIFS($G$4:$G$1673,$A$4:$A$1673,A843)</x:f>
        <x:v>360</x:v>
      </x:c>
      <x:c r="O843" s="56" t="str">
        <x:f>IF(N843=360,"通过","失败")</x:f>
        <x:v>通过</x:v>
      </x:c>
      <x:c r="P843" s="56" t="str"/>
      <x:c r="Q843" s="59" t="str">
        <x:v>待确认</x:v>
      </x:c>
    </x:row>
    <x:row r="844">
      <x:c r="A844" s="56" t="str">
        <x:v>P021</x:v>
      </x:c>
      <x:c r="B844" s="56" t="str">
        <x:v>HX-ADD-009</x:v>
      </x:c>
      <x:c r="C844" s="56" t="str">
        <x:v>mdt</x:v>
      </x:c>
      <x:c r="D844" s="56" t="n">
        <x:v>45</x:v>
      </x:c>
      <x:c r="E844" s="56" t="str">
        <x:v>mdt.question</x:v>
      </x:c>
      <x:c r="F844" s="56" t="str">
        <x:v>question</x:v>
      </x:c>
      <x:c r="G844" s="56" t="n">
        <x:v>11</x:v>
      </x:c>
      <x:c r="H844" s="56" t="str">
        <x:v>病例特异得分项</x:v>
      </x:c>
      <x:c r="I844" s="56" t="str">
        <x:v>否</x:v>
      </x:c>
      <x:c r="J844" s="56" t="str">
        <x:v>否</x:v>
      </x:c>
      <x:c r="K844" s="56" t="str">
        <x:v>否</x:v>
      </x:c>
      <x:c r="L844" s="56" t="str">
        <x:v>按结构化事件证据给予0/部分/满分；不能由总结反推已完成</x:v>
      </x:c>
      <x:c r="M844" s="56" t="str"/>
      <x:c r="N844" s="56" t="n">
        <x:f>SUMIFS($G$4:$G$1673,$A$4:$A$1673,A844)</x:f>
        <x:v>360</x:v>
      </x:c>
      <x:c r="O844" s="56" t="str">
        <x:f>IF(N844=360,"通过","失败")</x:f>
        <x:v>通过</x:v>
      </x:c>
      <x:c r="P844" s="56" t="str"/>
      <x:c r="Q844" s="59" t="str">
        <x:v>待确认</x:v>
      </x:c>
    </x:row>
    <x:row r="845">
      <x:c r="A845" s="56" t="str">
        <x:v>P021</x:v>
      </x:c>
      <x:c r="B845" s="56" t="str">
        <x:v>HX-ADD-009</x:v>
      </x:c>
      <x:c r="C845" s="56" t="str">
        <x:v>mdt</x:v>
      </x:c>
      <x:c r="D845" s="56" t="n">
        <x:v>45</x:v>
      </x:c>
      <x:c r="E845" s="56" t="str">
        <x:v>mdt.evidence</x:v>
      </x:c>
      <x:c r="F845" s="56" t="str">
        <x:v>evidence</x:v>
      </x:c>
      <x:c r="G845" s="56" t="n">
        <x:v>11</x:v>
      </x:c>
      <x:c r="H845" s="56" t="str">
        <x:v>病例特异得分项</x:v>
      </x:c>
      <x:c r="I845" s="56" t="str">
        <x:v>否</x:v>
      </x:c>
      <x:c r="J845" s="56" t="str">
        <x:v>否</x:v>
      </x:c>
      <x:c r="K845" s="56" t="str">
        <x:v>否</x:v>
      </x:c>
      <x:c r="L845" s="56" t="str">
        <x:v>按结构化事件证据给予0/部分/满分；不能由总结反推已完成</x:v>
      </x:c>
      <x:c r="M845" s="56" t="str"/>
      <x:c r="N845" s="56" t="n">
        <x:f>SUMIFS($G$4:$G$1673,$A$4:$A$1673,A845)</x:f>
        <x:v>360</x:v>
      </x:c>
      <x:c r="O845" s="56" t="str">
        <x:f>IF(N845=360,"通过","失败")</x:f>
        <x:v>通过</x:v>
      </x:c>
      <x:c r="P845" s="56" t="str"/>
      <x:c r="Q845" s="59" t="str">
        <x:v>待确认</x:v>
      </x:c>
    </x:row>
    <x:row r="846">
      <x:c r="A846" s="56" t="str">
        <x:v>P021</x:v>
      </x:c>
      <x:c r="B846" s="56" t="str">
        <x:v>HX-ADD-009</x:v>
      </x:c>
      <x:c r="C846" s="56" t="str">
        <x:v>treatment</x:v>
      </x:c>
      <x:c r="D846" s="56" t="n">
        <x:v>50</x:v>
      </x:c>
      <x:c r="E846" s="56" t="str">
        <x:v>treatment.immediate</x:v>
      </x:c>
      <x:c r="F846" s="56" t="str">
        <x:v>immediate</x:v>
      </x:c>
      <x:c r="G846" s="56" t="n">
        <x:v>13</x:v>
      </x:c>
      <x:c r="H846" s="56" t="str">
        <x:v>病例特异得分项</x:v>
      </x:c>
      <x:c r="I846" s="56" t="str">
        <x:v>否</x:v>
      </x:c>
      <x:c r="J846" s="56" t="str">
        <x:v>否</x:v>
      </x:c>
      <x:c r="K846" s="56" t="str">
        <x:v>否</x:v>
      </x:c>
      <x:c r="L846" s="56" t="str">
        <x:v>按结构化事件证据给予0/部分/满分；不能由总结反推已完成</x:v>
      </x:c>
      <x:c r="M846" s="56" t="str"/>
      <x:c r="N846" s="56" t="n">
        <x:f>SUMIFS($G$4:$G$1673,$A$4:$A$1673,A846)</x:f>
        <x:v>360</x:v>
      </x:c>
      <x:c r="O846" s="56" t="str">
        <x:f>IF(N846=360,"通过","失败")</x:f>
        <x:v>通过</x:v>
      </x:c>
      <x:c r="P846" s="56" t="str"/>
      <x:c r="Q846" s="59" t="str">
        <x:v>待确认</x:v>
      </x:c>
    </x:row>
    <x:row r="847">
      <x:c r="A847" s="56" t="str">
        <x:v>P021</x:v>
      </x:c>
      <x:c r="B847" s="56" t="str">
        <x:v>HX-ADD-009</x:v>
      </x:c>
      <x:c r="C847" s="56" t="str">
        <x:v>treatment</x:v>
      </x:c>
      <x:c r="D847" s="56" t="n">
        <x:v>50</x:v>
      </x:c>
      <x:c r="E847" s="56" t="str">
        <x:v>treatment.etiologic</x:v>
      </x:c>
      <x:c r="F847" s="56" t="str">
        <x:v>etiologic</x:v>
      </x:c>
      <x:c r="G847" s="56" t="n">
        <x:v>13</x:v>
      </x:c>
      <x:c r="H847" s="56" t="str">
        <x:v>病例特异得分项</x:v>
      </x:c>
      <x:c r="I847" s="56" t="str">
        <x:v>否</x:v>
      </x:c>
      <x:c r="J847" s="56" t="str">
        <x:v>否</x:v>
      </x:c>
      <x:c r="K847" s="56" t="str">
        <x:v>否</x:v>
      </x:c>
      <x:c r="L847" s="56" t="str">
        <x:v>按结构化事件证据给予0/部分/满分；不能由总结反推已完成</x:v>
      </x:c>
      <x:c r="M847" s="56" t="str"/>
      <x:c r="N847" s="56" t="n">
        <x:f>SUMIFS($G$4:$G$1673,$A$4:$A$1673,A847)</x:f>
        <x:v>360</x:v>
      </x:c>
      <x:c r="O847" s="56" t="str">
        <x:f>IF(N847=360,"通过","失败")</x:f>
        <x:v>通过</x:v>
      </x:c>
      <x:c r="P847" s="56" t="str"/>
      <x:c r="Q847" s="59" t="str">
        <x:v>待确认</x:v>
      </x:c>
    </x:row>
    <x:row r="848">
      <x:c r="A848" s="56" t="str">
        <x:v>P021</x:v>
      </x:c>
      <x:c r="B848" s="56" t="str">
        <x:v>HX-ADD-009</x:v>
      </x:c>
      <x:c r="C848" s="56" t="str">
        <x:v>treatment</x:v>
      </x:c>
      <x:c r="D848" s="56" t="n">
        <x:v>50</x:v>
      </x:c>
      <x:c r="E848" s="56" t="str">
        <x:v>treatment.definitive</x:v>
      </x:c>
      <x:c r="F848" s="56" t="str">
        <x:v>definitive</x:v>
      </x:c>
      <x:c r="G848" s="56" t="n">
        <x:v>12</x:v>
      </x:c>
      <x:c r="H848" s="56" t="str">
        <x:v>病例特异得分项</x:v>
      </x:c>
      <x:c r="I848" s="56" t="str">
        <x:v>否</x:v>
      </x:c>
      <x:c r="J848" s="56" t="str">
        <x:v>否</x:v>
      </x:c>
      <x:c r="K848" s="56" t="str">
        <x:v>否</x:v>
      </x:c>
      <x:c r="L848" s="56" t="str">
        <x:v>按结构化事件证据给予0/部分/满分；不能由总结反推已完成</x:v>
      </x:c>
      <x:c r="M848" s="56" t="str"/>
      <x:c r="N848" s="56" t="n">
        <x:f>SUMIFS($G$4:$G$1673,$A$4:$A$1673,A848)</x:f>
        <x:v>360</x:v>
      </x:c>
      <x:c r="O848" s="56" t="str">
        <x:f>IF(N848=360,"通过","失败")</x:f>
        <x:v>通过</x:v>
      </x:c>
      <x:c r="P848" s="56" t="str"/>
      <x:c r="Q848" s="59" t="str">
        <x:v>待确认</x:v>
      </x:c>
    </x:row>
    <x:row r="849">
      <x:c r="A849" s="56" t="str">
        <x:v>P021</x:v>
      </x:c>
      <x:c r="B849" s="56" t="str">
        <x:v>HX-ADD-009</x:v>
      </x:c>
      <x:c r="C849" s="56" t="str">
        <x:v>treatment</x:v>
      </x:c>
      <x:c r="D849" s="56" t="n">
        <x:v>50</x:v>
      </x:c>
      <x:c r="E849" s="56" t="str">
        <x:v>treatment.perioperative</x:v>
      </x:c>
      <x:c r="F849" s="56" t="str">
        <x:v>perioperative</x:v>
      </x:c>
      <x:c r="G849" s="56" t="n">
        <x:v>12</x:v>
      </x:c>
      <x:c r="H849" s="56" t="str">
        <x:v>病例特异得分项</x:v>
      </x:c>
      <x:c r="I849" s="56" t="str">
        <x:v>否</x:v>
      </x:c>
      <x:c r="J849" s="56" t="str">
        <x:v>否</x:v>
      </x:c>
      <x:c r="K849" s="56" t="str">
        <x:v>否</x:v>
      </x:c>
      <x:c r="L849" s="56" t="str">
        <x:v>按结构化事件证据给予0/部分/满分；不能由总结反推已完成</x:v>
      </x:c>
      <x:c r="M849" s="56" t="str"/>
      <x:c r="N849" s="56" t="n">
        <x:f>SUMIFS($G$4:$G$1673,$A$4:$A$1673,A849)</x:f>
        <x:v>360</x:v>
      </x:c>
      <x:c r="O849" s="56" t="str">
        <x:f>IF(N849=360,"通过","失败")</x:f>
        <x:v>通过</x:v>
      </x:c>
      <x:c r="P849" s="56" t="str"/>
      <x:c r="Q849" s="59" t="str">
        <x:v>待确认</x:v>
      </x:c>
    </x:row>
    <x:row r="850">
      <x:c r="A850" s="56" t="str">
        <x:v>P021</x:v>
      </x:c>
      <x:c r="B850" s="56" t="str">
        <x:v>HX-ADD-009</x:v>
      </x:c>
      <x:c r="C850" s="56" t="str">
        <x:v>followup</x:v>
      </x:c>
      <x:c r="D850" s="56" t="n">
        <x:v>40</x:v>
      </x:c>
      <x:c r="E850" s="56" t="str">
        <x:v>followup.plan</x:v>
      </x:c>
      <x:c r="F850" s="56" t="str">
        <x:v>随访复查</x:v>
      </x:c>
      <x:c r="G850" s="56" t="n">
        <x:v>10</x:v>
      </x:c>
      <x:c r="H850" s="56" t="str">
        <x:v>普通得分项</x:v>
      </x:c>
      <x:c r="I850" s="56" t="str">
        <x:v>否</x:v>
      </x:c>
      <x:c r="J850" s="56" t="str">
        <x:v>否</x:v>
      </x:c>
      <x:c r="K850" s="56" t="str">
        <x:v>否</x:v>
      </x:c>
      <x:c r="L850" s="56" t="str">
        <x:v>按结构化事件证据给予0/部分/满分；不能由总结反推已完成</x:v>
      </x:c>
      <x:c r="M850" s="56" t="str"/>
      <x:c r="N850" s="56" t="n">
        <x:f>SUMIFS($G$4:$G$1673,$A$4:$A$1673,A850)</x:f>
        <x:v>360</x:v>
      </x:c>
      <x:c r="O850" s="56" t="str">
        <x:f>IF(N850=360,"通过","失败")</x:f>
        <x:v>通过</x:v>
      </x:c>
      <x:c r="P850" s="56" t="str"/>
      <x:c r="Q850" s="59" t="str">
        <x:v>待确认</x:v>
      </x:c>
    </x:row>
    <x:row r="851">
      <x:c r="A851" s="56" t="str">
        <x:v>P021</x:v>
      </x:c>
      <x:c r="B851" s="56" t="str">
        <x:v>HX-ADD-009</x:v>
      </x:c>
      <x:c r="C851" s="56" t="str">
        <x:v>followup</x:v>
      </x:c>
      <x:c r="D851" s="56" t="n">
        <x:v>40</x:v>
      </x:c>
      <x:c r="E851" s="56" t="str">
        <x:v>followup.education</x:v>
      </x:c>
      <x:c r="F851" s="56" t="str">
        <x:v>患者教育</x:v>
      </x:c>
      <x:c r="G851" s="56" t="n">
        <x:v>10</x:v>
      </x:c>
      <x:c r="H851" s="56" t="str">
        <x:v>普通得分项</x:v>
      </x:c>
      <x:c r="I851" s="56" t="str">
        <x:v>否</x:v>
      </x:c>
      <x:c r="J851" s="56" t="str">
        <x:v>否</x:v>
      </x:c>
      <x:c r="K851" s="56" t="str">
        <x:v>否</x:v>
      </x:c>
      <x:c r="L851" s="56" t="str">
        <x:v>按结构化事件证据给予0/部分/满分；不能由总结反推已完成</x:v>
      </x:c>
      <x:c r="M851" s="56" t="str"/>
      <x:c r="N851" s="56" t="n">
        <x:f>SUMIFS($G$4:$G$1673,$A$4:$A$1673,A851)</x:f>
        <x:v>360</x:v>
      </x:c>
      <x:c r="O851" s="56" t="str">
        <x:f>IF(N851=360,"通过","失败")</x:f>
        <x:v>通过</x:v>
      </x:c>
      <x:c r="P851" s="56" t="str"/>
      <x:c r="Q851" s="59" t="str">
        <x:v>待确认</x:v>
      </x:c>
    </x:row>
    <x:row r="852">
      <x:c r="A852" s="56" t="str">
        <x:v>P021</x:v>
      </x:c>
      <x:c r="B852" s="56" t="str">
        <x:v>HX-ADD-009</x:v>
      </x:c>
      <x:c r="C852" s="56" t="str">
        <x:v>followup</x:v>
      </x:c>
      <x:c r="D852" s="56" t="n">
        <x:v>40</x:v>
      </x:c>
      <x:c r="E852" s="56" t="str">
        <x:v>followup.reflection</x:v>
      </x:c>
      <x:c r="F852" s="56" t="str">
        <x:v>学习反思质量</x:v>
      </x:c>
      <x:c r="G852" s="56" t="n">
        <x:v>10</x:v>
      </x:c>
      <x:c r="H852" s="56" t="str">
        <x:v>普通得分项</x:v>
      </x:c>
      <x:c r="I852" s="56" t="str">
        <x:v>否</x:v>
      </x:c>
      <x:c r="J852" s="56" t="str">
        <x:v>否</x:v>
      </x:c>
      <x:c r="K852" s="56" t="str">
        <x:v>否</x:v>
      </x:c>
      <x:c r="L852" s="56" t="str">
        <x:v>按结构化事件证据给予0/部分/满分；不能由总结反推已完成</x:v>
      </x:c>
      <x:c r="M852" s="56" t="str"/>
      <x:c r="N852" s="56" t="n">
        <x:f>SUMIFS($G$4:$G$1673,$A$4:$A$1673,A852)</x:f>
        <x:v>360</x:v>
      </x:c>
      <x:c r="O852" s="56" t="str">
        <x:f>IF(N852=360,"通过","失败")</x:f>
        <x:v>通过</x:v>
      </x:c>
      <x:c r="P852" s="56" t="str"/>
      <x:c r="Q852" s="59" t="str">
        <x:v>待确认</x:v>
      </x:c>
    </x:row>
    <x:row r="853">
      <x:c r="A853" s="56" t="str">
        <x:v>P021</x:v>
      </x:c>
      <x:c r="B853" s="56" t="str">
        <x:v>HX-ADD-009</x:v>
      </x:c>
      <x:c r="C853" s="56" t="str">
        <x:v>followup</x:v>
      </x:c>
      <x:c r="D853" s="56" t="n">
        <x:v>40</x:v>
      </x:c>
      <x:c r="E853" s="56" t="str">
        <x:v>followup.efficiency</x:v>
      </x:c>
      <x:c r="F853" s="56" t="str">
        <x:v>操作效率</x:v>
      </x:c>
      <x:c r="G853" s="56" t="n">
        <x:v>10</x:v>
      </x:c>
      <x:c r="H853" s="56" t="str">
        <x:v>普通得分项</x:v>
      </x:c>
      <x:c r="I853" s="56" t="str">
        <x:v>否</x:v>
      </x:c>
      <x:c r="J853" s="56" t="str">
        <x:v>否</x:v>
      </x:c>
      <x:c r="K853" s="56" t="str">
        <x:v>否</x:v>
      </x:c>
      <x:c r="L853" s="56" t="str">
        <x:v>按结构化事件证据给予0/部分/满分；不能由总结反推已完成</x:v>
      </x:c>
      <x:c r="M853" s="56" t="str"/>
      <x:c r="N853" s="56" t="n">
        <x:f>SUMIFS($G$4:$G$1673,$A$4:$A$1673,A853)</x:f>
        <x:v>360</x:v>
      </x:c>
      <x:c r="O853" s="56" t="str">
        <x:f>IF(N853=360,"通过","失败")</x:f>
        <x:v>通过</x:v>
      </x:c>
      <x:c r="P853" s="56" t="str"/>
      <x:c r="Q853" s="59" t="str">
        <x:v>待确认</x:v>
      </x:c>
    </x:row>
    <x:row r="854">
      <x:c r="A854" s="56" t="str">
        <x:v>P022</x:v>
      </x:c>
      <x:c r="B854" s="56" t="str">
        <x:v>HX-ADD-010</x:v>
      </x:c>
      <x:c r="C854" s="56" t="str">
        <x:v>history</x:v>
      </x:c>
      <x:c r="D854" s="56" t="n">
        <x:v>50</x:v>
      </x:c>
      <x:c r="E854" s="56" t="str">
        <x:v>history.hematuria_visibility</x:v>
      </x:c>
      <x:c r="F854" s="56" t="str">
        <x:v>hematuria_visibility</x:v>
      </x:c>
      <x:c r="G854" s="56" t="n">
        <x:v>5</x:v>
      </x:c>
      <x:c r="H854" s="56" t="str">
        <x:v>普通得分项</x:v>
      </x:c>
      <x:c r="I854" s="56" t="str">
        <x:v>否</x:v>
      </x:c>
      <x:c r="J854" s="56" t="str">
        <x:v>否</x:v>
      </x:c>
      <x:c r="K854" s="56" t="str">
        <x:v>否</x:v>
      </x:c>
      <x:c r="L854" s="56" t="str">
        <x:v>按结构化事件证据给予0/部分/满分；不能由总结反推已完成</x:v>
      </x:c>
      <x:c r="M854" s="56" t="str"/>
      <x:c r="N854" s="56" t="n">
        <x:f>SUMIFS($G$4:$G$1673,$A$4:$A$1673,A854)</x:f>
        <x:v>360</x:v>
      </x:c>
      <x:c r="O854" s="56" t="str">
        <x:f>IF(N854=360,"通过","失败")</x:f>
        <x:v>通过</x:v>
      </x:c>
      <x:c r="P854" s="56" t="str"/>
      <x:c r="Q854" s="59" t="str">
        <x:v>待确认</x:v>
      </x:c>
    </x:row>
    <x:row r="855">
      <x:c r="A855" s="56" t="str">
        <x:v>P022</x:v>
      </x:c>
      <x:c r="B855" s="56" t="str">
        <x:v>HX-ADD-010</x:v>
      </x:c>
      <x:c r="C855" s="56" t="str">
        <x:v>history</x:v>
      </x:c>
      <x:c r="D855" s="56" t="n">
        <x:v>50</x:v>
      </x:c>
      <x:c r="E855" s="56" t="str">
        <x:v>history.hematuria_onset</x:v>
      </x:c>
      <x:c r="F855" s="56" t="str">
        <x:v>hematuria_onset</x:v>
      </x:c>
      <x:c r="G855" s="56" t="n">
        <x:v>5</x:v>
      </x:c>
      <x:c r="H855" s="56" t="str">
        <x:v>普通得分项</x:v>
      </x:c>
      <x:c r="I855" s="56" t="str">
        <x:v>否</x:v>
      </x:c>
      <x:c r="J855" s="56" t="str">
        <x:v>否</x:v>
      </x:c>
      <x:c r="K855" s="56" t="str">
        <x:v>否</x:v>
      </x:c>
      <x:c r="L855" s="56" t="str">
        <x:v>按结构化事件证据给予0/部分/满分；不能由总结反推已完成</x:v>
      </x:c>
      <x:c r="M855" s="56" t="str"/>
      <x:c r="N855" s="56" t="n">
        <x:f>SUMIFS($G$4:$G$1673,$A$4:$A$1673,A855)</x:f>
        <x:v>360</x:v>
      </x:c>
      <x:c r="O855" s="56" t="str">
        <x:f>IF(N855=360,"通过","失败")</x:f>
        <x:v>通过</x:v>
      </x:c>
      <x:c r="P855" s="56" t="str"/>
      <x:c r="Q855" s="59" t="str">
        <x:v>待确认</x:v>
      </x:c>
    </x:row>
    <x:row r="856">
      <x:c r="A856" s="56" t="str">
        <x:v>P022</x:v>
      </x:c>
      <x:c r="B856" s="56" t="str">
        <x:v>HX-ADD-010</x:v>
      </x:c>
      <x:c r="C856" s="56" t="str">
        <x:v>history</x:v>
      </x:c>
      <x:c r="D856" s="56" t="n">
        <x:v>50</x:v>
      </x:c>
      <x:c r="E856" s="56" t="str">
        <x:v>history.hematuria_frequency</x:v>
      </x:c>
      <x:c r="F856" s="56" t="str">
        <x:v>hematuria_frequency</x:v>
      </x:c>
      <x:c r="G856" s="56" t="n">
        <x:v>4</x:v>
      </x:c>
      <x:c r="H856" s="56" t="str">
        <x:v>普通得分项</x:v>
      </x:c>
      <x:c r="I856" s="56" t="str">
        <x:v>否</x:v>
      </x:c>
      <x:c r="J856" s="56" t="str">
        <x:v>否</x:v>
      </x:c>
      <x:c r="K856" s="56" t="str">
        <x:v>否</x:v>
      </x:c>
      <x:c r="L856" s="56" t="str">
        <x:v>按结构化事件证据给予0/部分/满分；不能由总结反推已完成</x:v>
      </x:c>
      <x:c r="M856" s="56" t="str"/>
      <x:c r="N856" s="56" t="n">
        <x:f>SUMIFS($G$4:$G$1673,$A$4:$A$1673,A856)</x:f>
        <x:v>360</x:v>
      </x:c>
      <x:c r="O856" s="56" t="str">
        <x:f>IF(N856=360,"通过","失败")</x:f>
        <x:v>通过</x:v>
      </x:c>
      <x:c r="P856" s="56" t="str"/>
      <x:c r="Q856" s="59" t="str">
        <x:v>待确认</x:v>
      </x:c>
    </x:row>
    <x:row r="857">
      <x:c r="A857" s="56" t="str">
        <x:v>P022</x:v>
      </x:c>
      <x:c r="B857" s="56" t="str">
        <x:v>HX-ADD-010</x:v>
      </x:c>
      <x:c r="C857" s="56" t="str">
        <x:v>history</x:v>
      </x:c>
      <x:c r="D857" s="56" t="n">
        <x:v>50</x:v>
      </x:c>
      <x:c r="E857" s="56" t="str">
        <x:v>history.hematuria_phase</x:v>
      </x:c>
      <x:c r="F857" s="56" t="str">
        <x:v>hematuria_phase</x:v>
      </x:c>
      <x:c r="G857" s="56" t="n">
        <x:v>4</x:v>
      </x:c>
      <x:c r="H857" s="56" t="str">
        <x:v>普通得分项</x:v>
      </x:c>
      <x:c r="I857" s="56" t="str">
        <x:v>否</x:v>
      </x:c>
      <x:c r="J857" s="56" t="str">
        <x:v>否</x:v>
      </x:c>
      <x:c r="K857" s="56" t="str">
        <x:v>否</x:v>
      </x:c>
      <x:c r="L857" s="56" t="str">
        <x:v>按结构化事件证据给予0/部分/满分；不能由总结反推已完成</x:v>
      </x:c>
      <x:c r="M857" s="56" t="str"/>
      <x:c r="N857" s="56" t="n">
        <x:f>SUMIFS($G$4:$G$1673,$A$4:$A$1673,A857)</x:f>
        <x:v>360</x:v>
      </x:c>
      <x:c r="O857" s="56" t="str">
        <x:f>IF(N857=360,"通过","失败")</x:f>
        <x:v>通过</x:v>
      </x:c>
      <x:c r="P857" s="56" t="str"/>
      <x:c r="Q857" s="59" t="str">
        <x:v>待确认</x:v>
      </x:c>
    </x:row>
    <x:row r="858">
      <x:c r="A858" s="56" t="str">
        <x:v>P022</x:v>
      </x:c>
      <x:c r="B858" s="56" t="str">
        <x:v>HX-ADD-010</x:v>
      </x:c>
      <x:c r="C858" s="56" t="str">
        <x:v>history</x:v>
      </x:c>
      <x:c r="D858" s="56" t="n">
        <x:v>50</x:v>
      </x:c>
      <x:c r="E858" s="56" t="str">
        <x:v>history.urine_color</x:v>
      </x:c>
      <x:c r="F858" s="56" t="str">
        <x:v>urine_color</x:v>
      </x:c>
      <x:c r="G858" s="56" t="n">
        <x:v>4</x:v>
      </x:c>
      <x:c r="H858" s="56" t="str">
        <x:v>普通得分项</x:v>
      </x:c>
      <x:c r="I858" s="56" t="str">
        <x:v>否</x:v>
      </x:c>
      <x:c r="J858" s="56" t="str">
        <x:v>否</x:v>
      </x:c>
      <x:c r="K858" s="56" t="str">
        <x:v>否</x:v>
      </x:c>
      <x:c r="L858" s="56" t="str">
        <x:v>按结构化事件证据给予0/部分/满分；不能由总结反推已完成</x:v>
      </x:c>
      <x:c r="M858" s="56" t="str"/>
      <x:c r="N858" s="56" t="n">
        <x:f>SUMIFS($G$4:$G$1673,$A$4:$A$1673,A858)</x:f>
        <x:v>360</x:v>
      </x:c>
      <x:c r="O858" s="56" t="str">
        <x:f>IF(N858=360,"通过","失败")</x:f>
        <x:v>通过</x:v>
      </x:c>
      <x:c r="P858" s="56" t="str"/>
      <x:c r="Q858" s="59" t="str">
        <x:v>待确认</x:v>
      </x:c>
    </x:row>
    <x:row r="859">
      <x:c r="A859" s="56" t="str">
        <x:v>P022</x:v>
      </x:c>
      <x:c r="B859" s="56" t="str">
        <x:v>HX-ADD-010</x:v>
      </x:c>
      <x:c r="C859" s="56" t="str">
        <x:v>history</x:v>
      </x:c>
      <x:c r="D859" s="56" t="n">
        <x:v>50</x:v>
      </x:c>
      <x:c r="E859" s="56" t="str">
        <x:v>history.clots</x:v>
      </x:c>
      <x:c r="F859" s="56" t="str">
        <x:v>clots</x:v>
      </x:c>
      <x:c r="G859" s="56" t="n">
        <x:v>4</x:v>
      </x:c>
      <x:c r="H859" s="56" t="str">
        <x:v>普通得分项</x:v>
      </x:c>
      <x:c r="I859" s="56" t="str">
        <x:v>否</x:v>
      </x:c>
      <x:c r="J859" s="56" t="str">
        <x:v>否</x:v>
      </x:c>
      <x:c r="K859" s="56" t="str">
        <x:v>否</x:v>
      </x:c>
      <x:c r="L859" s="56" t="str">
        <x:v>按结构化事件证据给予0/部分/满分；不能由总结反推已完成</x:v>
      </x:c>
      <x:c r="M859" s="56" t="str"/>
      <x:c r="N859" s="56" t="n">
        <x:f>SUMIFS($G$4:$G$1673,$A$4:$A$1673,A859)</x:f>
        <x:v>360</x:v>
      </x:c>
      <x:c r="O859" s="56" t="str">
        <x:f>IF(N859=360,"通过","失败")</x:f>
        <x:v>通过</x:v>
      </x:c>
      <x:c r="P859" s="56" t="str"/>
      <x:c r="Q859" s="59" t="str">
        <x:v>待确认</x:v>
      </x:c>
    </x:row>
    <x:row r="860">
      <x:c r="A860" s="56" t="str">
        <x:v>P022</x:v>
      </x:c>
      <x:c r="B860" s="56" t="str">
        <x:v>HX-ADD-010</x:v>
      </x:c>
      <x:c r="C860" s="56" t="str">
        <x:v>history</x:v>
      </x:c>
      <x:c r="D860" s="56" t="n">
        <x:v>50</x:v>
      </x:c>
      <x:c r="E860" s="56" t="str">
        <x:v>history.pain</x:v>
      </x:c>
      <x:c r="F860" s="56" t="str">
        <x:v>pain</x:v>
      </x:c>
      <x:c r="G860" s="56" t="n">
        <x:v>4</x:v>
      </x:c>
      <x:c r="H860" s="56" t="str">
        <x:v>普通得分项</x:v>
      </x:c>
      <x:c r="I860" s="56" t="str">
        <x:v>否</x:v>
      </x:c>
      <x:c r="J860" s="56" t="str">
        <x:v>否</x:v>
      </x:c>
      <x:c r="K860" s="56" t="str">
        <x:v>否</x:v>
      </x:c>
      <x:c r="L860" s="56" t="str">
        <x:v>按结构化事件证据给予0/部分/满分；不能由总结反推已完成</x:v>
      </x:c>
      <x:c r="M860" s="56" t="str"/>
      <x:c r="N860" s="56" t="n">
        <x:f>SUMIFS($G$4:$G$1673,$A$4:$A$1673,A860)</x:f>
        <x:v>360</x:v>
      </x:c>
      <x:c r="O860" s="56" t="str">
        <x:f>IF(N860=360,"通过","失败")</x:f>
        <x:v>通过</x:v>
      </x:c>
      <x:c r="P860" s="56" t="str"/>
      <x:c r="Q860" s="59" t="str">
        <x:v>待确认</x:v>
      </x:c>
    </x:row>
    <x:row r="861">
      <x:c r="A861" s="56" t="str">
        <x:v>P022</x:v>
      </x:c>
      <x:c r="B861" s="56" t="str">
        <x:v>HX-ADD-010</x:v>
      </x:c>
      <x:c r="C861" s="56" t="str">
        <x:v>history</x:v>
      </x:c>
      <x:c r="D861" s="56" t="n">
        <x:v>50</x:v>
      </x:c>
      <x:c r="E861" s="56" t="str">
        <x:v>history.dysuria</x:v>
      </x:c>
      <x:c r="F861" s="56" t="str">
        <x:v>dysuria</x:v>
      </x:c>
      <x:c r="G861" s="56" t="n">
        <x:v>4</x:v>
      </x:c>
      <x:c r="H861" s="56" t="str">
        <x:v>普通得分项</x:v>
      </x:c>
      <x:c r="I861" s="56" t="str">
        <x:v>否</x:v>
      </x:c>
      <x:c r="J861" s="56" t="str">
        <x:v>否</x:v>
      </x:c>
      <x:c r="K861" s="56" t="str">
        <x:v>否</x:v>
      </x:c>
      <x:c r="L861" s="56" t="str">
        <x:v>按结构化事件证据给予0/部分/满分；不能由总结反推已完成</x:v>
      </x:c>
      <x:c r="M861" s="56" t="str"/>
      <x:c r="N861" s="56" t="n">
        <x:f>SUMIFS($G$4:$G$1673,$A$4:$A$1673,A861)</x:f>
        <x:v>360</x:v>
      </x:c>
      <x:c r="O861" s="56" t="str">
        <x:f>IF(N861=360,"通过","失败")</x:f>
        <x:v>通过</x:v>
      </x:c>
      <x:c r="P861" s="56" t="str"/>
      <x:c r="Q861" s="59" t="str">
        <x:v>待确认</x:v>
      </x:c>
    </x:row>
    <x:row r="862">
      <x:c r="A862" s="56" t="str">
        <x:v>P022</x:v>
      </x:c>
      <x:c r="B862" s="56" t="str">
        <x:v>HX-ADD-010</x:v>
      </x:c>
      <x:c r="C862" s="56" t="str">
        <x:v>history</x:v>
      </x:c>
      <x:c r="D862" s="56" t="n">
        <x:v>50</x:v>
      </x:c>
      <x:c r="E862" s="56" t="str">
        <x:v>history.urinary_frequency</x:v>
      </x:c>
      <x:c r="F862" s="56" t="str">
        <x:v>urinary_frequency</x:v>
      </x:c>
      <x:c r="G862" s="56" t="n">
        <x:v>4</x:v>
      </x:c>
      <x:c r="H862" s="56" t="str">
        <x:v>普通得分项</x:v>
      </x:c>
      <x:c r="I862" s="56" t="str">
        <x:v>否</x:v>
      </x:c>
      <x:c r="J862" s="56" t="str">
        <x:v>否</x:v>
      </x:c>
      <x:c r="K862" s="56" t="str">
        <x:v>否</x:v>
      </x:c>
      <x:c r="L862" s="56" t="str">
        <x:v>按结构化事件证据给予0/部分/满分；不能由总结反推已完成</x:v>
      </x:c>
      <x:c r="M862" s="56" t="str"/>
      <x:c r="N862" s="56" t="n">
        <x:f>SUMIFS($G$4:$G$1673,$A$4:$A$1673,A862)</x:f>
        <x:v>360</x:v>
      </x:c>
      <x:c r="O862" s="56" t="str">
        <x:f>IF(N862=360,"通过","失败")</x:f>
        <x:v>通过</x:v>
      </x:c>
      <x:c r="P862" s="56" t="str"/>
      <x:c r="Q862" s="59" t="str">
        <x:v>待确认</x:v>
      </x:c>
    </x:row>
    <x:row r="863">
      <x:c r="A863" s="56" t="str">
        <x:v>P022</x:v>
      </x:c>
      <x:c r="B863" s="56" t="str">
        <x:v>HX-ADD-010</x:v>
      </x:c>
      <x:c r="C863" s="56" t="str">
        <x:v>history</x:v>
      </x:c>
      <x:c r="D863" s="56" t="n">
        <x:v>50</x:v>
      </x:c>
      <x:c r="E863" s="56" t="str">
        <x:v>history.urinary_urgency</x:v>
      </x:c>
      <x:c r="F863" s="56" t="str">
        <x:v>urinary_urgency</x:v>
      </x:c>
      <x:c r="G863" s="56" t="n">
        <x:v>4</x:v>
      </x:c>
      <x:c r="H863" s="56" t="str">
        <x:v>普通得分项</x:v>
      </x:c>
      <x:c r="I863" s="56" t="str">
        <x:v>否</x:v>
      </x:c>
      <x:c r="J863" s="56" t="str">
        <x:v>否</x:v>
      </x:c>
      <x:c r="K863" s="56" t="str">
        <x:v>否</x:v>
      </x:c>
      <x:c r="L863" s="56" t="str">
        <x:v>按结构化事件证据给予0/部分/满分；不能由总结反推已完成</x:v>
      </x:c>
      <x:c r="M863" s="56" t="str"/>
      <x:c r="N863" s="56" t="n">
        <x:f>SUMIFS($G$4:$G$1673,$A$4:$A$1673,A863)</x:f>
        <x:v>360</x:v>
      </x:c>
      <x:c r="O863" s="56" t="str">
        <x:f>IF(N863=360,"通过","失败")</x:f>
        <x:v>通过</x:v>
      </x:c>
      <x:c r="P863" s="56" t="str"/>
      <x:c r="Q863" s="59" t="str">
        <x:v>待确认</x:v>
      </x:c>
    </x:row>
    <x:row r="864">
      <x:c r="A864" s="56" t="str">
        <x:v>P022</x:v>
      </x:c>
      <x:c r="B864" s="56" t="str">
        <x:v>HX-ADD-010</x:v>
      </x:c>
      <x:c r="C864" s="56" t="str">
        <x:v>history</x:v>
      </x:c>
      <x:c r="D864" s="56" t="n">
        <x:v>50</x:v>
      </x:c>
      <x:c r="E864" s="56" t="str">
        <x:v>history.flank_pain</x:v>
      </x:c>
      <x:c r="F864" s="56" t="str">
        <x:v>flank_pain</x:v>
      </x:c>
      <x:c r="G864" s="56" t="n">
        <x:v>4</x:v>
      </x:c>
      <x:c r="H864" s="56" t="str">
        <x:v>普通得分项</x:v>
      </x:c>
      <x:c r="I864" s="56" t="str">
        <x:v>否</x:v>
      </x:c>
      <x:c r="J864" s="56" t="str">
        <x:v>否</x:v>
      </x:c>
      <x:c r="K864" s="56" t="str">
        <x:v>否</x:v>
      </x:c>
      <x:c r="L864" s="56" t="str">
        <x:v>按结构化事件证据给予0/部分/满分；不能由总结反推已完成</x:v>
      </x:c>
      <x:c r="M864" s="56" t="str"/>
      <x:c r="N864" s="56" t="n">
        <x:f>SUMIFS($G$4:$G$1673,$A$4:$A$1673,A864)</x:f>
        <x:v>360</x:v>
      </x:c>
      <x:c r="O864" s="56" t="str">
        <x:f>IF(N864=360,"通过","失败")</x:f>
        <x:v>通过</x:v>
      </x:c>
      <x:c r="P864" s="56" t="str"/>
      <x:c r="Q864" s="59" t="str">
        <x:v>待确认</x:v>
      </x:c>
    </x:row>
    <x:row r="865">
      <x:c r="A865" s="56" t="str">
        <x:v>P022</x:v>
      </x:c>
      <x:c r="B865" s="56" t="str">
        <x:v>HX-ADD-010</x:v>
      </x:c>
      <x:c r="C865" s="56" t="str">
        <x:v>history</x:v>
      </x:c>
      <x:c r="D865" s="56" t="n">
        <x:v>50</x:v>
      </x:c>
      <x:c r="E865" s="56" t="str">
        <x:v>history.fever_chills</x:v>
      </x:c>
      <x:c r="F865" s="56" t="str">
        <x:v>fever_chills</x:v>
      </x:c>
      <x:c r="G865" s="56" t="n">
        <x:v>4</x:v>
      </x:c>
      <x:c r="H865" s="56" t="str">
        <x:v>普通得分项</x:v>
      </x:c>
      <x:c r="I865" s="56" t="str">
        <x:v>否</x:v>
      </x:c>
      <x:c r="J865" s="56" t="str">
        <x:v>否</x:v>
      </x:c>
      <x:c r="K865" s="56" t="str">
        <x:v>否</x:v>
      </x:c>
      <x:c r="L865" s="56" t="str">
        <x:v>按结构化事件证据给予0/部分/满分；不能由总结反推已完成</x:v>
      </x:c>
      <x:c r="M865" s="56" t="str"/>
      <x:c r="N865" s="56" t="n">
        <x:f>SUMIFS($G$4:$G$1673,$A$4:$A$1673,A865)</x:f>
        <x:v>360</x:v>
      </x:c>
      <x:c r="O865" s="56" t="str">
        <x:f>IF(N865=360,"通过","失败")</x:f>
        <x:v>通过</x:v>
      </x:c>
      <x:c r="P865" s="56" t="str"/>
      <x:c r="Q865" s="59" t="str">
        <x:v>待确认</x:v>
      </x:c>
    </x:row>
    <x:row r="866">
      <x:c r="A866" s="56" t="str">
        <x:v>P022</x:v>
      </x:c>
      <x:c r="B866" s="56" t="str">
        <x:v>HX-ADD-010</x:v>
      </x:c>
      <x:c r="C866" s="56" t="str">
        <x:v>risk</x:v>
      </x:c>
      <x:c r="D866" s="56" t="n">
        <x:v>40</x:v>
      </x:c>
      <x:c r="E866" s="56" t="str">
        <x:v>risk.uti_history</x:v>
      </x:c>
      <x:c r="F866" s="56" t="str">
        <x:v>uti_history</x:v>
      </x:c>
      <x:c r="G866" s="56" t="n">
        <x:v>10</x:v>
      </x:c>
      <x:c r="H866" s="56" t="str">
        <x:v>普通得分项</x:v>
      </x:c>
      <x:c r="I866" s="56" t="str">
        <x:v>否</x:v>
      </x:c>
      <x:c r="J866" s="56" t="str">
        <x:v>否</x:v>
      </x:c>
      <x:c r="K866" s="56" t="str">
        <x:v>否</x:v>
      </x:c>
      <x:c r="L866" s="56" t="str">
        <x:v>按结构化事件证据给予0/部分/满分；不能由总结反推已完成</x:v>
      </x:c>
      <x:c r="M866" s="56" t="str"/>
      <x:c r="N866" s="56" t="n">
        <x:f>SUMIFS($G$4:$G$1673,$A$4:$A$1673,A866)</x:f>
        <x:v>360</x:v>
      </x:c>
      <x:c r="O866" s="56" t="str">
        <x:f>IF(N866=360,"通过","失败")</x:f>
        <x:v>通过</x:v>
      </x:c>
      <x:c r="P866" s="56" t="str"/>
      <x:c r="Q866" s="59" t="str">
        <x:v>待确认</x:v>
      </x:c>
    </x:row>
    <x:row r="867">
      <x:c r="A867" s="56" t="str">
        <x:v>P022</x:v>
      </x:c>
      <x:c r="B867" s="56" t="str">
        <x:v>HX-ADD-010</x:v>
      </x:c>
      <x:c r="C867" s="56" t="str">
        <x:v>risk</x:v>
      </x:c>
      <x:c r="D867" s="56" t="n">
        <x:v>40</x:v>
      </x:c>
      <x:c r="E867" s="56" t="str">
        <x:v>risk.stone_history</x:v>
      </x:c>
      <x:c r="F867" s="56" t="str">
        <x:v>stone_history</x:v>
      </x:c>
      <x:c r="G867" s="56" t="n">
        <x:v>10</x:v>
      </x:c>
      <x:c r="H867" s="56" t="str">
        <x:v>普通得分项</x:v>
      </x:c>
      <x:c r="I867" s="56" t="str">
        <x:v>否</x:v>
      </x:c>
      <x:c r="J867" s="56" t="str">
        <x:v>否</x:v>
      </x:c>
      <x:c r="K867" s="56" t="str">
        <x:v>否</x:v>
      </x:c>
      <x:c r="L867" s="56" t="str">
        <x:v>按结构化事件证据给予0/部分/满分；不能由总结反推已完成</x:v>
      </x:c>
      <x:c r="M867" s="56" t="str"/>
      <x:c r="N867" s="56" t="n">
        <x:f>SUMIFS($G$4:$G$1673,$A$4:$A$1673,A867)</x:f>
        <x:v>360</x:v>
      </x:c>
      <x:c r="O867" s="56" t="str">
        <x:f>IF(N867=360,"通过","失败")</x:f>
        <x:v>通过</x:v>
      </x:c>
      <x:c r="P867" s="56" t="str"/>
      <x:c r="Q867" s="59" t="str">
        <x:v>待确认</x:v>
      </x:c>
    </x:row>
    <x:row r="868">
      <x:c r="A868" s="56" t="str">
        <x:v>P022</x:v>
      </x:c>
      <x:c r="B868" s="56" t="str">
        <x:v>HX-ADD-010</x:v>
      </x:c>
      <x:c r="C868" s="56" t="str">
        <x:v>risk</x:v>
      </x:c>
      <x:c r="D868" s="56" t="n">
        <x:v>40</x:v>
      </x:c>
      <x:c r="E868" s="56" t="str">
        <x:v>risk.urinary_procedure_history</x:v>
      </x:c>
      <x:c r="F868" s="56" t="str">
        <x:v>urinary_procedure_history</x:v>
      </x:c>
      <x:c r="G868" s="56" t="n">
        <x:v>10</x:v>
      </x:c>
      <x:c r="H868" s="56" t="str">
        <x:v>普通得分项</x:v>
      </x:c>
      <x:c r="I868" s="56" t="str">
        <x:v>否</x:v>
      </x:c>
      <x:c r="J868" s="56" t="str">
        <x:v>否</x:v>
      </x:c>
      <x:c r="K868" s="56" t="str">
        <x:v>否</x:v>
      </x:c>
      <x:c r="L868" s="56" t="str">
        <x:v>按结构化事件证据给予0/部分/满分；不能由总结反推已完成</x:v>
      </x:c>
      <x:c r="M868" s="56" t="str"/>
      <x:c r="N868" s="56" t="n">
        <x:f>SUMIFS($G$4:$G$1673,$A$4:$A$1673,A868)</x:f>
        <x:v>360</x:v>
      </x:c>
      <x:c r="O868" s="56" t="str">
        <x:f>IF(N868=360,"通过","失败")</x:f>
        <x:v>通过</x:v>
      </x:c>
      <x:c r="P868" s="56" t="str"/>
      <x:c r="Q868" s="59" t="str">
        <x:v>待确认</x:v>
      </x:c>
    </x:row>
    <x:row r="869">
      <x:c r="A869" s="56" t="str">
        <x:v>P022</x:v>
      </x:c>
      <x:c r="B869" s="56" t="str">
        <x:v>HX-ADD-010</x:v>
      </x:c>
      <x:c r="C869" s="56" t="str">
        <x:v>risk</x:v>
      </x:c>
      <x:c r="D869" s="56" t="n">
        <x:v>40</x:v>
      </x:c>
      <x:c r="E869" s="56" t="str">
        <x:v>risk.gynecologic_contamination</x:v>
      </x:c>
      <x:c r="F869" s="56" t="str">
        <x:v>gynecologic_contamination</x:v>
      </x:c>
      <x:c r="G869" s="56" t="n">
        <x:v>10</x:v>
      </x:c>
      <x:c r="H869" s="56" t="str">
        <x:v>普通得分项</x:v>
      </x:c>
      <x:c r="I869" s="56" t="str">
        <x:v>否</x:v>
      </x:c>
      <x:c r="J869" s="56" t="str">
        <x:v>否</x:v>
      </x:c>
      <x:c r="K869" s="56" t="str">
        <x:v>否</x:v>
      </x:c>
      <x:c r="L869" s="56" t="str">
        <x:v>按结构化事件证据给予0/部分/满分；不能由总结反推已完成</x:v>
      </x:c>
      <x:c r="M869" s="56" t="str"/>
      <x:c r="N869" s="56" t="n">
        <x:f>SUMIFS($G$4:$G$1673,$A$4:$A$1673,A869)</x:f>
        <x:v>360</x:v>
      </x:c>
      <x:c r="O869" s="56" t="str">
        <x:f>IF(N869=360,"通过","失败")</x:f>
        <x:v>通过</x:v>
      </x:c>
      <x:c r="P869" s="56" t="str"/>
      <x:c r="Q869" s="59" t="str">
        <x:v>待确认</x:v>
      </x:c>
    </x:row>
    <x:row r="870">
      <x:c r="A870" s="56" t="str">
        <x:v>P022</x:v>
      </x:c>
      <x:c r="B870" s="56" t="str">
        <x:v>HX-ADD-010</x:v>
      </x:c>
      <x:c r="C870" s="56" t="str">
        <x:v>exam</x:v>
      </x:c>
      <x:c r="D870" s="56" t="n">
        <x:v>35</x:v>
      </x:c>
      <x:c r="E870" s="56" t="str">
        <x:v>exam.temperature</x:v>
      </x:c>
      <x:c r="F870" s="56" t="str">
        <x:v>体温</x:v>
      </x:c>
      <x:c r="G870" s="56" t="n">
        <x:v>12</x:v>
      </x:c>
      <x:c r="H870" s="56" t="str">
        <x:v>普通得分项</x:v>
      </x:c>
      <x:c r="I870" s="56" t="str">
        <x:v>否</x:v>
      </x:c>
      <x:c r="J870" s="56" t="str">
        <x:v>否</x:v>
      </x:c>
      <x:c r="K870" s="56" t="str">
        <x:v>否</x:v>
      </x:c>
      <x:c r="L870" s="56" t="str">
        <x:v>按结构化事件证据给予0/部分/满分；不能由总结反推已完成</x:v>
      </x:c>
      <x:c r="M870" s="56" t="str"/>
      <x:c r="N870" s="56" t="n">
        <x:f>SUMIFS($G$4:$G$1673,$A$4:$A$1673,A870)</x:f>
        <x:v>360</x:v>
      </x:c>
      <x:c r="O870" s="56" t="str">
        <x:f>IF(N870=360,"通过","失败")</x:f>
        <x:v>通过</x:v>
      </x:c>
      <x:c r="P870" s="56" t="str"/>
      <x:c r="Q870" s="59" t="str">
        <x:v>待确认</x:v>
      </x:c>
    </x:row>
    <x:row r="871">
      <x:c r="A871" s="56" t="str">
        <x:v>P022</x:v>
      </x:c>
      <x:c r="B871" s="56" t="str">
        <x:v>HX-ADD-010</x:v>
      </x:c>
      <x:c r="C871" s="56" t="str">
        <x:v>exam</x:v>
      </x:c>
      <x:c r="D871" s="56" t="n">
        <x:v>35</x:v>
      </x:c>
      <x:c r="E871" s="56" t="str">
        <x:v>exam.blood_pressure</x:v>
      </x:c>
      <x:c r="F871" s="56" t="str">
        <x:v>血压</x:v>
      </x:c>
      <x:c r="G871" s="56" t="n">
        <x:v>12</x:v>
      </x:c>
      <x:c r="H871" s="56" t="str">
        <x:v>普通得分项</x:v>
      </x:c>
      <x:c r="I871" s="56" t="str">
        <x:v>否</x:v>
      </x:c>
      <x:c r="J871" s="56" t="str">
        <x:v>否</x:v>
      </x:c>
      <x:c r="K871" s="56" t="str">
        <x:v>否</x:v>
      </x:c>
      <x:c r="L871" s="56" t="str">
        <x:v>按结构化事件证据给予0/部分/满分；不能由总结反推已完成</x:v>
      </x:c>
      <x:c r="M871" s="56" t="str"/>
      <x:c r="N871" s="56" t="n">
        <x:f>SUMIFS($G$4:$G$1673,$A$4:$A$1673,A871)</x:f>
        <x:v>360</x:v>
      </x:c>
      <x:c r="O871" s="56" t="str">
        <x:f>IF(N871=360,"通过","失败")</x:f>
        <x:v>通过</x:v>
      </x:c>
      <x:c r="P871" s="56" t="str"/>
      <x:c r="Q871" s="59" t="str">
        <x:v>待确认</x:v>
      </x:c>
    </x:row>
    <x:row r="872">
      <x:c r="A872" s="56" t="str">
        <x:v>P022</x:v>
      </x:c>
      <x:c r="B872" s="56" t="str">
        <x:v>HX-ADD-010</x:v>
      </x:c>
      <x:c r="C872" s="56" t="str">
        <x:v>exam</x:v>
      </x:c>
      <x:c r="D872" s="56" t="n">
        <x:v>35</x:v>
      </x:c>
      <x:c r="E872" s="56" t="str">
        <x:v>exam.targeted</x:v>
      </x:c>
      <x:c r="F872" s="56" t="str">
        <x:v>病例针对性查体</x:v>
      </x:c>
      <x:c r="G872" s="56" t="n">
        <x:v>11</x:v>
      </x:c>
      <x:c r="H872" s="56" t="str">
        <x:v>普通得分项</x:v>
      </x:c>
      <x:c r="I872" s="56" t="str">
        <x:v>否</x:v>
      </x:c>
      <x:c r="J872" s="56" t="str">
        <x:v>否</x:v>
      </x:c>
      <x:c r="K872" s="56" t="str">
        <x:v>否</x:v>
      </x:c>
      <x:c r="L872" s="56" t="str">
        <x:v>按结构化事件证据给予0/部分/满分；不能由总结反推已完成</x:v>
      </x:c>
      <x:c r="M872" s="56" t="str"/>
      <x:c r="N872" s="56" t="n">
        <x:f>SUMIFS($G$4:$G$1673,$A$4:$A$1673,A872)</x:f>
        <x:v>360</x:v>
      </x:c>
      <x:c r="O872" s="56" t="str">
        <x:f>IF(N872=360,"通过","失败")</x:f>
        <x:v>通过</x:v>
      </x:c>
      <x:c r="P872" s="56" t="str"/>
      <x:c r="Q872" s="59" t="str">
        <x:v>待确认</x:v>
      </x:c>
    </x:row>
    <x:row r="873">
      <x:c r="A873" s="56" t="str">
        <x:v>P022</x:v>
      </x:c>
      <x:c r="B873" s="56" t="str">
        <x:v>HX-ADD-010</x:v>
      </x:c>
      <x:c r="C873" s="56" t="str">
        <x:v>diagnosis</x:v>
      </x:c>
      <x:c r="D873" s="56" t="n">
        <x:v>45</x:v>
      </x:c>
      <x:c r="E873" s="56" t="str">
        <x:v>diagnosis.primary</x:v>
      </x:c>
      <x:c r="F873" s="56" t="str">
        <x:v>最可能诊断及依据</x:v>
      </x:c>
      <x:c r="G873" s="56" t="n">
        <x:v>15</x:v>
      </x:c>
      <x:c r="H873" s="56" t="str">
        <x:v>普通得分项</x:v>
      </x:c>
      <x:c r="I873" s="56" t="str">
        <x:v>否</x:v>
      </x:c>
      <x:c r="J873" s="56" t="str">
        <x:v>否</x:v>
      </x:c>
      <x:c r="K873" s="56" t="str">
        <x:v>否</x:v>
      </x:c>
      <x:c r="L873" s="56" t="str">
        <x:v>按结构化事件证据给予0/部分/满分；不能由总结反推已完成</x:v>
      </x:c>
      <x:c r="M873" s="56" t="str"/>
      <x:c r="N873" s="56" t="n">
        <x:f>SUMIFS($G$4:$G$1673,$A$4:$A$1673,A873)</x:f>
        <x:v>360</x:v>
      </x:c>
      <x:c r="O873" s="56" t="str">
        <x:f>IF(N873=360,"通过","失败")</x:f>
        <x:v>通过</x:v>
      </x:c>
      <x:c r="P873" s="56" t="str"/>
      <x:c r="Q873" s="59" t="str">
        <x:v>待确认</x:v>
      </x:c>
    </x:row>
    <x:row r="874">
      <x:c r="A874" s="56" t="str">
        <x:v>P022</x:v>
      </x:c>
      <x:c r="B874" s="56" t="str">
        <x:v>HX-ADD-010</x:v>
      </x:c>
      <x:c r="C874" s="56" t="str">
        <x:v>diagnosis</x:v>
      </x:c>
      <x:c r="D874" s="56" t="n">
        <x:v>45</x:v>
      </x:c>
      <x:c r="E874" s="56" t="str">
        <x:v>diagnosis.differentials</x:v>
      </x:c>
      <x:c r="F874" s="56" t="str">
        <x:v>至少3项鉴别及支持/反对点</x:v>
      </x:c>
      <x:c r="G874" s="56" t="n">
        <x:v>15</x:v>
      </x:c>
      <x:c r="H874" s="56" t="str">
        <x:v>普通得分项</x:v>
      </x:c>
      <x:c r="I874" s="56" t="str">
        <x:v>否</x:v>
      </x:c>
      <x:c r="J874" s="56" t="str">
        <x:v>否</x:v>
      </x:c>
      <x:c r="K874" s="56" t="str">
        <x:v>否</x:v>
      </x:c>
      <x:c r="L874" s="56" t="str">
        <x:v>按结构化事件证据给予0/部分/满分；不能由总结反推已完成</x:v>
      </x:c>
      <x:c r="M874" s="56" t="str"/>
      <x:c r="N874" s="56" t="n">
        <x:f>SUMIFS($G$4:$G$1673,$A$4:$A$1673,A874)</x:f>
        <x:v>360</x:v>
      </x:c>
      <x:c r="O874" s="56" t="str">
        <x:f>IF(N874=360,"通过","失败")</x:f>
        <x:v>通过</x:v>
      </x:c>
      <x:c r="P874" s="56" t="str"/>
      <x:c r="Q874" s="59" t="str">
        <x:v>待确认</x:v>
      </x:c>
    </x:row>
    <x:row r="875">
      <x:c r="A875" s="56" t="str">
        <x:v>P022</x:v>
      </x:c>
      <x:c r="B875" s="56" t="str">
        <x:v>HX-ADD-010</x:v>
      </x:c>
      <x:c r="C875" s="56" t="str">
        <x:v>diagnosis</x:v>
      </x:c>
      <x:c r="D875" s="56" t="n">
        <x:v>45</x:v>
      </x:c>
      <x:c r="E875" s="56" t="str">
        <x:v>diagnosis.confirmation</x:v>
      </x:c>
      <x:c r="F875" s="56" t="str">
        <x:v>确认计划</x:v>
      </x:c>
      <x:c r="G875" s="56" t="n">
        <x:v>15</x:v>
      </x:c>
      <x:c r="H875" s="56" t="str">
        <x:v>普通得分项</x:v>
      </x:c>
      <x:c r="I875" s="56" t="str">
        <x:v>否</x:v>
      </x:c>
      <x:c r="J875" s="56" t="str">
        <x:v>否</x:v>
      </x:c>
      <x:c r="K875" s="56" t="str">
        <x:v>否</x:v>
      </x:c>
      <x:c r="L875" s="56" t="str">
        <x:v>按结构化事件证据给予0/部分/满分；不能由总结反推已完成</x:v>
      </x:c>
      <x:c r="M875" s="56" t="str"/>
      <x:c r="N875" s="56" t="n">
        <x:f>SUMIFS($G$4:$G$1673,$A$4:$A$1673,A875)</x:f>
        <x:v>360</x:v>
      </x:c>
      <x:c r="O875" s="56" t="str">
        <x:f>IF(N875=360,"通过","失败")</x:f>
        <x:v>通过</x:v>
      </x:c>
      <x:c r="P875" s="56" t="str"/>
      <x:c r="Q875" s="59" t="str">
        <x:v>待确认</x:v>
      </x:c>
    </x:row>
    <x:row r="876">
      <x:c r="A876" s="56" t="str">
        <x:v>P022</x:v>
      </x:c>
      <x:c r="B876" s="56" t="str">
        <x:v>HX-ADD-010</x:v>
      </x:c>
      <x:c r="C876" s="56" t="str">
        <x:v>orders</x:v>
      </x:c>
      <x:c r="D876" s="56" t="n">
        <x:v>55</x:v>
      </x:c>
      <x:c r="E876" s="56" t="str">
        <x:v>orders.LAB-UR-001</x:v>
      </x:c>
      <x:c r="F876" s="56" t="str">
        <x:v>LAB-UR-001</x:v>
      </x:c>
      <x:c r="G876" s="56" t="n">
        <x:v>10</x:v>
      </x:c>
      <x:c r="H876" s="56" t="str">
        <x:v>病例特异得分项</x:v>
      </x:c>
      <x:c r="I876" s="56" t="str">
        <x:v>否</x:v>
      </x:c>
      <x:c r="J876" s="56" t="str">
        <x:v>否</x:v>
      </x:c>
      <x:c r="K876" s="56" t="str">
        <x:v>否</x:v>
      </x:c>
      <x:c r="L876" s="56" t="str">
        <x:v>按结构化事件证据给予0/部分/满分；不能由总结反推已完成</x:v>
      </x:c>
      <x:c r="M876" s="56" t="str"/>
      <x:c r="N876" s="56" t="n">
        <x:f>SUMIFS($G$4:$G$1673,$A$4:$A$1673,A876)</x:f>
        <x:v>360</x:v>
      </x:c>
      <x:c r="O876" s="56" t="str">
        <x:f>IF(N876=360,"通过","失败")</x:f>
        <x:v>通过</x:v>
      </x:c>
      <x:c r="P876" s="56" t="str"/>
      <x:c r="Q876" s="59" t="str">
        <x:v>待确认</x:v>
      </x:c>
    </x:row>
    <x:row r="877">
      <x:c r="A877" s="56" t="str">
        <x:v>P022</x:v>
      </x:c>
      <x:c r="B877" s="56" t="str">
        <x:v>HX-ADD-010</x:v>
      </x:c>
      <x:c r="C877" s="56" t="str">
        <x:v>orders</x:v>
      </x:c>
      <x:c r="D877" s="56" t="n">
        <x:v>55</x:v>
      </x:c>
      <x:c r="E877" s="56" t="str">
        <x:v>orders.LAB-UR-002</x:v>
      </x:c>
      <x:c r="F877" s="56" t="str">
        <x:v>LAB-UR-002</x:v>
      </x:c>
      <x:c r="G877" s="56" t="n">
        <x:v>9</x:v>
      </x:c>
      <x:c r="H877" s="56" t="str">
        <x:v>病例特异得分项</x:v>
      </x:c>
      <x:c r="I877" s="56" t="str">
        <x:v>否</x:v>
      </x:c>
      <x:c r="J877" s="56" t="str">
        <x:v>否</x:v>
      </x:c>
      <x:c r="K877" s="56" t="str">
        <x:v>否</x:v>
      </x:c>
      <x:c r="L877" s="56" t="str">
        <x:v>按结构化事件证据给予0/部分/满分；不能由总结反推已完成</x:v>
      </x:c>
      <x:c r="M877" s="56" t="str"/>
      <x:c r="N877" s="56" t="n">
        <x:f>SUMIFS($G$4:$G$1673,$A$4:$A$1673,A877)</x:f>
        <x:v>360</x:v>
      </x:c>
      <x:c r="O877" s="56" t="str">
        <x:f>IF(N877=360,"通过","失败")</x:f>
        <x:v>通过</x:v>
      </x:c>
      <x:c r="P877" s="56" t="str"/>
      <x:c r="Q877" s="59" t="str">
        <x:v>待确认</x:v>
      </x:c>
    </x:row>
    <x:row r="878">
      <x:c r="A878" s="56" t="str">
        <x:v>P022</x:v>
      </x:c>
      <x:c r="B878" s="56" t="str">
        <x:v>HX-ADD-010</x:v>
      </x:c>
      <x:c r="C878" s="56" t="str">
        <x:v>orders</x:v>
      </x:c>
      <x:c r="D878" s="56" t="n">
        <x:v>55</x:v>
      </x:c>
      <x:c r="E878" s="56" t="str">
        <x:v>orders.LAB-UR-008</x:v>
      </x:c>
      <x:c r="F878" s="56" t="str">
        <x:v>LAB-UR-008</x:v>
      </x:c>
      <x:c r="G878" s="56" t="n">
        <x:v>9</x:v>
      </x:c>
      <x:c r="H878" s="56" t="str">
        <x:v>病例特异得分项</x:v>
      </x:c>
      <x:c r="I878" s="56" t="str">
        <x:v>否</x:v>
      </x:c>
      <x:c r="J878" s="56" t="str">
        <x:v>否</x:v>
      </x:c>
      <x:c r="K878" s="56" t="str">
        <x:v>否</x:v>
      </x:c>
      <x:c r="L878" s="56" t="str">
        <x:v>按结构化事件证据给予0/部分/满分；不能由总结反推已完成</x:v>
      </x:c>
      <x:c r="M878" s="56" t="str"/>
      <x:c r="N878" s="56" t="n">
        <x:f>SUMIFS($G$4:$G$1673,$A$4:$A$1673,A878)</x:f>
        <x:v>360</x:v>
      </x:c>
      <x:c r="O878" s="56" t="str">
        <x:f>IF(N878=360,"通过","失败")</x:f>
        <x:v>通过</x:v>
      </x:c>
      <x:c r="P878" s="56" t="str"/>
      <x:c r="Q878" s="59" t="str">
        <x:v>待确认</x:v>
      </x:c>
    </x:row>
    <x:row r="879">
      <x:c r="A879" s="56" t="str">
        <x:v>P022</x:v>
      </x:c>
      <x:c r="B879" s="56" t="str">
        <x:v>HX-ADD-010</x:v>
      </x:c>
      <x:c r="C879" s="56" t="str">
        <x:v>orders</x:v>
      </x:c>
      <x:c r="D879" s="56" t="n">
        <x:v>55</x:v>
      </x:c>
      <x:c r="E879" s="56" t="str">
        <x:v>orders.LAB-BL-001</x:v>
      </x:c>
      <x:c r="F879" s="56" t="str">
        <x:v>LAB-BL-001</x:v>
      </x:c>
      <x:c r="G879" s="56" t="n">
        <x:v>9</x:v>
      </x:c>
      <x:c r="H879" s="56" t="str">
        <x:v>病例特异得分项</x:v>
      </x:c>
      <x:c r="I879" s="56" t="str">
        <x:v>否</x:v>
      </x:c>
      <x:c r="J879" s="56" t="str">
        <x:v>否</x:v>
      </x:c>
      <x:c r="K879" s="56" t="str">
        <x:v>否</x:v>
      </x:c>
      <x:c r="L879" s="56" t="str">
        <x:v>按结构化事件证据给予0/部分/满分；不能由总结反推已完成</x:v>
      </x:c>
      <x:c r="M879" s="56" t="str"/>
      <x:c r="N879" s="56" t="n">
        <x:f>SUMIFS($G$4:$G$1673,$A$4:$A$1673,A879)</x:f>
        <x:v>360</x:v>
      </x:c>
      <x:c r="O879" s="56" t="str">
        <x:f>IF(N879=360,"通过","失败")</x:f>
        <x:v>通过</x:v>
      </x:c>
      <x:c r="P879" s="56" t="str"/>
      <x:c r="Q879" s="59" t="str">
        <x:v>待确认</x:v>
      </x:c>
    </x:row>
    <x:row r="880">
      <x:c r="A880" s="56" t="str">
        <x:v>P022</x:v>
      </x:c>
      <x:c r="B880" s="56" t="str">
        <x:v>HX-ADD-010</x:v>
      </x:c>
      <x:c r="C880" s="56" t="str">
        <x:v>orders</x:v>
      </x:c>
      <x:c r="D880" s="56" t="n">
        <x:v>55</x:v>
      </x:c>
      <x:c r="E880" s="56" t="str">
        <x:v>orders.LAB-BL-002</x:v>
      </x:c>
      <x:c r="F880" s="56" t="str">
        <x:v>LAB-BL-002</x:v>
      </x:c>
      <x:c r="G880" s="56" t="n">
        <x:v>9</x:v>
      </x:c>
      <x:c r="H880" s="56" t="str">
        <x:v>病例特异得分项</x:v>
      </x:c>
      <x:c r="I880" s="56" t="str">
        <x:v>否</x:v>
      </x:c>
      <x:c r="J880" s="56" t="str">
        <x:v>否</x:v>
      </x:c>
      <x:c r="K880" s="56" t="str">
        <x:v>否</x:v>
      </x:c>
      <x:c r="L880" s="56" t="str">
        <x:v>按结构化事件证据给予0/部分/满分；不能由总结反推已完成</x:v>
      </x:c>
      <x:c r="M880" s="56" t="str"/>
      <x:c r="N880" s="56" t="n">
        <x:f>SUMIFS($G$4:$G$1673,$A$4:$A$1673,A880)</x:f>
        <x:v>360</x:v>
      </x:c>
      <x:c r="O880" s="56" t="str">
        <x:f>IF(N880=360,"通过","失败")</x:f>
        <x:v>通过</x:v>
      </x:c>
      <x:c r="P880" s="56" t="str"/>
      <x:c r="Q880" s="59" t="str">
        <x:v>待确认</x:v>
      </x:c>
    </x:row>
    <x:row r="881">
      <x:c r="A881" s="56" t="str">
        <x:v>P022</x:v>
      </x:c>
      <x:c r="B881" s="56" t="str">
        <x:v>HX-ADD-010</x:v>
      </x:c>
      <x:c r="C881" s="56" t="str">
        <x:v>orders</x:v>
      </x:c>
      <x:c r="D881" s="56" t="n">
        <x:v>55</x:v>
      </x:c>
      <x:c r="E881" s="56" t="str">
        <x:v>orders.LAB-BL-003</x:v>
      </x:c>
      <x:c r="F881" s="56" t="str">
        <x:v>LAB-BL-003</x:v>
      </x:c>
      <x:c r="G881" s="56" t="n">
        <x:v>9</x:v>
      </x:c>
      <x:c r="H881" s="56" t="str">
        <x:v>病例特异得分项</x:v>
      </x:c>
      <x:c r="I881" s="56" t="str">
        <x:v>否</x:v>
      </x:c>
      <x:c r="J881" s="56" t="str">
        <x:v>否</x:v>
      </x:c>
      <x:c r="K881" s="56" t="str">
        <x:v>否</x:v>
      </x:c>
      <x:c r="L881" s="56" t="str">
        <x:v>按结构化事件证据给予0/部分/满分；不能由总结反推已完成</x:v>
      </x:c>
      <x:c r="M881" s="56" t="str"/>
      <x:c r="N881" s="56" t="n">
        <x:f>SUMIFS($G$4:$G$1673,$A$4:$A$1673,A881)</x:f>
        <x:v>360</x:v>
      </x:c>
      <x:c r="O881" s="56" t="str">
        <x:f>IF(N881=360,"通过","失败")</x:f>
        <x:v>通过</x:v>
      </x:c>
      <x:c r="P881" s="56" t="str"/>
      <x:c r="Q881" s="59" t="str">
        <x:v>待确认</x:v>
      </x:c>
    </x:row>
    <x:row r="882">
      <x:c r="A882" s="56" t="str">
        <x:v>P022</x:v>
      </x:c>
      <x:c r="B882" s="56" t="str">
        <x:v>HX-ADD-010</x:v>
      </x:c>
      <x:c r="C882" s="56" t="str">
        <x:v>mdt</x:v>
      </x:c>
      <x:c r="D882" s="56" t="n">
        <x:v>45</x:v>
      </x:c>
      <x:c r="E882" s="56" t="str">
        <x:v>mdt.department</x:v>
      </x:c>
      <x:c r="F882" s="56" t="str">
        <x:v>department</x:v>
      </x:c>
      <x:c r="G882" s="56" t="n">
        <x:v>12</x:v>
      </x:c>
      <x:c r="H882" s="56" t="str">
        <x:v>病例特异得分项</x:v>
      </x:c>
      <x:c r="I882" s="56" t="str">
        <x:v>否</x:v>
      </x:c>
      <x:c r="J882" s="56" t="str">
        <x:v>否</x:v>
      </x:c>
      <x:c r="K882" s="56" t="str">
        <x:v>否</x:v>
      </x:c>
      <x:c r="L882" s="56" t="str">
        <x:v>按结构化事件证据给予0/部分/满分；不能由总结反推已完成</x:v>
      </x:c>
      <x:c r="M882" s="56" t="str"/>
      <x:c r="N882" s="56" t="n">
        <x:f>SUMIFS($G$4:$G$1673,$A$4:$A$1673,A882)</x:f>
        <x:v>360</x:v>
      </x:c>
      <x:c r="O882" s="56" t="str">
        <x:f>IF(N882=360,"通过","失败")</x:f>
        <x:v>通过</x:v>
      </x:c>
      <x:c r="P882" s="56" t="str"/>
      <x:c r="Q882" s="59" t="str">
        <x:v>待确认</x:v>
      </x:c>
    </x:row>
    <x:row r="883">
      <x:c r="A883" s="56" t="str">
        <x:v>P022</x:v>
      </x:c>
      <x:c r="B883" s="56" t="str">
        <x:v>HX-ADD-010</x:v>
      </x:c>
      <x:c r="C883" s="56" t="str">
        <x:v>mdt</x:v>
      </x:c>
      <x:c r="D883" s="56" t="n">
        <x:v>45</x:v>
      </x:c>
      <x:c r="E883" s="56" t="str">
        <x:v>mdt.trigger</x:v>
      </x:c>
      <x:c r="F883" s="56" t="str">
        <x:v>trigger</x:v>
      </x:c>
      <x:c r="G883" s="56" t="n">
        <x:v>11</x:v>
      </x:c>
      <x:c r="H883" s="56" t="str">
        <x:v>病例特异得分项</x:v>
      </x:c>
      <x:c r="I883" s="56" t="str">
        <x:v>否</x:v>
      </x:c>
      <x:c r="J883" s="56" t="str">
        <x:v>否</x:v>
      </x:c>
      <x:c r="K883" s="56" t="str">
        <x:v>否</x:v>
      </x:c>
      <x:c r="L883" s="56" t="str">
        <x:v>按结构化事件证据给予0/部分/满分；不能由总结反推已完成</x:v>
      </x:c>
      <x:c r="M883" s="56" t="str"/>
      <x:c r="N883" s="56" t="n">
        <x:f>SUMIFS($G$4:$G$1673,$A$4:$A$1673,A883)</x:f>
        <x:v>360</x:v>
      </x:c>
      <x:c r="O883" s="56" t="str">
        <x:f>IF(N883=360,"通过","失败")</x:f>
        <x:v>通过</x:v>
      </x:c>
      <x:c r="P883" s="56" t="str"/>
      <x:c r="Q883" s="59" t="str">
        <x:v>待确认</x:v>
      </x:c>
    </x:row>
    <x:row r="884">
      <x:c r="A884" s="56" t="str">
        <x:v>P022</x:v>
      </x:c>
      <x:c r="B884" s="56" t="str">
        <x:v>HX-ADD-010</x:v>
      </x:c>
      <x:c r="C884" s="56" t="str">
        <x:v>mdt</x:v>
      </x:c>
      <x:c r="D884" s="56" t="n">
        <x:v>45</x:v>
      </x:c>
      <x:c r="E884" s="56" t="str">
        <x:v>mdt.question</x:v>
      </x:c>
      <x:c r="F884" s="56" t="str">
        <x:v>question</x:v>
      </x:c>
      <x:c r="G884" s="56" t="n">
        <x:v>11</x:v>
      </x:c>
      <x:c r="H884" s="56" t="str">
        <x:v>病例特异得分项</x:v>
      </x:c>
      <x:c r="I884" s="56" t="str">
        <x:v>否</x:v>
      </x:c>
      <x:c r="J884" s="56" t="str">
        <x:v>否</x:v>
      </x:c>
      <x:c r="K884" s="56" t="str">
        <x:v>否</x:v>
      </x:c>
      <x:c r="L884" s="56" t="str">
        <x:v>按结构化事件证据给予0/部分/满分；不能由总结反推已完成</x:v>
      </x:c>
      <x:c r="M884" s="56" t="str"/>
      <x:c r="N884" s="56" t="n">
        <x:f>SUMIFS($G$4:$G$1673,$A$4:$A$1673,A884)</x:f>
        <x:v>360</x:v>
      </x:c>
      <x:c r="O884" s="56" t="str">
        <x:f>IF(N884=360,"通过","失败")</x:f>
        <x:v>通过</x:v>
      </x:c>
      <x:c r="P884" s="56" t="str"/>
      <x:c r="Q884" s="59" t="str">
        <x:v>待确认</x:v>
      </x:c>
    </x:row>
    <x:row r="885">
      <x:c r="A885" s="56" t="str">
        <x:v>P022</x:v>
      </x:c>
      <x:c r="B885" s="56" t="str">
        <x:v>HX-ADD-010</x:v>
      </x:c>
      <x:c r="C885" s="56" t="str">
        <x:v>mdt</x:v>
      </x:c>
      <x:c r="D885" s="56" t="n">
        <x:v>45</x:v>
      </x:c>
      <x:c r="E885" s="56" t="str">
        <x:v>mdt.evidence</x:v>
      </x:c>
      <x:c r="F885" s="56" t="str">
        <x:v>evidence</x:v>
      </x:c>
      <x:c r="G885" s="56" t="n">
        <x:v>11</x:v>
      </x:c>
      <x:c r="H885" s="56" t="str">
        <x:v>病例特异得分项</x:v>
      </x:c>
      <x:c r="I885" s="56" t="str">
        <x:v>否</x:v>
      </x:c>
      <x:c r="J885" s="56" t="str">
        <x:v>否</x:v>
      </x:c>
      <x:c r="K885" s="56" t="str">
        <x:v>否</x:v>
      </x:c>
      <x:c r="L885" s="56" t="str">
        <x:v>按结构化事件证据给予0/部分/满分；不能由总结反推已完成</x:v>
      </x:c>
      <x:c r="M885" s="56" t="str"/>
      <x:c r="N885" s="56" t="n">
        <x:f>SUMIFS($G$4:$G$1673,$A$4:$A$1673,A885)</x:f>
        <x:v>360</x:v>
      </x:c>
      <x:c r="O885" s="56" t="str">
        <x:f>IF(N885=360,"通过","失败")</x:f>
        <x:v>通过</x:v>
      </x:c>
      <x:c r="P885" s="56" t="str"/>
      <x:c r="Q885" s="59" t="str">
        <x:v>待确认</x:v>
      </x:c>
    </x:row>
    <x:row r="886">
      <x:c r="A886" s="56" t="str">
        <x:v>P022</x:v>
      </x:c>
      <x:c r="B886" s="56" t="str">
        <x:v>HX-ADD-010</x:v>
      </x:c>
      <x:c r="C886" s="56" t="str">
        <x:v>treatment</x:v>
      </x:c>
      <x:c r="D886" s="56" t="n">
        <x:v>50</x:v>
      </x:c>
      <x:c r="E886" s="56" t="str">
        <x:v>treatment.immediate</x:v>
      </x:c>
      <x:c r="F886" s="56" t="str">
        <x:v>immediate</x:v>
      </x:c>
      <x:c r="G886" s="56" t="n">
        <x:v>13</x:v>
      </x:c>
      <x:c r="H886" s="56" t="str">
        <x:v>病例特异得分项</x:v>
      </x:c>
      <x:c r="I886" s="56" t="str">
        <x:v>否</x:v>
      </x:c>
      <x:c r="J886" s="56" t="str">
        <x:v>否</x:v>
      </x:c>
      <x:c r="K886" s="56" t="str">
        <x:v>否</x:v>
      </x:c>
      <x:c r="L886" s="56" t="str">
        <x:v>按结构化事件证据给予0/部分/满分；不能由总结反推已完成</x:v>
      </x:c>
      <x:c r="M886" s="56" t="str"/>
      <x:c r="N886" s="56" t="n">
        <x:f>SUMIFS($G$4:$G$1673,$A$4:$A$1673,A886)</x:f>
        <x:v>360</x:v>
      </x:c>
      <x:c r="O886" s="56" t="str">
        <x:f>IF(N886=360,"通过","失败")</x:f>
        <x:v>通过</x:v>
      </x:c>
      <x:c r="P886" s="56" t="str"/>
      <x:c r="Q886" s="59" t="str">
        <x:v>待确认</x:v>
      </x:c>
    </x:row>
    <x:row r="887">
      <x:c r="A887" s="56" t="str">
        <x:v>P022</x:v>
      </x:c>
      <x:c r="B887" s="56" t="str">
        <x:v>HX-ADD-010</x:v>
      </x:c>
      <x:c r="C887" s="56" t="str">
        <x:v>treatment</x:v>
      </x:c>
      <x:c r="D887" s="56" t="n">
        <x:v>50</x:v>
      </x:c>
      <x:c r="E887" s="56" t="str">
        <x:v>treatment.etiologic</x:v>
      </x:c>
      <x:c r="F887" s="56" t="str">
        <x:v>etiologic</x:v>
      </x:c>
      <x:c r="G887" s="56" t="n">
        <x:v>13</x:v>
      </x:c>
      <x:c r="H887" s="56" t="str">
        <x:v>病例特异得分项</x:v>
      </x:c>
      <x:c r="I887" s="56" t="str">
        <x:v>否</x:v>
      </x:c>
      <x:c r="J887" s="56" t="str">
        <x:v>否</x:v>
      </x:c>
      <x:c r="K887" s="56" t="str">
        <x:v>否</x:v>
      </x:c>
      <x:c r="L887" s="56" t="str">
        <x:v>按结构化事件证据给予0/部分/满分；不能由总结反推已完成</x:v>
      </x:c>
      <x:c r="M887" s="56" t="str"/>
      <x:c r="N887" s="56" t="n">
        <x:f>SUMIFS($G$4:$G$1673,$A$4:$A$1673,A887)</x:f>
        <x:v>360</x:v>
      </x:c>
      <x:c r="O887" s="56" t="str">
        <x:f>IF(N887=360,"通过","失败")</x:f>
        <x:v>通过</x:v>
      </x:c>
      <x:c r="P887" s="56" t="str"/>
      <x:c r="Q887" s="59" t="str">
        <x:v>待确认</x:v>
      </x:c>
    </x:row>
    <x:row r="888">
      <x:c r="A888" s="56" t="str">
        <x:v>P022</x:v>
      </x:c>
      <x:c r="B888" s="56" t="str">
        <x:v>HX-ADD-010</x:v>
      </x:c>
      <x:c r="C888" s="56" t="str">
        <x:v>treatment</x:v>
      </x:c>
      <x:c r="D888" s="56" t="n">
        <x:v>50</x:v>
      </x:c>
      <x:c r="E888" s="56" t="str">
        <x:v>treatment.definitive</x:v>
      </x:c>
      <x:c r="F888" s="56" t="str">
        <x:v>definitive</x:v>
      </x:c>
      <x:c r="G888" s="56" t="n">
        <x:v>12</x:v>
      </x:c>
      <x:c r="H888" s="56" t="str">
        <x:v>病例特异得分项</x:v>
      </x:c>
      <x:c r="I888" s="56" t="str">
        <x:v>否</x:v>
      </x:c>
      <x:c r="J888" s="56" t="str">
        <x:v>否</x:v>
      </x:c>
      <x:c r="K888" s="56" t="str">
        <x:v>否</x:v>
      </x:c>
      <x:c r="L888" s="56" t="str">
        <x:v>按结构化事件证据给予0/部分/满分；不能由总结反推已完成</x:v>
      </x:c>
      <x:c r="M888" s="56" t="str"/>
      <x:c r="N888" s="56" t="n">
        <x:f>SUMIFS($G$4:$G$1673,$A$4:$A$1673,A888)</x:f>
        <x:v>360</x:v>
      </x:c>
      <x:c r="O888" s="56" t="str">
        <x:f>IF(N888=360,"通过","失败")</x:f>
        <x:v>通过</x:v>
      </x:c>
      <x:c r="P888" s="56" t="str"/>
      <x:c r="Q888" s="59" t="str">
        <x:v>待确认</x:v>
      </x:c>
    </x:row>
    <x:row r="889">
      <x:c r="A889" s="56" t="str">
        <x:v>P022</x:v>
      </x:c>
      <x:c r="B889" s="56" t="str">
        <x:v>HX-ADD-010</x:v>
      </x:c>
      <x:c r="C889" s="56" t="str">
        <x:v>treatment</x:v>
      </x:c>
      <x:c r="D889" s="56" t="n">
        <x:v>50</x:v>
      </x:c>
      <x:c r="E889" s="56" t="str">
        <x:v>treatment.perioperative</x:v>
      </x:c>
      <x:c r="F889" s="56" t="str">
        <x:v>perioperative</x:v>
      </x:c>
      <x:c r="G889" s="56" t="n">
        <x:v>12</x:v>
      </x:c>
      <x:c r="H889" s="56" t="str">
        <x:v>病例特异得分项</x:v>
      </x:c>
      <x:c r="I889" s="56" t="str">
        <x:v>否</x:v>
      </x:c>
      <x:c r="J889" s="56" t="str">
        <x:v>否</x:v>
      </x:c>
      <x:c r="K889" s="56" t="str">
        <x:v>否</x:v>
      </x:c>
      <x:c r="L889" s="56" t="str">
        <x:v>按结构化事件证据给予0/部分/满分；不能由总结反推已完成</x:v>
      </x:c>
      <x:c r="M889" s="56" t="str"/>
      <x:c r="N889" s="56" t="n">
        <x:f>SUMIFS($G$4:$G$1673,$A$4:$A$1673,A889)</x:f>
        <x:v>360</x:v>
      </x:c>
      <x:c r="O889" s="56" t="str">
        <x:f>IF(N889=360,"通过","失败")</x:f>
        <x:v>通过</x:v>
      </x:c>
      <x:c r="P889" s="56" t="str"/>
      <x:c r="Q889" s="59" t="str">
        <x:v>待确认</x:v>
      </x:c>
    </x:row>
    <x:row r="890">
      <x:c r="A890" s="56" t="str">
        <x:v>P022</x:v>
      </x:c>
      <x:c r="B890" s="56" t="str">
        <x:v>HX-ADD-010</x:v>
      </x:c>
      <x:c r="C890" s="56" t="str">
        <x:v>followup</x:v>
      </x:c>
      <x:c r="D890" s="56" t="n">
        <x:v>40</x:v>
      </x:c>
      <x:c r="E890" s="56" t="str">
        <x:v>followup.plan</x:v>
      </x:c>
      <x:c r="F890" s="56" t="str">
        <x:v>随访复查</x:v>
      </x:c>
      <x:c r="G890" s="56" t="n">
        <x:v>10</x:v>
      </x:c>
      <x:c r="H890" s="56" t="str">
        <x:v>普通得分项</x:v>
      </x:c>
      <x:c r="I890" s="56" t="str">
        <x:v>否</x:v>
      </x:c>
      <x:c r="J890" s="56" t="str">
        <x:v>否</x:v>
      </x:c>
      <x:c r="K890" s="56" t="str">
        <x:v>否</x:v>
      </x:c>
      <x:c r="L890" s="56" t="str">
        <x:v>按结构化事件证据给予0/部分/满分；不能由总结反推已完成</x:v>
      </x:c>
      <x:c r="M890" s="56" t="str"/>
      <x:c r="N890" s="56" t="n">
        <x:f>SUMIFS($G$4:$G$1673,$A$4:$A$1673,A890)</x:f>
        <x:v>360</x:v>
      </x:c>
      <x:c r="O890" s="56" t="str">
        <x:f>IF(N890=360,"通过","失败")</x:f>
        <x:v>通过</x:v>
      </x:c>
      <x:c r="P890" s="56" t="str"/>
      <x:c r="Q890" s="59" t="str">
        <x:v>待确认</x:v>
      </x:c>
    </x:row>
    <x:row r="891">
      <x:c r="A891" s="56" t="str">
        <x:v>P022</x:v>
      </x:c>
      <x:c r="B891" s="56" t="str">
        <x:v>HX-ADD-010</x:v>
      </x:c>
      <x:c r="C891" s="56" t="str">
        <x:v>followup</x:v>
      </x:c>
      <x:c r="D891" s="56" t="n">
        <x:v>40</x:v>
      </x:c>
      <x:c r="E891" s="56" t="str">
        <x:v>followup.education</x:v>
      </x:c>
      <x:c r="F891" s="56" t="str">
        <x:v>患者教育</x:v>
      </x:c>
      <x:c r="G891" s="56" t="n">
        <x:v>10</x:v>
      </x:c>
      <x:c r="H891" s="56" t="str">
        <x:v>普通得分项</x:v>
      </x:c>
      <x:c r="I891" s="56" t="str">
        <x:v>否</x:v>
      </x:c>
      <x:c r="J891" s="56" t="str">
        <x:v>否</x:v>
      </x:c>
      <x:c r="K891" s="56" t="str">
        <x:v>否</x:v>
      </x:c>
      <x:c r="L891" s="56" t="str">
        <x:v>按结构化事件证据给予0/部分/满分；不能由总结反推已完成</x:v>
      </x:c>
      <x:c r="M891" s="56" t="str"/>
      <x:c r="N891" s="56" t="n">
        <x:f>SUMIFS($G$4:$G$1673,$A$4:$A$1673,A891)</x:f>
        <x:v>360</x:v>
      </x:c>
      <x:c r="O891" s="56" t="str">
        <x:f>IF(N891=360,"通过","失败")</x:f>
        <x:v>通过</x:v>
      </x:c>
      <x:c r="P891" s="56" t="str"/>
      <x:c r="Q891" s="59" t="str">
        <x:v>待确认</x:v>
      </x:c>
    </x:row>
    <x:row r="892">
      <x:c r="A892" s="56" t="str">
        <x:v>P022</x:v>
      </x:c>
      <x:c r="B892" s="56" t="str">
        <x:v>HX-ADD-010</x:v>
      </x:c>
      <x:c r="C892" s="56" t="str">
        <x:v>followup</x:v>
      </x:c>
      <x:c r="D892" s="56" t="n">
        <x:v>40</x:v>
      </x:c>
      <x:c r="E892" s="56" t="str">
        <x:v>followup.reflection</x:v>
      </x:c>
      <x:c r="F892" s="56" t="str">
        <x:v>学习反思质量</x:v>
      </x:c>
      <x:c r="G892" s="56" t="n">
        <x:v>10</x:v>
      </x:c>
      <x:c r="H892" s="56" t="str">
        <x:v>普通得分项</x:v>
      </x:c>
      <x:c r="I892" s="56" t="str">
        <x:v>否</x:v>
      </x:c>
      <x:c r="J892" s="56" t="str">
        <x:v>否</x:v>
      </x:c>
      <x:c r="K892" s="56" t="str">
        <x:v>否</x:v>
      </x:c>
      <x:c r="L892" s="56" t="str">
        <x:v>按结构化事件证据给予0/部分/满分；不能由总结反推已完成</x:v>
      </x:c>
      <x:c r="M892" s="56" t="str"/>
      <x:c r="N892" s="56" t="n">
        <x:f>SUMIFS($G$4:$G$1673,$A$4:$A$1673,A892)</x:f>
        <x:v>360</x:v>
      </x:c>
      <x:c r="O892" s="56" t="str">
        <x:f>IF(N892=360,"通过","失败")</x:f>
        <x:v>通过</x:v>
      </x:c>
      <x:c r="P892" s="56" t="str"/>
      <x:c r="Q892" s="59" t="str">
        <x:v>待确认</x:v>
      </x:c>
    </x:row>
    <x:row r="893">
      <x:c r="A893" s="56" t="str">
        <x:v>P022</x:v>
      </x:c>
      <x:c r="B893" s="56" t="str">
        <x:v>HX-ADD-010</x:v>
      </x:c>
      <x:c r="C893" s="56" t="str">
        <x:v>followup</x:v>
      </x:c>
      <x:c r="D893" s="56" t="n">
        <x:v>40</x:v>
      </x:c>
      <x:c r="E893" s="56" t="str">
        <x:v>followup.efficiency</x:v>
      </x:c>
      <x:c r="F893" s="56" t="str">
        <x:v>操作效率</x:v>
      </x:c>
      <x:c r="G893" s="56" t="n">
        <x:v>10</x:v>
      </x:c>
      <x:c r="H893" s="56" t="str">
        <x:v>普通得分项</x:v>
      </x:c>
      <x:c r="I893" s="56" t="str">
        <x:v>否</x:v>
      </x:c>
      <x:c r="J893" s="56" t="str">
        <x:v>否</x:v>
      </x:c>
      <x:c r="K893" s="56" t="str">
        <x:v>否</x:v>
      </x:c>
      <x:c r="L893" s="56" t="str">
        <x:v>按结构化事件证据给予0/部分/满分；不能由总结反推已完成</x:v>
      </x:c>
      <x:c r="M893" s="56" t="str"/>
      <x:c r="N893" s="56" t="n">
        <x:f>SUMIFS($G$4:$G$1673,$A$4:$A$1673,A893)</x:f>
        <x:v>360</x:v>
      </x:c>
      <x:c r="O893" s="56" t="str">
        <x:f>IF(N893=360,"通过","失败")</x:f>
        <x:v>通过</x:v>
      </x:c>
      <x:c r="P893" s="56" t="str"/>
      <x:c r="Q893" s="59" t="str">
        <x:v>待确认</x:v>
      </x:c>
    </x:row>
    <x:row r="894">
      <x:c r="A894" s="56" t="str">
        <x:v>P023</x:v>
      </x:c>
      <x:c r="B894" s="56" t="str">
        <x:v>HX-ADD-011</x:v>
      </x:c>
      <x:c r="C894" s="56" t="str">
        <x:v>history</x:v>
      </x:c>
      <x:c r="D894" s="56" t="n">
        <x:v>50</x:v>
      </x:c>
      <x:c r="E894" s="56" t="str">
        <x:v>history.hematuria_visibility</x:v>
      </x:c>
      <x:c r="F894" s="56" t="str">
        <x:v>hematuria_visibility</x:v>
      </x:c>
      <x:c r="G894" s="56" t="n">
        <x:v>5</x:v>
      </x:c>
      <x:c r="H894" s="56" t="str">
        <x:v>普通得分项</x:v>
      </x:c>
      <x:c r="I894" s="56" t="str">
        <x:v>否</x:v>
      </x:c>
      <x:c r="J894" s="56" t="str">
        <x:v>否</x:v>
      </x:c>
      <x:c r="K894" s="56" t="str">
        <x:v>否</x:v>
      </x:c>
      <x:c r="L894" s="56" t="str">
        <x:v>按结构化事件证据给予0/部分/满分；不能由总结反推已完成</x:v>
      </x:c>
      <x:c r="M894" s="56" t="str"/>
      <x:c r="N894" s="56" t="n">
        <x:f>SUMIFS($G$4:$G$1673,$A$4:$A$1673,A894)</x:f>
        <x:v>360</x:v>
      </x:c>
      <x:c r="O894" s="56" t="str">
        <x:f>IF(N894=360,"通过","失败")</x:f>
        <x:v>通过</x:v>
      </x:c>
      <x:c r="P894" s="56" t="str"/>
      <x:c r="Q894" s="59" t="str">
        <x:v>待确认</x:v>
      </x:c>
    </x:row>
    <x:row r="895">
      <x:c r="A895" s="56" t="str">
        <x:v>P023</x:v>
      </x:c>
      <x:c r="B895" s="56" t="str">
        <x:v>HX-ADD-011</x:v>
      </x:c>
      <x:c r="C895" s="56" t="str">
        <x:v>history</x:v>
      </x:c>
      <x:c r="D895" s="56" t="n">
        <x:v>50</x:v>
      </x:c>
      <x:c r="E895" s="56" t="str">
        <x:v>history.hematuria_onset</x:v>
      </x:c>
      <x:c r="F895" s="56" t="str">
        <x:v>hematuria_onset</x:v>
      </x:c>
      <x:c r="G895" s="56" t="n">
        <x:v>5</x:v>
      </x:c>
      <x:c r="H895" s="56" t="str">
        <x:v>普通得分项</x:v>
      </x:c>
      <x:c r="I895" s="56" t="str">
        <x:v>否</x:v>
      </x:c>
      <x:c r="J895" s="56" t="str">
        <x:v>否</x:v>
      </x:c>
      <x:c r="K895" s="56" t="str">
        <x:v>否</x:v>
      </x:c>
      <x:c r="L895" s="56" t="str">
        <x:v>按结构化事件证据给予0/部分/满分；不能由总结反推已完成</x:v>
      </x:c>
      <x:c r="M895" s="56" t="str"/>
      <x:c r="N895" s="56" t="n">
        <x:f>SUMIFS($G$4:$G$1673,$A$4:$A$1673,A895)</x:f>
        <x:v>360</x:v>
      </x:c>
      <x:c r="O895" s="56" t="str">
        <x:f>IF(N895=360,"通过","失败")</x:f>
        <x:v>通过</x:v>
      </x:c>
      <x:c r="P895" s="56" t="str"/>
      <x:c r="Q895" s="59" t="str">
        <x:v>待确认</x:v>
      </x:c>
    </x:row>
    <x:row r="896">
      <x:c r="A896" s="56" t="str">
        <x:v>P023</x:v>
      </x:c>
      <x:c r="B896" s="56" t="str">
        <x:v>HX-ADD-011</x:v>
      </x:c>
      <x:c r="C896" s="56" t="str">
        <x:v>history</x:v>
      </x:c>
      <x:c r="D896" s="56" t="n">
        <x:v>50</x:v>
      </x:c>
      <x:c r="E896" s="56" t="str">
        <x:v>history.hematuria_frequency</x:v>
      </x:c>
      <x:c r="F896" s="56" t="str">
        <x:v>hematuria_frequency</x:v>
      </x:c>
      <x:c r="G896" s="56" t="n">
        <x:v>4</x:v>
      </x:c>
      <x:c r="H896" s="56" t="str">
        <x:v>普通得分项</x:v>
      </x:c>
      <x:c r="I896" s="56" t="str">
        <x:v>否</x:v>
      </x:c>
      <x:c r="J896" s="56" t="str">
        <x:v>否</x:v>
      </x:c>
      <x:c r="K896" s="56" t="str">
        <x:v>否</x:v>
      </x:c>
      <x:c r="L896" s="56" t="str">
        <x:v>按结构化事件证据给予0/部分/满分；不能由总结反推已完成</x:v>
      </x:c>
      <x:c r="M896" s="56" t="str"/>
      <x:c r="N896" s="56" t="n">
        <x:f>SUMIFS($G$4:$G$1673,$A$4:$A$1673,A896)</x:f>
        <x:v>360</x:v>
      </x:c>
      <x:c r="O896" s="56" t="str">
        <x:f>IF(N896=360,"通过","失败")</x:f>
        <x:v>通过</x:v>
      </x:c>
      <x:c r="P896" s="56" t="str"/>
      <x:c r="Q896" s="59" t="str">
        <x:v>待确认</x:v>
      </x:c>
    </x:row>
    <x:row r="897">
      <x:c r="A897" s="56" t="str">
        <x:v>P023</x:v>
      </x:c>
      <x:c r="B897" s="56" t="str">
        <x:v>HX-ADD-011</x:v>
      </x:c>
      <x:c r="C897" s="56" t="str">
        <x:v>history</x:v>
      </x:c>
      <x:c r="D897" s="56" t="n">
        <x:v>50</x:v>
      </x:c>
      <x:c r="E897" s="56" t="str">
        <x:v>history.hematuria_phase</x:v>
      </x:c>
      <x:c r="F897" s="56" t="str">
        <x:v>hematuria_phase</x:v>
      </x:c>
      <x:c r="G897" s="56" t="n">
        <x:v>4</x:v>
      </x:c>
      <x:c r="H897" s="56" t="str">
        <x:v>普通得分项</x:v>
      </x:c>
      <x:c r="I897" s="56" t="str">
        <x:v>否</x:v>
      </x:c>
      <x:c r="J897" s="56" t="str">
        <x:v>否</x:v>
      </x:c>
      <x:c r="K897" s="56" t="str">
        <x:v>否</x:v>
      </x:c>
      <x:c r="L897" s="56" t="str">
        <x:v>按结构化事件证据给予0/部分/满分；不能由总结反推已完成</x:v>
      </x:c>
      <x:c r="M897" s="56" t="str"/>
      <x:c r="N897" s="56" t="n">
        <x:f>SUMIFS($G$4:$G$1673,$A$4:$A$1673,A897)</x:f>
        <x:v>360</x:v>
      </x:c>
      <x:c r="O897" s="56" t="str">
        <x:f>IF(N897=360,"通过","失败")</x:f>
        <x:v>通过</x:v>
      </x:c>
      <x:c r="P897" s="56" t="str"/>
      <x:c r="Q897" s="59" t="str">
        <x:v>待确认</x:v>
      </x:c>
    </x:row>
    <x:row r="898">
      <x:c r="A898" s="56" t="str">
        <x:v>P023</x:v>
      </x:c>
      <x:c r="B898" s="56" t="str">
        <x:v>HX-ADD-011</x:v>
      </x:c>
      <x:c r="C898" s="56" t="str">
        <x:v>history</x:v>
      </x:c>
      <x:c r="D898" s="56" t="n">
        <x:v>50</x:v>
      </x:c>
      <x:c r="E898" s="56" t="str">
        <x:v>history.urine_color</x:v>
      </x:c>
      <x:c r="F898" s="56" t="str">
        <x:v>urine_color</x:v>
      </x:c>
      <x:c r="G898" s="56" t="n">
        <x:v>4</x:v>
      </x:c>
      <x:c r="H898" s="56" t="str">
        <x:v>普通得分项</x:v>
      </x:c>
      <x:c r="I898" s="56" t="str">
        <x:v>否</x:v>
      </x:c>
      <x:c r="J898" s="56" t="str">
        <x:v>否</x:v>
      </x:c>
      <x:c r="K898" s="56" t="str">
        <x:v>否</x:v>
      </x:c>
      <x:c r="L898" s="56" t="str">
        <x:v>按结构化事件证据给予0/部分/满分；不能由总结反推已完成</x:v>
      </x:c>
      <x:c r="M898" s="56" t="str"/>
      <x:c r="N898" s="56" t="n">
        <x:f>SUMIFS($G$4:$G$1673,$A$4:$A$1673,A898)</x:f>
        <x:v>360</x:v>
      </x:c>
      <x:c r="O898" s="56" t="str">
        <x:f>IF(N898=360,"通过","失败")</x:f>
        <x:v>通过</x:v>
      </x:c>
      <x:c r="P898" s="56" t="str"/>
      <x:c r="Q898" s="59" t="str">
        <x:v>待确认</x:v>
      </x:c>
    </x:row>
    <x:row r="899">
      <x:c r="A899" s="56" t="str">
        <x:v>P023</x:v>
      </x:c>
      <x:c r="B899" s="56" t="str">
        <x:v>HX-ADD-011</x:v>
      </x:c>
      <x:c r="C899" s="56" t="str">
        <x:v>history</x:v>
      </x:c>
      <x:c r="D899" s="56" t="n">
        <x:v>50</x:v>
      </x:c>
      <x:c r="E899" s="56" t="str">
        <x:v>history.clots</x:v>
      </x:c>
      <x:c r="F899" s="56" t="str">
        <x:v>clots</x:v>
      </x:c>
      <x:c r="G899" s="56" t="n">
        <x:v>4</x:v>
      </x:c>
      <x:c r="H899" s="56" t="str">
        <x:v>普通得分项</x:v>
      </x:c>
      <x:c r="I899" s="56" t="str">
        <x:v>否</x:v>
      </x:c>
      <x:c r="J899" s="56" t="str">
        <x:v>否</x:v>
      </x:c>
      <x:c r="K899" s="56" t="str">
        <x:v>否</x:v>
      </x:c>
      <x:c r="L899" s="56" t="str">
        <x:v>按结构化事件证据给予0/部分/满分；不能由总结反推已完成</x:v>
      </x:c>
      <x:c r="M899" s="56" t="str"/>
      <x:c r="N899" s="56" t="n">
        <x:f>SUMIFS($G$4:$G$1673,$A$4:$A$1673,A899)</x:f>
        <x:v>360</x:v>
      </x:c>
      <x:c r="O899" s="56" t="str">
        <x:f>IF(N899=360,"通过","失败")</x:f>
        <x:v>通过</x:v>
      </x:c>
      <x:c r="P899" s="56" t="str"/>
      <x:c r="Q899" s="59" t="str">
        <x:v>待确认</x:v>
      </x:c>
    </x:row>
    <x:row r="900">
      <x:c r="A900" s="56" t="str">
        <x:v>P023</x:v>
      </x:c>
      <x:c r="B900" s="56" t="str">
        <x:v>HX-ADD-011</x:v>
      </x:c>
      <x:c r="C900" s="56" t="str">
        <x:v>history</x:v>
      </x:c>
      <x:c r="D900" s="56" t="n">
        <x:v>50</x:v>
      </x:c>
      <x:c r="E900" s="56" t="str">
        <x:v>history.pain</x:v>
      </x:c>
      <x:c r="F900" s="56" t="str">
        <x:v>pain</x:v>
      </x:c>
      <x:c r="G900" s="56" t="n">
        <x:v>4</x:v>
      </x:c>
      <x:c r="H900" s="56" t="str">
        <x:v>普通得分项</x:v>
      </x:c>
      <x:c r="I900" s="56" t="str">
        <x:v>否</x:v>
      </x:c>
      <x:c r="J900" s="56" t="str">
        <x:v>否</x:v>
      </x:c>
      <x:c r="K900" s="56" t="str">
        <x:v>否</x:v>
      </x:c>
      <x:c r="L900" s="56" t="str">
        <x:v>按结构化事件证据给予0/部分/满分；不能由总结反推已完成</x:v>
      </x:c>
      <x:c r="M900" s="56" t="str"/>
      <x:c r="N900" s="56" t="n">
        <x:f>SUMIFS($G$4:$G$1673,$A$4:$A$1673,A900)</x:f>
        <x:v>360</x:v>
      </x:c>
      <x:c r="O900" s="56" t="str">
        <x:f>IF(N900=360,"通过","失败")</x:f>
        <x:v>通过</x:v>
      </x:c>
      <x:c r="P900" s="56" t="str"/>
      <x:c r="Q900" s="59" t="str">
        <x:v>待确认</x:v>
      </x:c>
    </x:row>
    <x:row r="901">
      <x:c r="A901" s="56" t="str">
        <x:v>P023</x:v>
      </x:c>
      <x:c r="B901" s="56" t="str">
        <x:v>HX-ADD-011</x:v>
      </x:c>
      <x:c r="C901" s="56" t="str">
        <x:v>history</x:v>
      </x:c>
      <x:c r="D901" s="56" t="n">
        <x:v>50</x:v>
      </x:c>
      <x:c r="E901" s="56" t="str">
        <x:v>history.dysuria</x:v>
      </x:c>
      <x:c r="F901" s="56" t="str">
        <x:v>dysuria</x:v>
      </x:c>
      <x:c r="G901" s="56" t="n">
        <x:v>4</x:v>
      </x:c>
      <x:c r="H901" s="56" t="str">
        <x:v>普通得分项</x:v>
      </x:c>
      <x:c r="I901" s="56" t="str">
        <x:v>否</x:v>
      </x:c>
      <x:c r="J901" s="56" t="str">
        <x:v>否</x:v>
      </x:c>
      <x:c r="K901" s="56" t="str">
        <x:v>否</x:v>
      </x:c>
      <x:c r="L901" s="56" t="str">
        <x:v>按结构化事件证据给予0/部分/满分；不能由总结反推已完成</x:v>
      </x:c>
      <x:c r="M901" s="56" t="str"/>
      <x:c r="N901" s="56" t="n">
        <x:f>SUMIFS($G$4:$G$1673,$A$4:$A$1673,A901)</x:f>
        <x:v>360</x:v>
      </x:c>
      <x:c r="O901" s="56" t="str">
        <x:f>IF(N901=360,"通过","失败")</x:f>
        <x:v>通过</x:v>
      </x:c>
      <x:c r="P901" s="56" t="str"/>
      <x:c r="Q901" s="59" t="str">
        <x:v>待确认</x:v>
      </x:c>
    </x:row>
    <x:row r="902">
      <x:c r="A902" s="56" t="str">
        <x:v>P023</x:v>
      </x:c>
      <x:c r="B902" s="56" t="str">
        <x:v>HX-ADD-011</x:v>
      </x:c>
      <x:c r="C902" s="56" t="str">
        <x:v>history</x:v>
      </x:c>
      <x:c r="D902" s="56" t="n">
        <x:v>50</x:v>
      </x:c>
      <x:c r="E902" s="56" t="str">
        <x:v>history.urinary_frequency</x:v>
      </x:c>
      <x:c r="F902" s="56" t="str">
        <x:v>urinary_frequency</x:v>
      </x:c>
      <x:c r="G902" s="56" t="n">
        <x:v>4</x:v>
      </x:c>
      <x:c r="H902" s="56" t="str">
        <x:v>普通得分项</x:v>
      </x:c>
      <x:c r="I902" s="56" t="str">
        <x:v>否</x:v>
      </x:c>
      <x:c r="J902" s="56" t="str">
        <x:v>否</x:v>
      </x:c>
      <x:c r="K902" s="56" t="str">
        <x:v>否</x:v>
      </x:c>
      <x:c r="L902" s="56" t="str">
        <x:v>按结构化事件证据给予0/部分/满分；不能由总结反推已完成</x:v>
      </x:c>
      <x:c r="M902" s="56" t="str"/>
      <x:c r="N902" s="56" t="n">
        <x:f>SUMIFS($G$4:$G$1673,$A$4:$A$1673,A902)</x:f>
        <x:v>360</x:v>
      </x:c>
      <x:c r="O902" s="56" t="str">
        <x:f>IF(N902=360,"通过","失败")</x:f>
        <x:v>通过</x:v>
      </x:c>
      <x:c r="P902" s="56" t="str"/>
      <x:c r="Q902" s="59" t="str">
        <x:v>待确认</x:v>
      </x:c>
    </x:row>
    <x:row r="903">
      <x:c r="A903" s="56" t="str">
        <x:v>P023</x:v>
      </x:c>
      <x:c r="B903" s="56" t="str">
        <x:v>HX-ADD-011</x:v>
      </x:c>
      <x:c r="C903" s="56" t="str">
        <x:v>history</x:v>
      </x:c>
      <x:c r="D903" s="56" t="n">
        <x:v>50</x:v>
      </x:c>
      <x:c r="E903" s="56" t="str">
        <x:v>history.urinary_urgency</x:v>
      </x:c>
      <x:c r="F903" s="56" t="str">
        <x:v>urinary_urgency</x:v>
      </x:c>
      <x:c r="G903" s="56" t="n">
        <x:v>4</x:v>
      </x:c>
      <x:c r="H903" s="56" t="str">
        <x:v>普通得分项</x:v>
      </x:c>
      <x:c r="I903" s="56" t="str">
        <x:v>否</x:v>
      </x:c>
      <x:c r="J903" s="56" t="str">
        <x:v>否</x:v>
      </x:c>
      <x:c r="K903" s="56" t="str">
        <x:v>否</x:v>
      </x:c>
      <x:c r="L903" s="56" t="str">
        <x:v>按结构化事件证据给予0/部分/满分；不能由总结反推已完成</x:v>
      </x:c>
      <x:c r="M903" s="56" t="str"/>
      <x:c r="N903" s="56" t="n">
        <x:f>SUMIFS($G$4:$G$1673,$A$4:$A$1673,A903)</x:f>
        <x:v>360</x:v>
      </x:c>
      <x:c r="O903" s="56" t="str">
        <x:f>IF(N903=360,"通过","失败")</x:f>
        <x:v>通过</x:v>
      </x:c>
      <x:c r="P903" s="56" t="str"/>
      <x:c r="Q903" s="59" t="str">
        <x:v>待确认</x:v>
      </x:c>
    </x:row>
    <x:row r="904">
      <x:c r="A904" s="56" t="str">
        <x:v>P023</x:v>
      </x:c>
      <x:c r="B904" s="56" t="str">
        <x:v>HX-ADD-011</x:v>
      </x:c>
      <x:c r="C904" s="56" t="str">
        <x:v>history</x:v>
      </x:c>
      <x:c r="D904" s="56" t="n">
        <x:v>50</x:v>
      </x:c>
      <x:c r="E904" s="56" t="str">
        <x:v>history.flank_pain</x:v>
      </x:c>
      <x:c r="F904" s="56" t="str">
        <x:v>flank_pain</x:v>
      </x:c>
      <x:c r="G904" s="56" t="n">
        <x:v>4</x:v>
      </x:c>
      <x:c r="H904" s="56" t="str">
        <x:v>普通得分项</x:v>
      </x:c>
      <x:c r="I904" s="56" t="str">
        <x:v>否</x:v>
      </x:c>
      <x:c r="J904" s="56" t="str">
        <x:v>否</x:v>
      </x:c>
      <x:c r="K904" s="56" t="str">
        <x:v>否</x:v>
      </x:c>
      <x:c r="L904" s="56" t="str">
        <x:v>按结构化事件证据给予0/部分/满分；不能由总结反推已完成</x:v>
      </x:c>
      <x:c r="M904" s="56" t="str"/>
      <x:c r="N904" s="56" t="n">
        <x:f>SUMIFS($G$4:$G$1673,$A$4:$A$1673,A904)</x:f>
        <x:v>360</x:v>
      </x:c>
      <x:c r="O904" s="56" t="str">
        <x:f>IF(N904=360,"通过","失败")</x:f>
        <x:v>通过</x:v>
      </x:c>
      <x:c r="P904" s="56" t="str"/>
      <x:c r="Q904" s="59" t="str">
        <x:v>待确认</x:v>
      </x:c>
    </x:row>
    <x:row r="905">
      <x:c r="A905" s="56" t="str">
        <x:v>P023</x:v>
      </x:c>
      <x:c r="B905" s="56" t="str">
        <x:v>HX-ADD-011</x:v>
      </x:c>
      <x:c r="C905" s="56" t="str">
        <x:v>history</x:v>
      </x:c>
      <x:c r="D905" s="56" t="n">
        <x:v>50</x:v>
      </x:c>
      <x:c r="E905" s="56" t="str">
        <x:v>history.fever_chills</x:v>
      </x:c>
      <x:c r="F905" s="56" t="str">
        <x:v>fever_chills</x:v>
      </x:c>
      <x:c r="G905" s="56" t="n">
        <x:v>4</x:v>
      </x:c>
      <x:c r="H905" s="56" t="str">
        <x:v>普通得分项</x:v>
      </x:c>
      <x:c r="I905" s="56" t="str">
        <x:v>否</x:v>
      </x:c>
      <x:c r="J905" s="56" t="str">
        <x:v>否</x:v>
      </x:c>
      <x:c r="K905" s="56" t="str">
        <x:v>否</x:v>
      </x:c>
      <x:c r="L905" s="56" t="str">
        <x:v>按结构化事件证据给予0/部分/满分；不能由总结反推已完成</x:v>
      </x:c>
      <x:c r="M905" s="56" t="str"/>
      <x:c r="N905" s="56" t="n">
        <x:f>SUMIFS($G$4:$G$1673,$A$4:$A$1673,A905)</x:f>
        <x:v>360</x:v>
      </x:c>
      <x:c r="O905" s="56" t="str">
        <x:f>IF(N905=360,"通过","失败")</x:f>
        <x:v>通过</x:v>
      </x:c>
      <x:c r="P905" s="56" t="str"/>
      <x:c r="Q905" s="59" t="str">
        <x:v>待确认</x:v>
      </x:c>
    </x:row>
    <x:row r="906">
      <x:c r="A906" s="56" t="str">
        <x:v>P023</x:v>
      </x:c>
      <x:c r="B906" s="56" t="str">
        <x:v>HX-ADD-011</x:v>
      </x:c>
      <x:c r="C906" s="56" t="str">
        <x:v>risk</x:v>
      </x:c>
      <x:c r="D906" s="56" t="n">
        <x:v>40</x:v>
      </x:c>
      <x:c r="E906" s="56" t="str">
        <x:v>risk.stone_history</x:v>
      </x:c>
      <x:c r="F906" s="56" t="str">
        <x:v>stone_history</x:v>
      </x:c>
      <x:c r="G906" s="56" t="n">
        <x:v>10</x:v>
      </x:c>
      <x:c r="H906" s="56" t="str">
        <x:v>普通得分项</x:v>
      </x:c>
      <x:c r="I906" s="56" t="str">
        <x:v>否</x:v>
      </x:c>
      <x:c r="J906" s="56" t="str">
        <x:v>否</x:v>
      </x:c>
      <x:c r="K906" s="56" t="str">
        <x:v>否</x:v>
      </x:c>
      <x:c r="L906" s="56" t="str">
        <x:v>按结构化事件证据给予0/部分/满分；不能由总结反推已完成</x:v>
      </x:c>
      <x:c r="M906" s="56" t="str"/>
      <x:c r="N906" s="56" t="n">
        <x:f>SUMIFS($G$4:$G$1673,$A$4:$A$1673,A906)</x:f>
        <x:v>360</x:v>
      </x:c>
      <x:c r="O906" s="56" t="str">
        <x:f>IF(N906=360,"通过","失败")</x:f>
        <x:v>通过</x:v>
      </x:c>
      <x:c r="P906" s="56" t="str"/>
      <x:c r="Q906" s="59" t="str">
        <x:v>待确认</x:v>
      </x:c>
    </x:row>
    <x:row r="907">
      <x:c r="A907" s="56" t="str">
        <x:v>P023</x:v>
      </x:c>
      <x:c r="B907" s="56" t="str">
        <x:v>HX-ADD-011</x:v>
      </x:c>
      <x:c r="C907" s="56" t="str">
        <x:v>risk</x:v>
      </x:c>
      <x:c r="D907" s="56" t="n">
        <x:v>40</x:v>
      </x:c>
      <x:c r="E907" s="56" t="str">
        <x:v>risk.triggers</x:v>
      </x:c>
      <x:c r="F907" s="56" t="str">
        <x:v>triggers</x:v>
      </x:c>
      <x:c r="G907" s="56" t="n">
        <x:v>10</x:v>
      </x:c>
      <x:c r="H907" s="56" t="str">
        <x:v>普通得分项</x:v>
      </x:c>
      <x:c r="I907" s="56" t="str">
        <x:v>否</x:v>
      </x:c>
      <x:c r="J907" s="56" t="str">
        <x:v>否</x:v>
      </x:c>
      <x:c r="K907" s="56" t="str">
        <x:v>否</x:v>
      </x:c>
      <x:c r="L907" s="56" t="str">
        <x:v>按结构化事件证据给予0/部分/满分；不能由总结反推已完成</x:v>
      </x:c>
      <x:c r="M907" s="56" t="str"/>
      <x:c r="N907" s="56" t="n">
        <x:f>SUMIFS($G$4:$G$1673,$A$4:$A$1673,A907)</x:f>
        <x:v>360</x:v>
      </x:c>
      <x:c r="O907" s="56" t="str">
        <x:f>IF(N907=360,"通过","失败")</x:f>
        <x:v>通过</x:v>
      </x:c>
      <x:c r="P907" s="56" t="str"/>
      <x:c r="Q907" s="59" t="str">
        <x:v>待确认</x:v>
      </x:c>
    </x:row>
    <x:row r="908">
      <x:c r="A908" s="56" t="str">
        <x:v>P023</x:v>
      </x:c>
      <x:c r="B908" s="56" t="str">
        <x:v>HX-ADD-011</x:v>
      </x:c>
      <x:c r="C908" s="56" t="str">
        <x:v>risk</x:v>
      </x:c>
      <x:c r="D908" s="56" t="n">
        <x:v>40</x:v>
      </x:c>
      <x:c r="E908" s="56" t="str">
        <x:v>risk.uti_history</x:v>
      </x:c>
      <x:c r="F908" s="56" t="str">
        <x:v>uti_history</x:v>
      </x:c>
      <x:c r="G908" s="56" t="n">
        <x:v>10</x:v>
      </x:c>
      <x:c r="H908" s="56" t="str">
        <x:v>普通得分项</x:v>
      </x:c>
      <x:c r="I908" s="56" t="str">
        <x:v>否</x:v>
      </x:c>
      <x:c r="J908" s="56" t="str">
        <x:v>否</x:v>
      </x:c>
      <x:c r="K908" s="56" t="str">
        <x:v>否</x:v>
      </x:c>
      <x:c r="L908" s="56" t="str">
        <x:v>按结构化事件证据给予0/部分/满分；不能由总结反推已完成</x:v>
      </x:c>
      <x:c r="M908" s="56" t="str"/>
      <x:c r="N908" s="56" t="n">
        <x:f>SUMIFS($G$4:$G$1673,$A$4:$A$1673,A908)</x:f>
        <x:v>360</x:v>
      </x:c>
      <x:c r="O908" s="56" t="str">
        <x:f>IF(N908=360,"通过","失败")</x:f>
        <x:v>通过</x:v>
      </x:c>
      <x:c r="P908" s="56" t="str"/>
      <x:c r="Q908" s="59" t="str">
        <x:v>待确认</x:v>
      </x:c>
    </x:row>
    <x:row r="909">
      <x:c r="A909" s="56" t="str">
        <x:v>P023</x:v>
      </x:c>
      <x:c r="B909" s="56" t="str">
        <x:v>HX-ADD-011</x:v>
      </x:c>
      <x:c r="C909" s="56" t="str">
        <x:v>risk</x:v>
      </x:c>
      <x:c r="D909" s="56" t="n">
        <x:v>40</x:v>
      </x:c>
      <x:c r="E909" s="56" t="str">
        <x:v>risk.retention</x:v>
      </x:c>
      <x:c r="F909" s="56" t="str">
        <x:v>retention</x:v>
      </x:c>
      <x:c r="G909" s="56" t="n">
        <x:v>10</x:v>
      </x:c>
      <x:c r="H909" s="56" t="str">
        <x:v>普通得分项</x:v>
      </x:c>
      <x:c r="I909" s="56" t="str">
        <x:v>否</x:v>
      </x:c>
      <x:c r="J909" s="56" t="str">
        <x:v>否</x:v>
      </x:c>
      <x:c r="K909" s="56" t="str">
        <x:v>否</x:v>
      </x:c>
      <x:c r="L909" s="56" t="str">
        <x:v>按结构化事件证据给予0/部分/满分；不能由总结反推已完成</x:v>
      </x:c>
      <x:c r="M909" s="56" t="str"/>
      <x:c r="N909" s="56" t="n">
        <x:f>SUMIFS($G$4:$G$1673,$A$4:$A$1673,A909)</x:f>
        <x:v>360</x:v>
      </x:c>
      <x:c r="O909" s="56" t="str">
        <x:f>IF(N909=360,"通过","失败")</x:f>
        <x:v>通过</x:v>
      </x:c>
      <x:c r="P909" s="56" t="str"/>
      <x:c r="Q909" s="59" t="str">
        <x:v>待确认</x:v>
      </x:c>
    </x:row>
    <x:row r="910">
      <x:c r="A910" s="56" t="str">
        <x:v>P023</x:v>
      </x:c>
      <x:c r="B910" s="56" t="str">
        <x:v>HX-ADD-011</x:v>
      </x:c>
      <x:c r="C910" s="56" t="str">
        <x:v>exam</x:v>
      </x:c>
      <x:c r="D910" s="56" t="n">
        <x:v>35</x:v>
      </x:c>
      <x:c r="E910" s="56" t="str">
        <x:v>exam.temperature</x:v>
      </x:c>
      <x:c r="F910" s="56" t="str">
        <x:v>体温</x:v>
      </x:c>
      <x:c r="G910" s="56" t="n">
        <x:v>12</x:v>
      </x:c>
      <x:c r="H910" s="56" t="str">
        <x:v>普通得分项</x:v>
      </x:c>
      <x:c r="I910" s="56" t="str">
        <x:v>否</x:v>
      </x:c>
      <x:c r="J910" s="56" t="str">
        <x:v>否</x:v>
      </x:c>
      <x:c r="K910" s="56" t="str">
        <x:v>否</x:v>
      </x:c>
      <x:c r="L910" s="56" t="str">
        <x:v>按结构化事件证据给予0/部分/满分；不能由总结反推已完成</x:v>
      </x:c>
      <x:c r="M910" s="56" t="str"/>
      <x:c r="N910" s="56" t="n">
        <x:f>SUMIFS($G$4:$G$1673,$A$4:$A$1673,A910)</x:f>
        <x:v>360</x:v>
      </x:c>
      <x:c r="O910" s="56" t="str">
        <x:f>IF(N910=360,"通过","失败")</x:f>
        <x:v>通过</x:v>
      </x:c>
      <x:c r="P910" s="56" t="str"/>
      <x:c r="Q910" s="59" t="str">
        <x:v>待确认</x:v>
      </x:c>
    </x:row>
    <x:row r="911">
      <x:c r="A911" s="56" t="str">
        <x:v>P023</x:v>
      </x:c>
      <x:c r="B911" s="56" t="str">
        <x:v>HX-ADD-011</x:v>
      </x:c>
      <x:c r="C911" s="56" t="str">
        <x:v>exam</x:v>
      </x:c>
      <x:c r="D911" s="56" t="n">
        <x:v>35</x:v>
      </x:c>
      <x:c r="E911" s="56" t="str">
        <x:v>exam.blood_pressure</x:v>
      </x:c>
      <x:c r="F911" s="56" t="str">
        <x:v>血压</x:v>
      </x:c>
      <x:c r="G911" s="56" t="n">
        <x:v>12</x:v>
      </x:c>
      <x:c r="H911" s="56" t="str">
        <x:v>普通得分项</x:v>
      </x:c>
      <x:c r="I911" s="56" t="str">
        <x:v>否</x:v>
      </x:c>
      <x:c r="J911" s="56" t="str">
        <x:v>否</x:v>
      </x:c>
      <x:c r="K911" s="56" t="str">
        <x:v>否</x:v>
      </x:c>
      <x:c r="L911" s="56" t="str">
        <x:v>按结构化事件证据给予0/部分/满分；不能由总结反推已完成</x:v>
      </x:c>
      <x:c r="M911" s="56" t="str"/>
      <x:c r="N911" s="56" t="n">
        <x:f>SUMIFS($G$4:$G$1673,$A$4:$A$1673,A911)</x:f>
        <x:v>360</x:v>
      </x:c>
      <x:c r="O911" s="56" t="str">
        <x:f>IF(N911=360,"通过","失败")</x:f>
        <x:v>通过</x:v>
      </x:c>
      <x:c r="P911" s="56" t="str"/>
      <x:c r="Q911" s="59" t="str">
        <x:v>待确认</x:v>
      </x:c>
    </x:row>
    <x:row r="912">
      <x:c r="A912" s="56" t="str">
        <x:v>P023</x:v>
      </x:c>
      <x:c r="B912" s="56" t="str">
        <x:v>HX-ADD-011</x:v>
      </x:c>
      <x:c r="C912" s="56" t="str">
        <x:v>exam</x:v>
      </x:c>
      <x:c r="D912" s="56" t="n">
        <x:v>35</x:v>
      </x:c>
      <x:c r="E912" s="56" t="str">
        <x:v>exam.targeted</x:v>
      </x:c>
      <x:c r="F912" s="56" t="str">
        <x:v>病例针对性查体</x:v>
      </x:c>
      <x:c r="G912" s="56" t="n">
        <x:v>11</x:v>
      </x:c>
      <x:c r="H912" s="56" t="str">
        <x:v>普通得分项</x:v>
      </x:c>
      <x:c r="I912" s="56" t="str">
        <x:v>否</x:v>
      </x:c>
      <x:c r="J912" s="56" t="str">
        <x:v>否</x:v>
      </x:c>
      <x:c r="K912" s="56" t="str">
        <x:v>否</x:v>
      </x:c>
      <x:c r="L912" s="56" t="str">
        <x:v>按结构化事件证据给予0/部分/满分；不能由总结反推已完成</x:v>
      </x:c>
      <x:c r="M912" s="56" t="str"/>
      <x:c r="N912" s="56" t="n">
        <x:f>SUMIFS($G$4:$G$1673,$A$4:$A$1673,A912)</x:f>
        <x:v>360</x:v>
      </x:c>
      <x:c r="O912" s="56" t="str">
        <x:f>IF(N912=360,"通过","失败")</x:f>
        <x:v>通过</x:v>
      </x:c>
      <x:c r="P912" s="56" t="str"/>
      <x:c r="Q912" s="59" t="str">
        <x:v>待确认</x:v>
      </x:c>
    </x:row>
    <x:row r="913">
      <x:c r="A913" s="56" t="str">
        <x:v>P023</x:v>
      </x:c>
      <x:c r="B913" s="56" t="str">
        <x:v>HX-ADD-011</x:v>
      </x:c>
      <x:c r="C913" s="56" t="str">
        <x:v>diagnosis</x:v>
      </x:c>
      <x:c r="D913" s="56" t="n">
        <x:v>45</x:v>
      </x:c>
      <x:c r="E913" s="56" t="str">
        <x:v>diagnosis.primary</x:v>
      </x:c>
      <x:c r="F913" s="56" t="str">
        <x:v>最可能诊断及依据</x:v>
      </x:c>
      <x:c r="G913" s="56" t="n">
        <x:v>15</x:v>
      </x:c>
      <x:c r="H913" s="56" t="str">
        <x:v>普通得分项</x:v>
      </x:c>
      <x:c r="I913" s="56" t="str">
        <x:v>否</x:v>
      </x:c>
      <x:c r="J913" s="56" t="str">
        <x:v>否</x:v>
      </x:c>
      <x:c r="K913" s="56" t="str">
        <x:v>否</x:v>
      </x:c>
      <x:c r="L913" s="56" t="str">
        <x:v>按结构化事件证据给予0/部分/满分；不能由总结反推已完成</x:v>
      </x:c>
      <x:c r="M913" s="56" t="str"/>
      <x:c r="N913" s="56" t="n">
        <x:f>SUMIFS($G$4:$G$1673,$A$4:$A$1673,A913)</x:f>
        <x:v>360</x:v>
      </x:c>
      <x:c r="O913" s="56" t="str">
        <x:f>IF(N913=360,"通过","失败")</x:f>
        <x:v>通过</x:v>
      </x:c>
      <x:c r="P913" s="56" t="str"/>
      <x:c r="Q913" s="59" t="str">
        <x:v>待确认</x:v>
      </x:c>
    </x:row>
    <x:row r="914">
      <x:c r="A914" s="56" t="str">
        <x:v>P023</x:v>
      </x:c>
      <x:c r="B914" s="56" t="str">
        <x:v>HX-ADD-011</x:v>
      </x:c>
      <x:c r="C914" s="56" t="str">
        <x:v>diagnosis</x:v>
      </x:c>
      <x:c r="D914" s="56" t="n">
        <x:v>45</x:v>
      </x:c>
      <x:c r="E914" s="56" t="str">
        <x:v>diagnosis.differentials</x:v>
      </x:c>
      <x:c r="F914" s="56" t="str">
        <x:v>至少3项鉴别及支持/反对点</x:v>
      </x:c>
      <x:c r="G914" s="56" t="n">
        <x:v>15</x:v>
      </x:c>
      <x:c r="H914" s="56" t="str">
        <x:v>普通得分项</x:v>
      </x:c>
      <x:c r="I914" s="56" t="str">
        <x:v>否</x:v>
      </x:c>
      <x:c r="J914" s="56" t="str">
        <x:v>否</x:v>
      </x:c>
      <x:c r="K914" s="56" t="str">
        <x:v>否</x:v>
      </x:c>
      <x:c r="L914" s="56" t="str">
        <x:v>按结构化事件证据给予0/部分/满分；不能由总结反推已完成</x:v>
      </x:c>
      <x:c r="M914" s="56" t="str"/>
      <x:c r="N914" s="56" t="n">
        <x:f>SUMIFS($G$4:$G$1673,$A$4:$A$1673,A914)</x:f>
        <x:v>360</x:v>
      </x:c>
      <x:c r="O914" s="56" t="str">
        <x:f>IF(N914=360,"通过","失败")</x:f>
        <x:v>通过</x:v>
      </x:c>
      <x:c r="P914" s="56" t="str"/>
      <x:c r="Q914" s="59" t="str">
        <x:v>待确认</x:v>
      </x:c>
    </x:row>
    <x:row r="915">
      <x:c r="A915" s="56" t="str">
        <x:v>P023</x:v>
      </x:c>
      <x:c r="B915" s="56" t="str">
        <x:v>HX-ADD-011</x:v>
      </x:c>
      <x:c r="C915" s="56" t="str">
        <x:v>diagnosis</x:v>
      </x:c>
      <x:c r="D915" s="56" t="n">
        <x:v>45</x:v>
      </x:c>
      <x:c r="E915" s="56" t="str">
        <x:v>diagnosis.confirmation</x:v>
      </x:c>
      <x:c r="F915" s="56" t="str">
        <x:v>确认计划</x:v>
      </x:c>
      <x:c r="G915" s="56" t="n">
        <x:v>15</x:v>
      </x:c>
      <x:c r="H915" s="56" t="str">
        <x:v>普通得分项</x:v>
      </x:c>
      <x:c r="I915" s="56" t="str">
        <x:v>否</x:v>
      </x:c>
      <x:c r="J915" s="56" t="str">
        <x:v>否</x:v>
      </x:c>
      <x:c r="K915" s="56" t="str">
        <x:v>否</x:v>
      </x:c>
      <x:c r="L915" s="56" t="str">
        <x:v>按结构化事件证据给予0/部分/满分；不能由总结反推已完成</x:v>
      </x:c>
      <x:c r="M915" s="56" t="str"/>
      <x:c r="N915" s="56" t="n">
        <x:f>SUMIFS($G$4:$G$1673,$A$4:$A$1673,A915)</x:f>
        <x:v>360</x:v>
      </x:c>
      <x:c r="O915" s="56" t="str">
        <x:f>IF(N915=360,"通过","失败")</x:f>
        <x:v>通过</x:v>
      </x:c>
      <x:c r="P915" s="56" t="str"/>
      <x:c r="Q915" s="59" t="str">
        <x:v>待确认</x:v>
      </x:c>
    </x:row>
    <x:row r="916">
      <x:c r="A916" s="56" t="str">
        <x:v>P023</x:v>
      </x:c>
      <x:c r="B916" s="56" t="str">
        <x:v>HX-ADD-011</x:v>
      </x:c>
      <x:c r="C916" s="56" t="str">
        <x:v>orders</x:v>
      </x:c>
      <x:c r="D916" s="56" t="n">
        <x:v>55</x:v>
      </x:c>
      <x:c r="E916" s="56" t="str">
        <x:v>orders.LAB-UR-001</x:v>
      </x:c>
      <x:c r="F916" s="56" t="str">
        <x:v>LAB-UR-001</x:v>
      </x:c>
      <x:c r="G916" s="56" t="n">
        <x:v>11</x:v>
      </x:c>
      <x:c r="H916" s="56" t="str">
        <x:v>病例特异得分项</x:v>
      </x:c>
      <x:c r="I916" s="56" t="str">
        <x:v>否</x:v>
      </x:c>
      <x:c r="J916" s="56" t="str">
        <x:v>否</x:v>
      </x:c>
      <x:c r="K916" s="56" t="str">
        <x:v>否</x:v>
      </x:c>
      <x:c r="L916" s="56" t="str">
        <x:v>按结构化事件证据给予0/部分/满分；不能由总结反推已完成</x:v>
      </x:c>
      <x:c r="M916" s="56" t="str"/>
      <x:c r="N916" s="56" t="n">
        <x:f>SUMIFS($G$4:$G$1673,$A$4:$A$1673,A916)</x:f>
        <x:v>360</x:v>
      </x:c>
      <x:c r="O916" s="56" t="str">
        <x:f>IF(N916=360,"通过","失败")</x:f>
        <x:v>通过</x:v>
      </x:c>
      <x:c r="P916" s="56" t="str"/>
      <x:c r="Q916" s="59" t="str">
        <x:v>待确认</x:v>
      </x:c>
    </x:row>
    <x:row r="917">
      <x:c r="A917" s="56" t="str">
        <x:v>P023</x:v>
      </x:c>
      <x:c r="B917" s="56" t="str">
        <x:v>HX-ADD-011</x:v>
      </x:c>
      <x:c r="C917" s="56" t="str">
        <x:v>orders</x:v>
      </x:c>
      <x:c r="D917" s="56" t="n">
        <x:v>55</x:v>
      </x:c>
      <x:c r="E917" s="56" t="str">
        <x:v>orders.LAB-UR-002</x:v>
      </x:c>
      <x:c r="F917" s="56" t="str">
        <x:v>LAB-UR-002</x:v>
      </x:c>
      <x:c r="G917" s="56" t="n">
        <x:v>11</x:v>
      </x:c>
      <x:c r="H917" s="56" t="str">
        <x:v>病例特异得分项</x:v>
      </x:c>
      <x:c r="I917" s="56" t="str">
        <x:v>否</x:v>
      </x:c>
      <x:c r="J917" s="56" t="str">
        <x:v>否</x:v>
      </x:c>
      <x:c r="K917" s="56" t="str">
        <x:v>否</x:v>
      </x:c>
      <x:c r="L917" s="56" t="str">
        <x:v>按结构化事件证据给予0/部分/满分；不能由总结反推已完成</x:v>
      </x:c>
      <x:c r="M917" s="56" t="str"/>
      <x:c r="N917" s="56" t="n">
        <x:f>SUMIFS($G$4:$G$1673,$A$4:$A$1673,A917)</x:f>
        <x:v>360</x:v>
      </x:c>
      <x:c r="O917" s="56" t="str">
        <x:f>IF(N917=360,"通过","失败")</x:f>
        <x:v>通过</x:v>
      </x:c>
      <x:c r="P917" s="56" t="str"/>
      <x:c r="Q917" s="59" t="str">
        <x:v>待确认</x:v>
      </x:c>
    </x:row>
    <x:row r="918">
      <x:c r="A918" s="56" t="str">
        <x:v>P023</x:v>
      </x:c>
      <x:c r="B918" s="56" t="str">
        <x:v>HX-ADD-011</x:v>
      </x:c>
      <x:c r="C918" s="56" t="str">
        <x:v>orders</x:v>
      </x:c>
      <x:c r="D918" s="56" t="n">
        <x:v>55</x:v>
      </x:c>
      <x:c r="E918" s="56" t="str">
        <x:v>orders.LAB-BL-003</x:v>
      </x:c>
      <x:c r="F918" s="56" t="str">
        <x:v>LAB-BL-003</x:v>
      </x:c>
      <x:c r="G918" s="56" t="n">
        <x:v>11</x:v>
      </x:c>
      <x:c r="H918" s="56" t="str">
        <x:v>病例特异得分项</x:v>
      </x:c>
      <x:c r="I918" s="56" t="str">
        <x:v>否</x:v>
      </x:c>
      <x:c r="J918" s="56" t="str">
        <x:v>否</x:v>
      </x:c>
      <x:c r="K918" s="56" t="str">
        <x:v>否</x:v>
      </x:c>
      <x:c r="L918" s="56" t="str">
        <x:v>按结构化事件证据给予0/部分/满分；不能由总结反推已完成</x:v>
      </x:c>
      <x:c r="M918" s="56" t="str"/>
      <x:c r="N918" s="56" t="n">
        <x:f>SUMIFS($G$4:$G$1673,$A$4:$A$1673,A918)</x:f>
        <x:v>360</x:v>
      </x:c>
      <x:c r="O918" s="56" t="str">
        <x:f>IF(N918=360,"通过","失败")</x:f>
        <x:v>通过</x:v>
      </x:c>
      <x:c r="P918" s="56" t="str"/>
      <x:c r="Q918" s="59" t="str">
        <x:v>待确认</x:v>
      </x:c>
    </x:row>
    <x:row r="919">
      <x:c r="A919" s="56" t="str">
        <x:v>P023</x:v>
      </x:c>
      <x:c r="B919" s="56" t="str">
        <x:v>HX-ADD-011</x:v>
      </x:c>
      <x:c r="C919" s="56" t="str">
        <x:v>orders</x:v>
      </x:c>
      <x:c r="D919" s="56" t="n">
        <x:v>55</x:v>
      </x:c>
      <x:c r="E919" s="56" t="str">
        <x:v>orders.IMG-CT-001</x:v>
      </x:c>
      <x:c r="F919" s="56" t="str">
        <x:v>IMG-CT-001</x:v>
      </x:c>
      <x:c r="G919" s="56" t="n">
        <x:v>11</x:v>
      </x:c>
      <x:c r="H919" s="56" t="str">
        <x:v>病例特异得分项</x:v>
      </x:c>
      <x:c r="I919" s="56" t="str">
        <x:v>否</x:v>
      </x:c>
      <x:c r="J919" s="56" t="str">
        <x:v>否</x:v>
      </x:c>
      <x:c r="K919" s="56" t="str">
        <x:v>否</x:v>
      </x:c>
      <x:c r="L919" s="56" t="str">
        <x:v>按结构化事件证据给予0/部分/满分；不能由总结反推已完成</x:v>
      </x:c>
      <x:c r="M919" s="56" t="str"/>
      <x:c r="N919" s="56" t="n">
        <x:f>SUMIFS($G$4:$G$1673,$A$4:$A$1673,A919)</x:f>
        <x:v>360</x:v>
      </x:c>
      <x:c r="O919" s="56" t="str">
        <x:f>IF(N919=360,"通过","失败")</x:f>
        <x:v>通过</x:v>
      </x:c>
      <x:c r="P919" s="56" t="str"/>
      <x:c r="Q919" s="59" t="str">
        <x:v>待确认</x:v>
      </x:c>
    </x:row>
    <x:row r="920">
      <x:c r="A920" s="56" t="str">
        <x:v>P023</x:v>
      </x:c>
      <x:c r="B920" s="56" t="str">
        <x:v>HX-ADD-011</x:v>
      </x:c>
      <x:c r="C920" s="56" t="str">
        <x:v>orders</x:v>
      </x:c>
      <x:c r="D920" s="56" t="n">
        <x:v>55</x:v>
      </x:c>
      <x:c r="E920" s="56" t="str">
        <x:v>orders.IMG-US-001</x:v>
      </x:c>
      <x:c r="F920" s="56" t="str">
        <x:v>IMG-US-001</x:v>
      </x:c>
      <x:c r="G920" s="56" t="n">
        <x:v>11</x:v>
      </x:c>
      <x:c r="H920" s="56" t="str">
        <x:v>病例特异得分项</x:v>
      </x:c>
      <x:c r="I920" s="56" t="str">
        <x:v>否</x:v>
      </x:c>
      <x:c r="J920" s="56" t="str">
        <x:v>否</x:v>
      </x:c>
      <x:c r="K920" s="56" t="str">
        <x:v>否</x:v>
      </x:c>
      <x:c r="L920" s="56" t="str">
        <x:v>按结构化事件证据给予0/部分/满分；不能由总结反推已完成</x:v>
      </x:c>
      <x:c r="M920" s="56" t="str"/>
      <x:c r="N920" s="56" t="n">
        <x:f>SUMIFS($G$4:$G$1673,$A$4:$A$1673,A920)</x:f>
        <x:v>360</x:v>
      </x:c>
      <x:c r="O920" s="56" t="str">
        <x:f>IF(N920=360,"通过","失败")</x:f>
        <x:v>通过</x:v>
      </x:c>
      <x:c r="P920" s="56" t="str"/>
      <x:c r="Q920" s="59" t="str">
        <x:v>待确认</x:v>
      </x:c>
    </x:row>
    <x:row r="921">
      <x:c r="A921" s="56" t="str">
        <x:v>P023</x:v>
      </x:c>
      <x:c r="B921" s="56" t="str">
        <x:v>HX-ADD-011</x:v>
      </x:c>
      <x:c r="C921" s="56" t="str">
        <x:v>mdt</x:v>
      </x:c>
      <x:c r="D921" s="56" t="n">
        <x:v>45</x:v>
      </x:c>
      <x:c r="E921" s="56" t="str">
        <x:v>mdt.department</x:v>
      </x:c>
      <x:c r="F921" s="56" t="str">
        <x:v>department</x:v>
      </x:c>
      <x:c r="G921" s="56" t="n">
        <x:v>12</x:v>
      </x:c>
      <x:c r="H921" s="56" t="str">
        <x:v>病例特异得分项</x:v>
      </x:c>
      <x:c r="I921" s="56" t="str">
        <x:v>否</x:v>
      </x:c>
      <x:c r="J921" s="56" t="str">
        <x:v>否</x:v>
      </x:c>
      <x:c r="K921" s="56" t="str">
        <x:v>否</x:v>
      </x:c>
      <x:c r="L921" s="56" t="str">
        <x:v>按结构化事件证据给予0/部分/满分；不能由总结反推已完成</x:v>
      </x:c>
      <x:c r="M921" s="56" t="str"/>
      <x:c r="N921" s="56" t="n">
        <x:f>SUMIFS($G$4:$G$1673,$A$4:$A$1673,A921)</x:f>
        <x:v>360</x:v>
      </x:c>
      <x:c r="O921" s="56" t="str">
        <x:f>IF(N921=360,"通过","失败")</x:f>
        <x:v>通过</x:v>
      </x:c>
      <x:c r="P921" s="56" t="str"/>
      <x:c r="Q921" s="59" t="str">
        <x:v>待确认</x:v>
      </x:c>
    </x:row>
    <x:row r="922">
      <x:c r="A922" s="56" t="str">
        <x:v>P023</x:v>
      </x:c>
      <x:c r="B922" s="56" t="str">
        <x:v>HX-ADD-011</x:v>
      </x:c>
      <x:c r="C922" s="56" t="str">
        <x:v>mdt</x:v>
      </x:c>
      <x:c r="D922" s="56" t="n">
        <x:v>45</x:v>
      </x:c>
      <x:c r="E922" s="56" t="str">
        <x:v>mdt.trigger</x:v>
      </x:c>
      <x:c r="F922" s="56" t="str">
        <x:v>trigger</x:v>
      </x:c>
      <x:c r="G922" s="56" t="n">
        <x:v>11</x:v>
      </x:c>
      <x:c r="H922" s="56" t="str">
        <x:v>病例特异得分项</x:v>
      </x:c>
      <x:c r="I922" s="56" t="str">
        <x:v>否</x:v>
      </x:c>
      <x:c r="J922" s="56" t="str">
        <x:v>否</x:v>
      </x:c>
      <x:c r="K922" s="56" t="str">
        <x:v>否</x:v>
      </x:c>
      <x:c r="L922" s="56" t="str">
        <x:v>按结构化事件证据给予0/部分/满分；不能由总结反推已完成</x:v>
      </x:c>
      <x:c r="M922" s="56" t="str"/>
      <x:c r="N922" s="56" t="n">
        <x:f>SUMIFS($G$4:$G$1673,$A$4:$A$1673,A922)</x:f>
        <x:v>360</x:v>
      </x:c>
      <x:c r="O922" s="56" t="str">
        <x:f>IF(N922=360,"通过","失败")</x:f>
        <x:v>通过</x:v>
      </x:c>
      <x:c r="P922" s="56" t="str"/>
      <x:c r="Q922" s="59" t="str">
        <x:v>待确认</x:v>
      </x:c>
    </x:row>
    <x:row r="923">
      <x:c r="A923" s="56" t="str">
        <x:v>P023</x:v>
      </x:c>
      <x:c r="B923" s="56" t="str">
        <x:v>HX-ADD-011</x:v>
      </x:c>
      <x:c r="C923" s="56" t="str">
        <x:v>mdt</x:v>
      </x:c>
      <x:c r="D923" s="56" t="n">
        <x:v>45</x:v>
      </x:c>
      <x:c r="E923" s="56" t="str">
        <x:v>mdt.question</x:v>
      </x:c>
      <x:c r="F923" s="56" t="str">
        <x:v>question</x:v>
      </x:c>
      <x:c r="G923" s="56" t="n">
        <x:v>11</x:v>
      </x:c>
      <x:c r="H923" s="56" t="str">
        <x:v>病例特异得分项</x:v>
      </x:c>
      <x:c r="I923" s="56" t="str">
        <x:v>否</x:v>
      </x:c>
      <x:c r="J923" s="56" t="str">
        <x:v>否</x:v>
      </x:c>
      <x:c r="K923" s="56" t="str">
        <x:v>否</x:v>
      </x:c>
      <x:c r="L923" s="56" t="str">
        <x:v>按结构化事件证据给予0/部分/满分；不能由总结反推已完成</x:v>
      </x:c>
      <x:c r="M923" s="56" t="str"/>
      <x:c r="N923" s="56" t="n">
        <x:f>SUMIFS($G$4:$G$1673,$A$4:$A$1673,A923)</x:f>
        <x:v>360</x:v>
      </x:c>
      <x:c r="O923" s="56" t="str">
        <x:f>IF(N923=360,"通过","失败")</x:f>
        <x:v>通过</x:v>
      </x:c>
      <x:c r="P923" s="56" t="str"/>
      <x:c r="Q923" s="59" t="str">
        <x:v>待确认</x:v>
      </x:c>
    </x:row>
    <x:row r="924">
      <x:c r="A924" s="56" t="str">
        <x:v>P023</x:v>
      </x:c>
      <x:c r="B924" s="56" t="str">
        <x:v>HX-ADD-011</x:v>
      </x:c>
      <x:c r="C924" s="56" t="str">
        <x:v>mdt</x:v>
      </x:c>
      <x:c r="D924" s="56" t="n">
        <x:v>45</x:v>
      </x:c>
      <x:c r="E924" s="56" t="str">
        <x:v>mdt.evidence</x:v>
      </x:c>
      <x:c r="F924" s="56" t="str">
        <x:v>evidence</x:v>
      </x:c>
      <x:c r="G924" s="56" t="n">
        <x:v>11</x:v>
      </x:c>
      <x:c r="H924" s="56" t="str">
        <x:v>病例特异得分项</x:v>
      </x:c>
      <x:c r="I924" s="56" t="str">
        <x:v>否</x:v>
      </x:c>
      <x:c r="J924" s="56" t="str">
        <x:v>否</x:v>
      </x:c>
      <x:c r="K924" s="56" t="str">
        <x:v>否</x:v>
      </x:c>
      <x:c r="L924" s="56" t="str">
        <x:v>按结构化事件证据给予0/部分/满分；不能由总结反推已完成</x:v>
      </x:c>
      <x:c r="M924" s="56" t="str"/>
      <x:c r="N924" s="56" t="n">
        <x:f>SUMIFS($G$4:$G$1673,$A$4:$A$1673,A924)</x:f>
        <x:v>360</x:v>
      </x:c>
      <x:c r="O924" s="56" t="str">
        <x:f>IF(N924=360,"通过","失败")</x:f>
        <x:v>通过</x:v>
      </x:c>
      <x:c r="P924" s="56" t="str"/>
      <x:c r="Q924" s="59" t="str">
        <x:v>待确认</x:v>
      </x:c>
    </x:row>
    <x:row r="925">
      <x:c r="A925" s="56" t="str">
        <x:v>P023</x:v>
      </x:c>
      <x:c r="B925" s="56" t="str">
        <x:v>HX-ADD-011</x:v>
      </x:c>
      <x:c r="C925" s="56" t="str">
        <x:v>treatment</x:v>
      </x:c>
      <x:c r="D925" s="56" t="n">
        <x:v>50</x:v>
      </x:c>
      <x:c r="E925" s="56" t="str">
        <x:v>treatment.immediate</x:v>
      </x:c>
      <x:c r="F925" s="56" t="str">
        <x:v>immediate</x:v>
      </x:c>
      <x:c r="G925" s="56" t="n">
        <x:v>13</x:v>
      </x:c>
      <x:c r="H925" s="56" t="str">
        <x:v>病例特异得分项</x:v>
      </x:c>
      <x:c r="I925" s="56" t="str">
        <x:v>否</x:v>
      </x:c>
      <x:c r="J925" s="56" t="str">
        <x:v>否</x:v>
      </x:c>
      <x:c r="K925" s="56" t="str">
        <x:v>否</x:v>
      </x:c>
      <x:c r="L925" s="56" t="str">
        <x:v>按结构化事件证据给予0/部分/满分；不能由总结反推已完成</x:v>
      </x:c>
      <x:c r="M925" s="56" t="str"/>
      <x:c r="N925" s="56" t="n">
        <x:f>SUMIFS($G$4:$G$1673,$A$4:$A$1673,A925)</x:f>
        <x:v>360</x:v>
      </x:c>
      <x:c r="O925" s="56" t="str">
        <x:f>IF(N925=360,"通过","失败")</x:f>
        <x:v>通过</x:v>
      </x:c>
      <x:c r="P925" s="56" t="str"/>
      <x:c r="Q925" s="59" t="str">
        <x:v>待确认</x:v>
      </x:c>
    </x:row>
    <x:row r="926">
      <x:c r="A926" s="56" t="str">
        <x:v>P023</x:v>
      </x:c>
      <x:c r="B926" s="56" t="str">
        <x:v>HX-ADD-011</x:v>
      </x:c>
      <x:c r="C926" s="56" t="str">
        <x:v>treatment</x:v>
      </x:c>
      <x:c r="D926" s="56" t="n">
        <x:v>50</x:v>
      </x:c>
      <x:c r="E926" s="56" t="str">
        <x:v>treatment.etiologic</x:v>
      </x:c>
      <x:c r="F926" s="56" t="str">
        <x:v>etiologic</x:v>
      </x:c>
      <x:c r="G926" s="56" t="n">
        <x:v>13</x:v>
      </x:c>
      <x:c r="H926" s="56" t="str">
        <x:v>病例特异得分项</x:v>
      </x:c>
      <x:c r="I926" s="56" t="str">
        <x:v>否</x:v>
      </x:c>
      <x:c r="J926" s="56" t="str">
        <x:v>否</x:v>
      </x:c>
      <x:c r="K926" s="56" t="str">
        <x:v>否</x:v>
      </x:c>
      <x:c r="L926" s="56" t="str">
        <x:v>按结构化事件证据给予0/部分/满分；不能由总结反推已完成</x:v>
      </x:c>
      <x:c r="M926" s="56" t="str"/>
      <x:c r="N926" s="56" t="n">
        <x:f>SUMIFS($G$4:$G$1673,$A$4:$A$1673,A926)</x:f>
        <x:v>360</x:v>
      </x:c>
      <x:c r="O926" s="56" t="str">
        <x:f>IF(N926=360,"通过","失败")</x:f>
        <x:v>通过</x:v>
      </x:c>
      <x:c r="P926" s="56" t="str"/>
      <x:c r="Q926" s="59" t="str">
        <x:v>待确认</x:v>
      </x:c>
    </x:row>
    <x:row r="927">
      <x:c r="A927" s="56" t="str">
        <x:v>P023</x:v>
      </x:c>
      <x:c r="B927" s="56" t="str">
        <x:v>HX-ADD-011</x:v>
      </x:c>
      <x:c r="C927" s="56" t="str">
        <x:v>treatment</x:v>
      </x:c>
      <x:c r="D927" s="56" t="n">
        <x:v>50</x:v>
      </x:c>
      <x:c r="E927" s="56" t="str">
        <x:v>treatment.definitive</x:v>
      </x:c>
      <x:c r="F927" s="56" t="str">
        <x:v>definitive</x:v>
      </x:c>
      <x:c r="G927" s="56" t="n">
        <x:v>12</x:v>
      </x:c>
      <x:c r="H927" s="56" t="str">
        <x:v>病例特异得分项</x:v>
      </x:c>
      <x:c r="I927" s="56" t="str">
        <x:v>否</x:v>
      </x:c>
      <x:c r="J927" s="56" t="str">
        <x:v>否</x:v>
      </x:c>
      <x:c r="K927" s="56" t="str">
        <x:v>否</x:v>
      </x:c>
      <x:c r="L927" s="56" t="str">
        <x:v>按结构化事件证据给予0/部分/满分；不能由总结反推已完成</x:v>
      </x:c>
      <x:c r="M927" s="56" t="str"/>
      <x:c r="N927" s="56" t="n">
        <x:f>SUMIFS($G$4:$G$1673,$A$4:$A$1673,A927)</x:f>
        <x:v>360</x:v>
      </x:c>
      <x:c r="O927" s="56" t="str">
        <x:f>IF(N927=360,"通过","失败")</x:f>
        <x:v>通过</x:v>
      </x:c>
      <x:c r="P927" s="56" t="str"/>
      <x:c r="Q927" s="59" t="str">
        <x:v>待确认</x:v>
      </x:c>
    </x:row>
    <x:row r="928">
      <x:c r="A928" s="56" t="str">
        <x:v>P023</x:v>
      </x:c>
      <x:c r="B928" s="56" t="str">
        <x:v>HX-ADD-011</x:v>
      </x:c>
      <x:c r="C928" s="56" t="str">
        <x:v>treatment</x:v>
      </x:c>
      <x:c r="D928" s="56" t="n">
        <x:v>50</x:v>
      </x:c>
      <x:c r="E928" s="56" t="str">
        <x:v>treatment.perioperative</x:v>
      </x:c>
      <x:c r="F928" s="56" t="str">
        <x:v>perioperative</x:v>
      </x:c>
      <x:c r="G928" s="56" t="n">
        <x:v>12</x:v>
      </x:c>
      <x:c r="H928" s="56" t="str">
        <x:v>病例特异得分项</x:v>
      </x:c>
      <x:c r="I928" s="56" t="str">
        <x:v>否</x:v>
      </x:c>
      <x:c r="J928" s="56" t="str">
        <x:v>否</x:v>
      </x:c>
      <x:c r="K928" s="56" t="str">
        <x:v>否</x:v>
      </x:c>
      <x:c r="L928" s="56" t="str">
        <x:v>按结构化事件证据给予0/部分/满分；不能由总结反推已完成</x:v>
      </x:c>
      <x:c r="M928" s="56" t="str"/>
      <x:c r="N928" s="56" t="n">
        <x:f>SUMIFS($G$4:$G$1673,$A$4:$A$1673,A928)</x:f>
        <x:v>360</x:v>
      </x:c>
      <x:c r="O928" s="56" t="str">
        <x:f>IF(N928=360,"通过","失败")</x:f>
        <x:v>通过</x:v>
      </x:c>
      <x:c r="P928" s="56" t="str"/>
      <x:c r="Q928" s="59" t="str">
        <x:v>待确认</x:v>
      </x:c>
    </x:row>
    <x:row r="929">
      <x:c r="A929" s="56" t="str">
        <x:v>P023</x:v>
      </x:c>
      <x:c r="B929" s="56" t="str">
        <x:v>HX-ADD-011</x:v>
      </x:c>
      <x:c r="C929" s="56" t="str">
        <x:v>followup</x:v>
      </x:c>
      <x:c r="D929" s="56" t="n">
        <x:v>40</x:v>
      </x:c>
      <x:c r="E929" s="56" t="str">
        <x:v>followup.plan</x:v>
      </x:c>
      <x:c r="F929" s="56" t="str">
        <x:v>随访复查</x:v>
      </x:c>
      <x:c r="G929" s="56" t="n">
        <x:v>10</x:v>
      </x:c>
      <x:c r="H929" s="56" t="str">
        <x:v>普通得分项</x:v>
      </x:c>
      <x:c r="I929" s="56" t="str">
        <x:v>否</x:v>
      </x:c>
      <x:c r="J929" s="56" t="str">
        <x:v>否</x:v>
      </x:c>
      <x:c r="K929" s="56" t="str">
        <x:v>否</x:v>
      </x:c>
      <x:c r="L929" s="56" t="str">
        <x:v>按结构化事件证据给予0/部分/满分；不能由总结反推已完成</x:v>
      </x:c>
      <x:c r="M929" s="56" t="str"/>
      <x:c r="N929" s="56" t="n">
        <x:f>SUMIFS($G$4:$G$1673,$A$4:$A$1673,A929)</x:f>
        <x:v>360</x:v>
      </x:c>
      <x:c r="O929" s="56" t="str">
        <x:f>IF(N929=360,"通过","失败")</x:f>
        <x:v>通过</x:v>
      </x:c>
      <x:c r="P929" s="56" t="str"/>
      <x:c r="Q929" s="59" t="str">
        <x:v>待确认</x:v>
      </x:c>
    </x:row>
    <x:row r="930">
      <x:c r="A930" s="56" t="str">
        <x:v>P023</x:v>
      </x:c>
      <x:c r="B930" s="56" t="str">
        <x:v>HX-ADD-011</x:v>
      </x:c>
      <x:c r="C930" s="56" t="str">
        <x:v>followup</x:v>
      </x:c>
      <x:c r="D930" s="56" t="n">
        <x:v>40</x:v>
      </x:c>
      <x:c r="E930" s="56" t="str">
        <x:v>followup.education</x:v>
      </x:c>
      <x:c r="F930" s="56" t="str">
        <x:v>患者教育</x:v>
      </x:c>
      <x:c r="G930" s="56" t="n">
        <x:v>10</x:v>
      </x:c>
      <x:c r="H930" s="56" t="str">
        <x:v>普通得分项</x:v>
      </x:c>
      <x:c r="I930" s="56" t="str">
        <x:v>否</x:v>
      </x:c>
      <x:c r="J930" s="56" t="str">
        <x:v>否</x:v>
      </x:c>
      <x:c r="K930" s="56" t="str">
        <x:v>否</x:v>
      </x:c>
      <x:c r="L930" s="56" t="str">
        <x:v>按结构化事件证据给予0/部分/满分；不能由总结反推已完成</x:v>
      </x:c>
      <x:c r="M930" s="56" t="str"/>
      <x:c r="N930" s="56" t="n">
        <x:f>SUMIFS($G$4:$G$1673,$A$4:$A$1673,A930)</x:f>
        <x:v>360</x:v>
      </x:c>
      <x:c r="O930" s="56" t="str">
        <x:f>IF(N930=360,"通过","失败")</x:f>
        <x:v>通过</x:v>
      </x:c>
      <x:c r="P930" s="56" t="str"/>
      <x:c r="Q930" s="59" t="str">
        <x:v>待确认</x:v>
      </x:c>
    </x:row>
    <x:row r="931">
      <x:c r="A931" s="56" t="str">
        <x:v>P023</x:v>
      </x:c>
      <x:c r="B931" s="56" t="str">
        <x:v>HX-ADD-011</x:v>
      </x:c>
      <x:c r="C931" s="56" t="str">
        <x:v>followup</x:v>
      </x:c>
      <x:c r="D931" s="56" t="n">
        <x:v>40</x:v>
      </x:c>
      <x:c r="E931" s="56" t="str">
        <x:v>followup.reflection</x:v>
      </x:c>
      <x:c r="F931" s="56" t="str">
        <x:v>学习反思质量</x:v>
      </x:c>
      <x:c r="G931" s="56" t="n">
        <x:v>10</x:v>
      </x:c>
      <x:c r="H931" s="56" t="str">
        <x:v>普通得分项</x:v>
      </x:c>
      <x:c r="I931" s="56" t="str">
        <x:v>否</x:v>
      </x:c>
      <x:c r="J931" s="56" t="str">
        <x:v>否</x:v>
      </x:c>
      <x:c r="K931" s="56" t="str">
        <x:v>否</x:v>
      </x:c>
      <x:c r="L931" s="56" t="str">
        <x:v>按结构化事件证据给予0/部分/满分；不能由总结反推已完成</x:v>
      </x:c>
      <x:c r="M931" s="56" t="str"/>
      <x:c r="N931" s="56" t="n">
        <x:f>SUMIFS($G$4:$G$1673,$A$4:$A$1673,A931)</x:f>
        <x:v>360</x:v>
      </x:c>
      <x:c r="O931" s="56" t="str">
        <x:f>IF(N931=360,"通过","失败")</x:f>
        <x:v>通过</x:v>
      </x:c>
      <x:c r="P931" s="56" t="str"/>
      <x:c r="Q931" s="59" t="str">
        <x:v>待确认</x:v>
      </x:c>
    </x:row>
    <x:row r="932">
      <x:c r="A932" s="56" t="str">
        <x:v>P023</x:v>
      </x:c>
      <x:c r="B932" s="56" t="str">
        <x:v>HX-ADD-011</x:v>
      </x:c>
      <x:c r="C932" s="56" t="str">
        <x:v>followup</x:v>
      </x:c>
      <x:c r="D932" s="56" t="n">
        <x:v>40</x:v>
      </x:c>
      <x:c r="E932" s="56" t="str">
        <x:v>followup.efficiency</x:v>
      </x:c>
      <x:c r="F932" s="56" t="str">
        <x:v>操作效率</x:v>
      </x:c>
      <x:c r="G932" s="56" t="n">
        <x:v>10</x:v>
      </x:c>
      <x:c r="H932" s="56" t="str">
        <x:v>普通得分项</x:v>
      </x:c>
      <x:c r="I932" s="56" t="str">
        <x:v>否</x:v>
      </x:c>
      <x:c r="J932" s="56" t="str">
        <x:v>否</x:v>
      </x:c>
      <x:c r="K932" s="56" t="str">
        <x:v>否</x:v>
      </x:c>
      <x:c r="L932" s="56" t="str">
        <x:v>按结构化事件证据给予0/部分/满分；不能由总结反推已完成</x:v>
      </x:c>
      <x:c r="M932" s="56" t="str"/>
      <x:c r="N932" s="56" t="n">
        <x:f>SUMIFS($G$4:$G$1673,$A$4:$A$1673,A932)</x:f>
        <x:v>360</x:v>
      </x:c>
      <x:c r="O932" s="56" t="str">
        <x:f>IF(N932=360,"通过","失败")</x:f>
        <x:v>通过</x:v>
      </x:c>
      <x:c r="P932" s="56" t="str"/>
      <x:c r="Q932" s="59" t="str">
        <x:v>待确认</x:v>
      </x:c>
    </x:row>
    <x:row r="933">
      <x:c r="A933" s="56" t="str">
        <x:v>P024</x:v>
      </x:c>
      <x:c r="B933" s="56" t="str">
        <x:v>HX-ADD-012</x:v>
      </x:c>
      <x:c r="C933" s="56" t="str">
        <x:v>history</x:v>
      </x:c>
      <x:c r="D933" s="56" t="n">
        <x:v>50</x:v>
      </x:c>
      <x:c r="E933" s="56" t="str">
        <x:v>history.hematuria_visibility</x:v>
      </x:c>
      <x:c r="F933" s="56" t="str">
        <x:v>hematuria_visibility</x:v>
      </x:c>
      <x:c r="G933" s="56" t="n">
        <x:v>5</x:v>
      </x:c>
      <x:c r="H933" s="56" t="str">
        <x:v>普通得分项</x:v>
      </x:c>
      <x:c r="I933" s="56" t="str">
        <x:v>否</x:v>
      </x:c>
      <x:c r="J933" s="56" t="str">
        <x:v>否</x:v>
      </x:c>
      <x:c r="K933" s="56" t="str">
        <x:v>否</x:v>
      </x:c>
      <x:c r="L933" s="56" t="str">
        <x:v>按结构化事件证据给予0/部分/满分；不能由总结反推已完成</x:v>
      </x:c>
      <x:c r="M933" s="56" t="str"/>
      <x:c r="N933" s="56" t="n">
        <x:f>SUMIFS($G$4:$G$1673,$A$4:$A$1673,A933)</x:f>
        <x:v>360</x:v>
      </x:c>
      <x:c r="O933" s="56" t="str">
        <x:f>IF(N933=360,"通过","失败")</x:f>
        <x:v>通过</x:v>
      </x:c>
      <x:c r="P933" s="56" t="str"/>
      <x:c r="Q933" s="59" t="str">
        <x:v>待确认</x:v>
      </x:c>
    </x:row>
    <x:row r="934">
      <x:c r="A934" s="56" t="str">
        <x:v>P024</x:v>
      </x:c>
      <x:c r="B934" s="56" t="str">
        <x:v>HX-ADD-012</x:v>
      </x:c>
      <x:c r="C934" s="56" t="str">
        <x:v>history</x:v>
      </x:c>
      <x:c r="D934" s="56" t="n">
        <x:v>50</x:v>
      </x:c>
      <x:c r="E934" s="56" t="str">
        <x:v>history.hematuria_onset</x:v>
      </x:c>
      <x:c r="F934" s="56" t="str">
        <x:v>hematuria_onset</x:v>
      </x:c>
      <x:c r="G934" s="56" t="n">
        <x:v>5</x:v>
      </x:c>
      <x:c r="H934" s="56" t="str">
        <x:v>普通得分项</x:v>
      </x:c>
      <x:c r="I934" s="56" t="str">
        <x:v>否</x:v>
      </x:c>
      <x:c r="J934" s="56" t="str">
        <x:v>否</x:v>
      </x:c>
      <x:c r="K934" s="56" t="str">
        <x:v>否</x:v>
      </x:c>
      <x:c r="L934" s="56" t="str">
        <x:v>按结构化事件证据给予0/部分/满分；不能由总结反推已完成</x:v>
      </x:c>
      <x:c r="M934" s="56" t="str"/>
      <x:c r="N934" s="56" t="n">
        <x:f>SUMIFS($G$4:$G$1673,$A$4:$A$1673,A934)</x:f>
        <x:v>360</x:v>
      </x:c>
      <x:c r="O934" s="56" t="str">
        <x:f>IF(N934=360,"通过","失败")</x:f>
        <x:v>通过</x:v>
      </x:c>
      <x:c r="P934" s="56" t="str"/>
      <x:c r="Q934" s="59" t="str">
        <x:v>待确认</x:v>
      </x:c>
    </x:row>
    <x:row r="935">
      <x:c r="A935" s="56" t="str">
        <x:v>P024</x:v>
      </x:c>
      <x:c r="B935" s="56" t="str">
        <x:v>HX-ADD-012</x:v>
      </x:c>
      <x:c r="C935" s="56" t="str">
        <x:v>history</x:v>
      </x:c>
      <x:c r="D935" s="56" t="n">
        <x:v>50</x:v>
      </x:c>
      <x:c r="E935" s="56" t="str">
        <x:v>history.hematuria_frequency</x:v>
      </x:c>
      <x:c r="F935" s="56" t="str">
        <x:v>hematuria_frequency</x:v>
      </x:c>
      <x:c r="G935" s="56" t="n">
        <x:v>4</x:v>
      </x:c>
      <x:c r="H935" s="56" t="str">
        <x:v>普通得分项</x:v>
      </x:c>
      <x:c r="I935" s="56" t="str">
        <x:v>否</x:v>
      </x:c>
      <x:c r="J935" s="56" t="str">
        <x:v>否</x:v>
      </x:c>
      <x:c r="K935" s="56" t="str">
        <x:v>否</x:v>
      </x:c>
      <x:c r="L935" s="56" t="str">
        <x:v>按结构化事件证据给予0/部分/满分；不能由总结反推已完成</x:v>
      </x:c>
      <x:c r="M935" s="56" t="str"/>
      <x:c r="N935" s="56" t="n">
        <x:f>SUMIFS($G$4:$G$1673,$A$4:$A$1673,A935)</x:f>
        <x:v>360</x:v>
      </x:c>
      <x:c r="O935" s="56" t="str">
        <x:f>IF(N935=360,"通过","失败")</x:f>
        <x:v>通过</x:v>
      </x:c>
      <x:c r="P935" s="56" t="str"/>
      <x:c r="Q935" s="59" t="str">
        <x:v>待确认</x:v>
      </x:c>
    </x:row>
    <x:row r="936">
      <x:c r="A936" s="56" t="str">
        <x:v>P024</x:v>
      </x:c>
      <x:c r="B936" s="56" t="str">
        <x:v>HX-ADD-012</x:v>
      </x:c>
      <x:c r="C936" s="56" t="str">
        <x:v>history</x:v>
      </x:c>
      <x:c r="D936" s="56" t="n">
        <x:v>50</x:v>
      </x:c>
      <x:c r="E936" s="56" t="str">
        <x:v>history.hematuria_phase</x:v>
      </x:c>
      <x:c r="F936" s="56" t="str">
        <x:v>hematuria_phase</x:v>
      </x:c>
      <x:c r="G936" s="56" t="n">
        <x:v>4</x:v>
      </x:c>
      <x:c r="H936" s="56" t="str">
        <x:v>普通得分项</x:v>
      </x:c>
      <x:c r="I936" s="56" t="str">
        <x:v>否</x:v>
      </x:c>
      <x:c r="J936" s="56" t="str">
        <x:v>否</x:v>
      </x:c>
      <x:c r="K936" s="56" t="str">
        <x:v>否</x:v>
      </x:c>
      <x:c r="L936" s="56" t="str">
        <x:v>按结构化事件证据给予0/部分/满分；不能由总结反推已完成</x:v>
      </x:c>
      <x:c r="M936" s="56" t="str"/>
      <x:c r="N936" s="56" t="n">
        <x:f>SUMIFS($G$4:$G$1673,$A$4:$A$1673,A936)</x:f>
        <x:v>360</x:v>
      </x:c>
      <x:c r="O936" s="56" t="str">
        <x:f>IF(N936=360,"通过","失败")</x:f>
        <x:v>通过</x:v>
      </x:c>
      <x:c r="P936" s="56" t="str"/>
      <x:c r="Q936" s="59" t="str">
        <x:v>待确认</x:v>
      </x:c>
    </x:row>
    <x:row r="937">
      <x:c r="A937" s="56" t="str">
        <x:v>P024</x:v>
      </x:c>
      <x:c r="B937" s="56" t="str">
        <x:v>HX-ADD-012</x:v>
      </x:c>
      <x:c r="C937" s="56" t="str">
        <x:v>history</x:v>
      </x:c>
      <x:c r="D937" s="56" t="n">
        <x:v>50</x:v>
      </x:c>
      <x:c r="E937" s="56" t="str">
        <x:v>history.urine_color</x:v>
      </x:c>
      <x:c r="F937" s="56" t="str">
        <x:v>urine_color</x:v>
      </x:c>
      <x:c r="G937" s="56" t="n">
        <x:v>4</x:v>
      </x:c>
      <x:c r="H937" s="56" t="str">
        <x:v>普通得分项</x:v>
      </x:c>
      <x:c r="I937" s="56" t="str">
        <x:v>否</x:v>
      </x:c>
      <x:c r="J937" s="56" t="str">
        <x:v>否</x:v>
      </x:c>
      <x:c r="K937" s="56" t="str">
        <x:v>否</x:v>
      </x:c>
      <x:c r="L937" s="56" t="str">
        <x:v>按结构化事件证据给予0/部分/满分；不能由总结反推已完成</x:v>
      </x:c>
      <x:c r="M937" s="56" t="str"/>
      <x:c r="N937" s="56" t="n">
        <x:f>SUMIFS($G$4:$G$1673,$A$4:$A$1673,A937)</x:f>
        <x:v>360</x:v>
      </x:c>
      <x:c r="O937" s="56" t="str">
        <x:f>IF(N937=360,"通过","失败")</x:f>
        <x:v>通过</x:v>
      </x:c>
      <x:c r="P937" s="56" t="str"/>
      <x:c r="Q937" s="59" t="str">
        <x:v>待确认</x:v>
      </x:c>
    </x:row>
    <x:row r="938">
      <x:c r="A938" s="56" t="str">
        <x:v>P024</x:v>
      </x:c>
      <x:c r="B938" s="56" t="str">
        <x:v>HX-ADD-012</x:v>
      </x:c>
      <x:c r="C938" s="56" t="str">
        <x:v>history</x:v>
      </x:c>
      <x:c r="D938" s="56" t="n">
        <x:v>50</x:v>
      </x:c>
      <x:c r="E938" s="56" t="str">
        <x:v>history.clots</x:v>
      </x:c>
      <x:c r="F938" s="56" t="str">
        <x:v>clots</x:v>
      </x:c>
      <x:c r="G938" s="56" t="n">
        <x:v>4</x:v>
      </x:c>
      <x:c r="H938" s="56" t="str">
        <x:v>普通得分项</x:v>
      </x:c>
      <x:c r="I938" s="56" t="str">
        <x:v>否</x:v>
      </x:c>
      <x:c r="J938" s="56" t="str">
        <x:v>否</x:v>
      </x:c>
      <x:c r="K938" s="56" t="str">
        <x:v>否</x:v>
      </x:c>
      <x:c r="L938" s="56" t="str">
        <x:v>按结构化事件证据给予0/部分/满分；不能由总结反推已完成</x:v>
      </x:c>
      <x:c r="M938" s="56" t="str"/>
      <x:c r="N938" s="56" t="n">
        <x:f>SUMIFS($G$4:$G$1673,$A$4:$A$1673,A938)</x:f>
        <x:v>360</x:v>
      </x:c>
      <x:c r="O938" s="56" t="str">
        <x:f>IF(N938=360,"通过","失败")</x:f>
        <x:v>通过</x:v>
      </x:c>
      <x:c r="P938" s="56" t="str"/>
      <x:c r="Q938" s="59" t="str">
        <x:v>待确认</x:v>
      </x:c>
    </x:row>
    <x:row r="939">
      <x:c r="A939" s="56" t="str">
        <x:v>P024</x:v>
      </x:c>
      <x:c r="B939" s="56" t="str">
        <x:v>HX-ADD-012</x:v>
      </x:c>
      <x:c r="C939" s="56" t="str">
        <x:v>history</x:v>
      </x:c>
      <x:c r="D939" s="56" t="n">
        <x:v>50</x:v>
      </x:c>
      <x:c r="E939" s="56" t="str">
        <x:v>history.pain</x:v>
      </x:c>
      <x:c r="F939" s="56" t="str">
        <x:v>pain</x:v>
      </x:c>
      <x:c r="G939" s="56" t="n">
        <x:v>4</x:v>
      </x:c>
      <x:c r="H939" s="56" t="str">
        <x:v>普通得分项</x:v>
      </x:c>
      <x:c r="I939" s="56" t="str">
        <x:v>否</x:v>
      </x:c>
      <x:c r="J939" s="56" t="str">
        <x:v>否</x:v>
      </x:c>
      <x:c r="K939" s="56" t="str">
        <x:v>否</x:v>
      </x:c>
      <x:c r="L939" s="56" t="str">
        <x:v>按结构化事件证据给予0/部分/满分；不能由总结反推已完成</x:v>
      </x:c>
      <x:c r="M939" s="56" t="str"/>
      <x:c r="N939" s="56" t="n">
        <x:f>SUMIFS($G$4:$G$1673,$A$4:$A$1673,A939)</x:f>
        <x:v>360</x:v>
      </x:c>
      <x:c r="O939" s="56" t="str">
        <x:f>IF(N939=360,"通过","失败")</x:f>
        <x:v>通过</x:v>
      </x:c>
      <x:c r="P939" s="56" t="str"/>
      <x:c r="Q939" s="59" t="str">
        <x:v>待确认</x:v>
      </x:c>
    </x:row>
    <x:row r="940">
      <x:c r="A940" s="56" t="str">
        <x:v>P024</x:v>
      </x:c>
      <x:c r="B940" s="56" t="str">
        <x:v>HX-ADD-012</x:v>
      </x:c>
      <x:c r="C940" s="56" t="str">
        <x:v>history</x:v>
      </x:c>
      <x:c r="D940" s="56" t="n">
        <x:v>50</x:v>
      </x:c>
      <x:c r="E940" s="56" t="str">
        <x:v>history.dysuria</x:v>
      </x:c>
      <x:c r="F940" s="56" t="str">
        <x:v>dysuria</x:v>
      </x:c>
      <x:c r="G940" s="56" t="n">
        <x:v>4</x:v>
      </x:c>
      <x:c r="H940" s="56" t="str">
        <x:v>普通得分项</x:v>
      </x:c>
      <x:c r="I940" s="56" t="str">
        <x:v>否</x:v>
      </x:c>
      <x:c r="J940" s="56" t="str">
        <x:v>否</x:v>
      </x:c>
      <x:c r="K940" s="56" t="str">
        <x:v>否</x:v>
      </x:c>
      <x:c r="L940" s="56" t="str">
        <x:v>按结构化事件证据给予0/部分/满分；不能由总结反推已完成</x:v>
      </x:c>
      <x:c r="M940" s="56" t="str"/>
      <x:c r="N940" s="56" t="n">
        <x:f>SUMIFS($G$4:$G$1673,$A$4:$A$1673,A940)</x:f>
        <x:v>360</x:v>
      </x:c>
      <x:c r="O940" s="56" t="str">
        <x:f>IF(N940=360,"通过","失败")</x:f>
        <x:v>通过</x:v>
      </x:c>
      <x:c r="P940" s="56" t="str"/>
      <x:c r="Q940" s="59" t="str">
        <x:v>待确认</x:v>
      </x:c>
    </x:row>
    <x:row r="941">
      <x:c r="A941" s="56" t="str">
        <x:v>P024</x:v>
      </x:c>
      <x:c r="B941" s="56" t="str">
        <x:v>HX-ADD-012</x:v>
      </x:c>
      <x:c r="C941" s="56" t="str">
        <x:v>history</x:v>
      </x:c>
      <x:c r="D941" s="56" t="n">
        <x:v>50</x:v>
      </x:c>
      <x:c r="E941" s="56" t="str">
        <x:v>history.urinary_frequency</x:v>
      </x:c>
      <x:c r="F941" s="56" t="str">
        <x:v>urinary_frequency</x:v>
      </x:c>
      <x:c r="G941" s="56" t="n">
        <x:v>4</x:v>
      </x:c>
      <x:c r="H941" s="56" t="str">
        <x:v>普通得分项</x:v>
      </x:c>
      <x:c r="I941" s="56" t="str">
        <x:v>否</x:v>
      </x:c>
      <x:c r="J941" s="56" t="str">
        <x:v>否</x:v>
      </x:c>
      <x:c r="K941" s="56" t="str">
        <x:v>否</x:v>
      </x:c>
      <x:c r="L941" s="56" t="str">
        <x:v>按结构化事件证据给予0/部分/满分；不能由总结反推已完成</x:v>
      </x:c>
      <x:c r="M941" s="56" t="str"/>
      <x:c r="N941" s="56" t="n">
        <x:f>SUMIFS($G$4:$G$1673,$A$4:$A$1673,A941)</x:f>
        <x:v>360</x:v>
      </x:c>
      <x:c r="O941" s="56" t="str">
        <x:f>IF(N941=360,"通过","失败")</x:f>
        <x:v>通过</x:v>
      </x:c>
      <x:c r="P941" s="56" t="str"/>
      <x:c r="Q941" s="59" t="str">
        <x:v>待确认</x:v>
      </x:c>
    </x:row>
    <x:row r="942">
      <x:c r="A942" s="56" t="str">
        <x:v>P024</x:v>
      </x:c>
      <x:c r="B942" s="56" t="str">
        <x:v>HX-ADD-012</x:v>
      </x:c>
      <x:c r="C942" s="56" t="str">
        <x:v>history</x:v>
      </x:c>
      <x:c r="D942" s="56" t="n">
        <x:v>50</x:v>
      </x:c>
      <x:c r="E942" s="56" t="str">
        <x:v>history.urinary_urgency</x:v>
      </x:c>
      <x:c r="F942" s="56" t="str">
        <x:v>urinary_urgency</x:v>
      </x:c>
      <x:c r="G942" s="56" t="n">
        <x:v>4</x:v>
      </x:c>
      <x:c r="H942" s="56" t="str">
        <x:v>普通得分项</x:v>
      </x:c>
      <x:c r="I942" s="56" t="str">
        <x:v>否</x:v>
      </x:c>
      <x:c r="J942" s="56" t="str">
        <x:v>否</x:v>
      </x:c>
      <x:c r="K942" s="56" t="str">
        <x:v>否</x:v>
      </x:c>
      <x:c r="L942" s="56" t="str">
        <x:v>按结构化事件证据给予0/部分/满分；不能由总结反推已完成</x:v>
      </x:c>
      <x:c r="M942" s="56" t="str"/>
      <x:c r="N942" s="56" t="n">
        <x:f>SUMIFS($G$4:$G$1673,$A$4:$A$1673,A942)</x:f>
        <x:v>360</x:v>
      </x:c>
      <x:c r="O942" s="56" t="str">
        <x:f>IF(N942=360,"通过","失败")</x:f>
        <x:v>通过</x:v>
      </x:c>
      <x:c r="P942" s="56" t="str"/>
      <x:c r="Q942" s="59" t="str">
        <x:v>待确认</x:v>
      </x:c>
    </x:row>
    <x:row r="943">
      <x:c r="A943" s="56" t="str">
        <x:v>P024</x:v>
      </x:c>
      <x:c r="B943" s="56" t="str">
        <x:v>HX-ADD-012</x:v>
      </x:c>
      <x:c r="C943" s="56" t="str">
        <x:v>history</x:v>
      </x:c>
      <x:c r="D943" s="56" t="n">
        <x:v>50</x:v>
      </x:c>
      <x:c r="E943" s="56" t="str">
        <x:v>history.flank_pain</x:v>
      </x:c>
      <x:c r="F943" s="56" t="str">
        <x:v>flank_pain</x:v>
      </x:c>
      <x:c r="G943" s="56" t="n">
        <x:v>4</x:v>
      </x:c>
      <x:c r="H943" s="56" t="str">
        <x:v>普通得分项</x:v>
      </x:c>
      <x:c r="I943" s="56" t="str">
        <x:v>否</x:v>
      </x:c>
      <x:c r="J943" s="56" t="str">
        <x:v>否</x:v>
      </x:c>
      <x:c r="K943" s="56" t="str">
        <x:v>否</x:v>
      </x:c>
      <x:c r="L943" s="56" t="str">
        <x:v>按结构化事件证据给予0/部分/满分；不能由总结反推已完成</x:v>
      </x:c>
      <x:c r="M943" s="56" t="str"/>
      <x:c r="N943" s="56" t="n">
        <x:f>SUMIFS($G$4:$G$1673,$A$4:$A$1673,A943)</x:f>
        <x:v>360</x:v>
      </x:c>
      <x:c r="O943" s="56" t="str">
        <x:f>IF(N943=360,"通过","失败")</x:f>
        <x:v>通过</x:v>
      </x:c>
      <x:c r="P943" s="56" t="str"/>
      <x:c r="Q943" s="59" t="str">
        <x:v>待确认</x:v>
      </x:c>
    </x:row>
    <x:row r="944">
      <x:c r="A944" s="56" t="str">
        <x:v>P024</x:v>
      </x:c>
      <x:c r="B944" s="56" t="str">
        <x:v>HX-ADD-012</x:v>
      </x:c>
      <x:c r="C944" s="56" t="str">
        <x:v>history</x:v>
      </x:c>
      <x:c r="D944" s="56" t="n">
        <x:v>50</x:v>
      </x:c>
      <x:c r="E944" s="56" t="str">
        <x:v>history.fever_chills</x:v>
      </x:c>
      <x:c r="F944" s="56" t="str">
        <x:v>fever_chills</x:v>
      </x:c>
      <x:c r="G944" s="56" t="n">
        <x:v>4</x:v>
      </x:c>
      <x:c r="H944" s="56" t="str">
        <x:v>普通得分项</x:v>
      </x:c>
      <x:c r="I944" s="56" t="str">
        <x:v>否</x:v>
      </x:c>
      <x:c r="J944" s="56" t="str">
        <x:v>否</x:v>
      </x:c>
      <x:c r="K944" s="56" t="str">
        <x:v>否</x:v>
      </x:c>
      <x:c r="L944" s="56" t="str">
        <x:v>按结构化事件证据给予0/部分/满分；不能由总结反推已完成</x:v>
      </x:c>
      <x:c r="M944" s="56" t="str"/>
      <x:c r="N944" s="56" t="n">
        <x:f>SUMIFS($G$4:$G$1673,$A$4:$A$1673,A944)</x:f>
        <x:v>360</x:v>
      </x:c>
      <x:c r="O944" s="56" t="str">
        <x:f>IF(N944=360,"通过","失败")</x:f>
        <x:v>通过</x:v>
      </x:c>
      <x:c r="P944" s="56" t="str"/>
      <x:c r="Q944" s="59" t="str">
        <x:v>待确认</x:v>
      </x:c>
    </x:row>
    <x:row r="945">
      <x:c r="A945" s="56" t="str">
        <x:v>P024</x:v>
      </x:c>
      <x:c r="B945" s="56" t="str">
        <x:v>HX-ADD-012</x:v>
      </x:c>
      <x:c r="C945" s="56" t="str">
        <x:v>risk</x:v>
      </x:c>
      <x:c r="D945" s="56" t="n">
        <x:v>40</x:v>
      </x:c>
      <x:c r="E945" s="56" t="str">
        <x:v>risk.stone_history</x:v>
      </x:c>
      <x:c r="F945" s="56" t="str">
        <x:v>stone_history</x:v>
      </x:c>
      <x:c r="G945" s="56" t="n">
        <x:v>10</x:v>
      </x:c>
      <x:c r="H945" s="56" t="str">
        <x:v>普通得分项</x:v>
      </x:c>
      <x:c r="I945" s="56" t="str">
        <x:v>否</x:v>
      </x:c>
      <x:c r="J945" s="56" t="str">
        <x:v>否</x:v>
      </x:c>
      <x:c r="K945" s="56" t="str">
        <x:v>否</x:v>
      </x:c>
      <x:c r="L945" s="56" t="str">
        <x:v>按结构化事件证据给予0/部分/满分；不能由总结反推已完成</x:v>
      </x:c>
      <x:c r="M945" s="56" t="str"/>
      <x:c r="N945" s="56" t="n">
        <x:f>SUMIFS($G$4:$G$1673,$A$4:$A$1673,A945)</x:f>
        <x:v>360</x:v>
      </x:c>
      <x:c r="O945" s="56" t="str">
        <x:f>IF(N945=360,"通过","失败")</x:f>
        <x:v>通过</x:v>
      </x:c>
      <x:c r="P945" s="56" t="str"/>
      <x:c r="Q945" s="59" t="str">
        <x:v>待确认</x:v>
      </x:c>
    </x:row>
    <x:row r="946">
      <x:c r="A946" s="56" t="str">
        <x:v>P024</x:v>
      </x:c>
      <x:c r="B946" s="56" t="str">
        <x:v>HX-ADD-012</x:v>
      </x:c>
      <x:c r="C946" s="56" t="str">
        <x:v>risk</x:v>
      </x:c>
      <x:c r="D946" s="56" t="n">
        <x:v>40</x:v>
      </x:c>
      <x:c r="E946" s="56" t="str">
        <x:v>risk.triggers</x:v>
      </x:c>
      <x:c r="F946" s="56" t="str">
        <x:v>triggers</x:v>
      </x:c>
      <x:c r="G946" s="56" t="n">
        <x:v>10</x:v>
      </x:c>
      <x:c r="H946" s="56" t="str">
        <x:v>普通得分项</x:v>
      </x:c>
      <x:c r="I946" s="56" t="str">
        <x:v>否</x:v>
      </x:c>
      <x:c r="J946" s="56" t="str">
        <x:v>否</x:v>
      </x:c>
      <x:c r="K946" s="56" t="str">
        <x:v>否</x:v>
      </x:c>
      <x:c r="L946" s="56" t="str">
        <x:v>按结构化事件证据给予0/部分/满分；不能由总结反推已完成</x:v>
      </x:c>
      <x:c r="M946" s="56" t="str"/>
      <x:c r="N946" s="56" t="n">
        <x:f>SUMIFS($G$4:$G$1673,$A$4:$A$1673,A946)</x:f>
        <x:v>360</x:v>
      </x:c>
      <x:c r="O946" s="56" t="str">
        <x:f>IF(N946=360,"通过","失败")</x:f>
        <x:v>通过</x:v>
      </x:c>
      <x:c r="P946" s="56" t="str"/>
      <x:c r="Q946" s="59" t="str">
        <x:v>待确认</x:v>
      </x:c>
    </x:row>
    <x:row r="947">
      <x:c r="A947" s="56" t="str">
        <x:v>P024</x:v>
      </x:c>
      <x:c r="B947" s="56" t="str">
        <x:v>HX-ADD-012</x:v>
      </x:c>
      <x:c r="C947" s="56" t="str">
        <x:v>risk</x:v>
      </x:c>
      <x:c r="D947" s="56" t="n">
        <x:v>40</x:v>
      </x:c>
      <x:c r="E947" s="56" t="str">
        <x:v>risk.uti_history</x:v>
      </x:c>
      <x:c r="F947" s="56" t="str">
        <x:v>uti_history</x:v>
      </x:c>
      <x:c r="G947" s="56" t="n">
        <x:v>10</x:v>
      </x:c>
      <x:c r="H947" s="56" t="str">
        <x:v>普通得分项</x:v>
      </x:c>
      <x:c r="I947" s="56" t="str">
        <x:v>否</x:v>
      </x:c>
      <x:c r="J947" s="56" t="str">
        <x:v>否</x:v>
      </x:c>
      <x:c r="K947" s="56" t="str">
        <x:v>否</x:v>
      </x:c>
      <x:c r="L947" s="56" t="str">
        <x:v>按结构化事件证据给予0/部分/满分；不能由总结反推已完成</x:v>
      </x:c>
      <x:c r="M947" s="56" t="str"/>
      <x:c r="N947" s="56" t="n">
        <x:f>SUMIFS($G$4:$G$1673,$A$4:$A$1673,A947)</x:f>
        <x:v>360</x:v>
      </x:c>
      <x:c r="O947" s="56" t="str">
        <x:f>IF(N947=360,"通过","失败")</x:f>
        <x:v>通过</x:v>
      </x:c>
      <x:c r="P947" s="56" t="str"/>
      <x:c r="Q947" s="59" t="str">
        <x:v>待确认</x:v>
      </x:c>
    </x:row>
    <x:row r="948">
      <x:c r="A948" s="56" t="str">
        <x:v>P024</x:v>
      </x:c>
      <x:c r="B948" s="56" t="str">
        <x:v>HX-ADD-012</x:v>
      </x:c>
      <x:c r="C948" s="56" t="str">
        <x:v>risk</x:v>
      </x:c>
      <x:c r="D948" s="56" t="n">
        <x:v>40</x:v>
      </x:c>
      <x:c r="E948" s="56" t="str">
        <x:v>risk.retention</x:v>
      </x:c>
      <x:c r="F948" s="56" t="str">
        <x:v>retention</x:v>
      </x:c>
      <x:c r="G948" s="56" t="n">
        <x:v>10</x:v>
      </x:c>
      <x:c r="H948" s="56" t="str">
        <x:v>普通得分项</x:v>
      </x:c>
      <x:c r="I948" s="56" t="str">
        <x:v>否</x:v>
      </x:c>
      <x:c r="J948" s="56" t="str">
        <x:v>否</x:v>
      </x:c>
      <x:c r="K948" s="56" t="str">
        <x:v>否</x:v>
      </x:c>
      <x:c r="L948" s="56" t="str">
        <x:v>按结构化事件证据给予0/部分/满分；不能由总结反推已完成</x:v>
      </x:c>
      <x:c r="M948" s="56" t="str"/>
      <x:c r="N948" s="56" t="n">
        <x:f>SUMIFS($G$4:$G$1673,$A$4:$A$1673,A948)</x:f>
        <x:v>360</x:v>
      </x:c>
      <x:c r="O948" s="56" t="str">
        <x:f>IF(N948=360,"通过","失败")</x:f>
        <x:v>通过</x:v>
      </x:c>
      <x:c r="P948" s="56" t="str"/>
      <x:c r="Q948" s="59" t="str">
        <x:v>待确认</x:v>
      </x:c>
    </x:row>
    <x:row r="949">
      <x:c r="A949" s="56" t="str">
        <x:v>P024</x:v>
      </x:c>
      <x:c r="B949" s="56" t="str">
        <x:v>HX-ADD-012</x:v>
      </x:c>
      <x:c r="C949" s="56" t="str">
        <x:v>exam</x:v>
      </x:c>
      <x:c r="D949" s="56" t="n">
        <x:v>35</x:v>
      </x:c>
      <x:c r="E949" s="56" t="str">
        <x:v>exam.temperature</x:v>
      </x:c>
      <x:c r="F949" s="56" t="str">
        <x:v>体温</x:v>
      </x:c>
      <x:c r="G949" s="56" t="n">
        <x:v>12</x:v>
      </x:c>
      <x:c r="H949" s="56" t="str">
        <x:v>普通得分项</x:v>
      </x:c>
      <x:c r="I949" s="56" t="str">
        <x:v>否</x:v>
      </x:c>
      <x:c r="J949" s="56" t="str">
        <x:v>否</x:v>
      </x:c>
      <x:c r="K949" s="56" t="str">
        <x:v>否</x:v>
      </x:c>
      <x:c r="L949" s="56" t="str">
        <x:v>按结构化事件证据给予0/部分/满分；不能由总结反推已完成</x:v>
      </x:c>
      <x:c r="M949" s="56" t="str"/>
      <x:c r="N949" s="56" t="n">
        <x:f>SUMIFS($G$4:$G$1673,$A$4:$A$1673,A949)</x:f>
        <x:v>360</x:v>
      </x:c>
      <x:c r="O949" s="56" t="str">
        <x:f>IF(N949=360,"通过","失败")</x:f>
        <x:v>通过</x:v>
      </x:c>
      <x:c r="P949" s="56" t="str"/>
      <x:c r="Q949" s="59" t="str">
        <x:v>待确认</x:v>
      </x:c>
    </x:row>
    <x:row r="950">
      <x:c r="A950" s="56" t="str">
        <x:v>P024</x:v>
      </x:c>
      <x:c r="B950" s="56" t="str">
        <x:v>HX-ADD-012</x:v>
      </x:c>
      <x:c r="C950" s="56" t="str">
        <x:v>exam</x:v>
      </x:c>
      <x:c r="D950" s="56" t="n">
        <x:v>35</x:v>
      </x:c>
      <x:c r="E950" s="56" t="str">
        <x:v>exam.blood_pressure</x:v>
      </x:c>
      <x:c r="F950" s="56" t="str">
        <x:v>血压</x:v>
      </x:c>
      <x:c r="G950" s="56" t="n">
        <x:v>12</x:v>
      </x:c>
      <x:c r="H950" s="56" t="str">
        <x:v>普通得分项</x:v>
      </x:c>
      <x:c r="I950" s="56" t="str">
        <x:v>否</x:v>
      </x:c>
      <x:c r="J950" s="56" t="str">
        <x:v>否</x:v>
      </x:c>
      <x:c r="K950" s="56" t="str">
        <x:v>否</x:v>
      </x:c>
      <x:c r="L950" s="56" t="str">
        <x:v>按结构化事件证据给予0/部分/满分；不能由总结反推已完成</x:v>
      </x:c>
      <x:c r="M950" s="56" t="str"/>
      <x:c r="N950" s="56" t="n">
        <x:f>SUMIFS($G$4:$G$1673,$A$4:$A$1673,A950)</x:f>
        <x:v>360</x:v>
      </x:c>
      <x:c r="O950" s="56" t="str">
        <x:f>IF(N950=360,"通过","失败")</x:f>
        <x:v>通过</x:v>
      </x:c>
      <x:c r="P950" s="56" t="str"/>
      <x:c r="Q950" s="59" t="str">
        <x:v>待确认</x:v>
      </x:c>
    </x:row>
    <x:row r="951">
      <x:c r="A951" s="56" t="str">
        <x:v>P024</x:v>
      </x:c>
      <x:c r="B951" s="56" t="str">
        <x:v>HX-ADD-012</x:v>
      </x:c>
      <x:c r="C951" s="56" t="str">
        <x:v>exam</x:v>
      </x:c>
      <x:c r="D951" s="56" t="n">
        <x:v>35</x:v>
      </x:c>
      <x:c r="E951" s="56" t="str">
        <x:v>exam.targeted</x:v>
      </x:c>
      <x:c r="F951" s="56" t="str">
        <x:v>病例针对性查体</x:v>
      </x:c>
      <x:c r="G951" s="56" t="n">
        <x:v>11</x:v>
      </x:c>
      <x:c r="H951" s="56" t="str">
        <x:v>普通得分项</x:v>
      </x:c>
      <x:c r="I951" s="56" t="str">
        <x:v>否</x:v>
      </x:c>
      <x:c r="J951" s="56" t="str">
        <x:v>否</x:v>
      </x:c>
      <x:c r="K951" s="56" t="str">
        <x:v>否</x:v>
      </x:c>
      <x:c r="L951" s="56" t="str">
        <x:v>按结构化事件证据给予0/部分/满分；不能由总结反推已完成</x:v>
      </x:c>
      <x:c r="M951" s="56" t="str"/>
      <x:c r="N951" s="56" t="n">
        <x:f>SUMIFS($G$4:$G$1673,$A$4:$A$1673,A951)</x:f>
        <x:v>360</x:v>
      </x:c>
      <x:c r="O951" s="56" t="str">
        <x:f>IF(N951=360,"通过","失败")</x:f>
        <x:v>通过</x:v>
      </x:c>
      <x:c r="P951" s="56" t="str"/>
      <x:c r="Q951" s="59" t="str">
        <x:v>待确认</x:v>
      </x:c>
    </x:row>
    <x:row r="952">
      <x:c r="A952" s="56" t="str">
        <x:v>P024</x:v>
      </x:c>
      <x:c r="B952" s="56" t="str">
        <x:v>HX-ADD-012</x:v>
      </x:c>
      <x:c r="C952" s="56" t="str">
        <x:v>diagnosis</x:v>
      </x:c>
      <x:c r="D952" s="56" t="n">
        <x:v>45</x:v>
      </x:c>
      <x:c r="E952" s="56" t="str">
        <x:v>diagnosis.primary</x:v>
      </x:c>
      <x:c r="F952" s="56" t="str">
        <x:v>最可能诊断及依据</x:v>
      </x:c>
      <x:c r="G952" s="56" t="n">
        <x:v>15</x:v>
      </x:c>
      <x:c r="H952" s="56" t="str">
        <x:v>普通得分项</x:v>
      </x:c>
      <x:c r="I952" s="56" t="str">
        <x:v>否</x:v>
      </x:c>
      <x:c r="J952" s="56" t="str">
        <x:v>否</x:v>
      </x:c>
      <x:c r="K952" s="56" t="str">
        <x:v>否</x:v>
      </x:c>
      <x:c r="L952" s="56" t="str">
        <x:v>按结构化事件证据给予0/部分/满分；不能由总结反推已完成</x:v>
      </x:c>
      <x:c r="M952" s="56" t="str"/>
      <x:c r="N952" s="56" t="n">
        <x:f>SUMIFS($G$4:$G$1673,$A$4:$A$1673,A952)</x:f>
        <x:v>360</x:v>
      </x:c>
      <x:c r="O952" s="56" t="str">
        <x:f>IF(N952=360,"通过","失败")</x:f>
        <x:v>通过</x:v>
      </x:c>
      <x:c r="P952" s="56" t="str"/>
      <x:c r="Q952" s="59" t="str">
        <x:v>待确认</x:v>
      </x:c>
    </x:row>
    <x:row r="953">
      <x:c r="A953" s="56" t="str">
        <x:v>P024</x:v>
      </x:c>
      <x:c r="B953" s="56" t="str">
        <x:v>HX-ADD-012</x:v>
      </x:c>
      <x:c r="C953" s="56" t="str">
        <x:v>diagnosis</x:v>
      </x:c>
      <x:c r="D953" s="56" t="n">
        <x:v>45</x:v>
      </x:c>
      <x:c r="E953" s="56" t="str">
        <x:v>diagnosis.differentials</x:v>
      </x:c>
      <x:c r="F953" s="56" t="str">
        <x:v>至少3项鉴别及支持/反对点</x:v>
      </x:c>
      <x:c r="G953" s="56" t="n">
        <x:v>15</x:v>
      </x:c>
      <x:c r="H953" s="56" t="str">
        <x:v>普通得分项</x:v>
      </x:c>
      <x:c r="I953" s="56" t="str">
        <x:v>否</x:v>
      </x:c>
      <x:c r="J953" s="56" t="str">
        <x:v>否</x:v>
      </x:c>
      <x:c r="K953" s="56" t="str">
        <x:v>否</x:v>
      </x:c>
      <x:c r="L953" s="56" t="str">
        <x:v>按结构化事件证据给予0/部分/满分；不能由总结反推已完成</x:v>
      </x:c>
      <x:c r="M953" s="56" t="str"/>
      <x:c r="N953" s="56" t="n">
        <x:f>SUMIFS($G$4:$G$1673,$A$4:$A$1673,A953)</x:f>
        <x:v>360</x:v>
      </x:c>
      <x:c r="O953" s="56" t="str">
        <x:f>IF(N953=360,"通过","失败")</x:f>
        <x:v>通过</x:v>
      </x:c>
      <x:c r="P953" s="56" t="str"/>
      <x:c r="Q953" s="59" t="str">
        <x:v>待确认</x:v>
      </x:c>
    </x:row>
    <x:row r="954">
      <x:c r="A954" s="56" t="str">
        <x:v>P024</x:v>
      </x:c>
      <x:c r="B954" s="56" t="str">
        <x:v>HX-ADD-012</x:v>
      </x:c>
      <x:c r="C954" s="56" t="str">
        <x:v>diagnosis</x:v>
      </x:c>
      <x:c r="D954" s="56" t="n">
        <x:v>45</x:v>
      </x:c>
      <x:c r="E954" s="56" t="str">
        <x:v>diagnosis.confirmation</x:v>
      </x:c>
      <x:c r="F954" s="56" t="str">
        <x:v>确认计划</x:v>
      </x:c>
      <x:c r="G954" s="56" t="n">
        <x:v>15</x:v>
      </x:c>
      <x:c r="H954" s="56" t="str">
        <x:v>普通得分项</x:v>
      </x:c>
      <x:c r="I954" s="56" t="str">
        <x:v>否</x:v>
      </x:c>
      <x:c r="J954" s="56" t="str">
        <x:v>否</x:v>
      </x:c>
      <x:c r="K954" s="56" t="str">
        <x:v>否</x:v>
      </x:c>
      <x:c r="L954" s="56" t="str">
        <x:v>按结构化事件证据给予0/部分/满分；不能由总结反推已完成</x:v>
      </x:c>
      <x:c r="M954" s="56" t="str"/>
      <x:c r="N954" s="56" t="n">
        <x:f>SUMIFS($G$4:$G$1673,$A$4:$A$1673,A954)</x:f>
        <x:v>360</x:v>
      </x:c>
      <x:c r="O954" s="56" t="str">
        <x:f>IF(N954=360,"通过","失败")</x:f>
        <x:v>通过</x:v>
      </x:c>
      <x:c r="P954" s="56" t="str"/>
      <x:c r="Q954" s="59" t="str">
        <x:v>待确认</x:v>
      </x:c>
    </x:row>
    <x:row r="955">
      <x:c r="A955" s="56" t="str">
        <x:v>P024</x:v>
      </x:c>
      <x:c r="B955" s="56" t="str">
        <x:v>HX-ADD-012</x:v>
      </x:c>
      <x:c r="C955" s="56" t="str">
        <x:v>orders</x:v>
      </x:c>
      <x:c r="D955" s="56" t="n">
        <x:v>55</x:v>
      </x:c>
      <x:c r="E955" s="56" t="str">
        <x:v>orders.LAB-UR-001</x:v>
      </x:c>
      <x:c r="F955" s="56" t="str">
        <x:v>LAB-UR-001</x:v>
      </x:c>
      <x:c r="G955" s="56" t="n">
        <x:v>11</x:v>
      </x:c>
      <x:c r="H955" s="56" t="str">
        <x:v>病例特异得分项</x:v>
      </x:c>
      <x:c r="I955" s="56" t="str">
        <x:v>否</x:v>
      </x:c>
      <x:c r="J955" s="56" t="str">
        <x:v>否</x:v>
      </x:c>
      <x:c r="K955" s="56" t="str">
        <x:v>否</x:v>
      </x:c>
      <x:c r="L955" s="56" t="str">
        <x:v>按结构化事件证据给予0/部分/满分；不能由总结反推已完成</x:v>
      </x:c>
      <x:c r="M955" s="56" t="str"/>
      <x:c r="N955" s="56" t="n">
        <x:f>SUMIFS($G$4:$G$1673,$A$4:$A$1673,A955)</x:f>
        <x:v>360</x:v>
      </x:c>
      <x:c r="O955" s="56" t="str">
        <x:f>IF(N955=360,"通过","失败")</x:f>
        <x:v>通过</x:v>
      </x:c>
      <x:c r="P955" s="56" t="str"/>
      <x:c r="Q955" s="59" t="str">
        <x:v>待确认</x:v>
      </x:c>
    </x:row>
    <x:row r="956">
      <x:c r="A956" s="56" t="str">
        <x:v>P024</x:v>
      </x:c>
      <x:c r="B956" s="56" t="str">
        <x:v>HX-ADD-012</x:v>
      </x:c>
      <x:c r="C956" s="56" t="str">
        <x:v>orders</x:v>
      </x:c>
      <x:c r="D956" s="56" t="n">
        <x:v>55</x:v>
      </x:c>
      <x:c r="E956" s="56" t="str">
        <x:v>orders.LAB-UR-002</x:v>
      </x:c>
      <x:c r="F956" s="56" t="str">
        <x:v>LAB-UR-002</x:v>
      </x:c>
      <x:c r="G956" s="56" t="n">
        <x:v>11</x:v>
      </x:c>
      <x:c r="H956" s="56" t="str">
        <x:v>病例特异得分项</x:v>
      </x:c>
      <x:c r="I956" s="56" t="str">
        <x:v>否</x:v>
      </x:c>
      <x:c r="J956" s="56" t="str">
        <x:v>否</x:v>
      </x:c>
      <x:c r="K956" s="56" t="str">
        <x:v>否</x:v>
      </x:c>
      <x:c r="L956" s="56" t="str">
        <x:v>按结构化事件证据给予0/部分/满分；不能由总结反推已完成</x:v>
      </x:c>
      <x:c r="M956" s="56" t="str"/>
      <x:c r="N956" s="56" t="n">
        <x:f>SUMIFS($G$4:$G$1673,$A$4:$A$1673,A956)</x:f>
        <x:v>360</x:v>
      </x:c>
      <x:c r="O956" s="56" t="str">
        <x:f>IF(N956=360,"通过","失败")</x:f>
        <x:v>通过</x:v>
      </x:c>
      <x:c r="P956" s="56" t="str"/>
      <x:c r="Q956" s="59" t="str">
        <x:v>待确认</x:v>
      </x:c>
    </x:row>
    <x:row r="957">
      <x:c r="A957" s="56" t="str">
        <x:v>P024</x:v>
      </x:c>
      <x:c r="B957" s="56" t="str">
        <x:v>HX-ADD-012</x:v>
      </x:c>
      <x:c r="C957" s="56" t="str">
        <x:v>orders</x:v>
      </x:c>
      <x:c r="D957" s="56" t="n">
        <x:v>55</x:v>
      </x:c>
      <x:c r="E957" s="56" t="str">
        <x:v>orders.LAB-BL-003</x:v>
      </x:c>
      <x:c r="F957" s="56" t="str">
        <x:v>LAB-BL-003</x:v>
      </x:c>
      <x:c r="G957" s="56" t="n">
        <x:v>11</x:v>
      </x:c>
      <x:c r="H957" s="56" t="str">
        <x:v>病例特异得分项</x:v>
      </x:c>
      <x:c r="I957" s="56" t="str">
        <x:v>否</x:v>
      </x:c>
      <x:c r="J957" s="56" t="str">
        <x:v>否</x:v>
      </x:c>
      <x:c r="K957" s="56" t="str">
        <x:v>否</x:v>
      </x:c>
      <x:c r="L957" s="56" t="str">
        <x:v>按结构化事件证据给予0/部分/满分；不能由总结反推已完成</x:v>
      </x:c>
      <x:c r="M957" s="56" t="str"/>
      <x:c r="N957" s="56" t="n">
        <x:f>SUMIFS($G$4:$G$1673,$A$4:$A$1673,A957)</x:f>
        <x:v>360</x:v>
      </x:c>
      <x:c r="O957" s="56" t="str">
        <x:f>IF(N957=360,"通过","失败")</x:f>
        <x:v>通过</x:v>
      </x:c>
      <x:c r="P957" s="56" t="str"/>
      <x:c r="Q957" s="59" t="str">
        <x:v>待确认</x:v>
      </x:c>
    </x:row>
    <x:row r="958">
      <x:c r="A958" s="56" t="str">
        <x:v>P024</x:v>
      </x:c>
      <x:c r="B958" s="56" t="str">
        <x:v>HX-ADD-012</x:v>
      </x:c>
      <x:c r="C958" s="56" t="str">
        <x:v>orders</x:v>
      </x:c>
      <x:c r="D958" s="56" t="n">
        <x:v>55</x:v>
      </x:c>
      <x:c r="E958" s="56" t="str">
        <x:v>orders.IMG-CT-001</x:v>
      </x:c>
      <x:c r="F958" s="56" t="str">
        <x:v>IMG-CT-001</x:v>
      </x:c>
      <x:c r="G958" s="56" t="n">
        <x:v>11</x:v>
      </x:c>
      <x:c r="H958" s="56" t="str">
        <x:v>病例特异得分项</x:v>
      </x:c>
      <x:c r="I958" s="56" t="str">
        <x:v>否</x:v>
      </x:c>
      <x:c r="J958" s="56" t="str">
        <x:v>否</x:v>
      </x:c>
      <x:c r="K958" s="56" t="str">
        <x:v>否</x:v>
      </x:c>
      <x:c r="L958" s="56" t="str">
        <x:v>按结构化事件证据给予0/部分/满分；不能由总结反推已完成</x:v>
      </x:c>
      <x:c r="M958" s="56" t="str"/>
      <x:c r="N958" s="56" t="n">
        <x:f>SUMIFS($G$4:$G$1673,$A$4:$A$1673,A958)</x:f>
        <x:v>360</x:v>
      </x:c>
      <x:c r="O958" s="56" t="str">
        <x:f>IF(N958=360,"通过","失败")</x:f>
        <x:v>通过</x:v>
      </x:c>
      <x:c r="P958" s="56" t="str"/>
      <x:c r="Q958" s="59" t="str">
        <x:v>待确认</x:v>
      </x:c>
    </x:row>
    <x:row r="959">
      <x:c r="A959" s="56" t="str">
        <x:v>P024</x:v>
      </x:c>
      <x:c r="B959" s="56" t="str">
        <x:v>HX-ADD-012</x:v>
      </x:c>
      <x:c r="C959" s="56" t="str">
        <x:v>orders</x:v>
      </x:c>
      <x:c r="D959" s="56" t="n">
        <x:v>55</x:v>
      </x:c>
      <x:c r="E959" s="56" t="str">
        <x:v>orders.IMG-US-001</x:v>
      </x:c>
      <x:c r="F959" s="56" t="str">
        <x:v>IMG-US-001</x:v>
      </x:c>
      <x:c r="G959" s="56" t="n">
        <x:v>11</x:v>
      </x:c>
      <x:c r="H959" s="56" t="str">
        <x:v>病例特异得分项</x:v>
      </x:c>
      <x:c r="I959" s="56" t="str">
        <x:v>否</x:v>
      </x:c>
      <x:c r="J959" s="56" t="str">
        <x:v>否</x:v>
      </x:c>
      <x:c r="K959" s="56" t="str">
        <x:v>否</x:v>
      </x:c>
      <x:c r="L959" s="56" t="str">
        <x:v>按结构化事件证据给予0/部分/满分；不能由总结反推已完成</x:v>
      </x:c>
      <x:c r="M959" s="56" t="str"/>
      <x:c r="N959" s="56" t="n">
        <x:f>SUMIFS($G$4:$G$1673,$A$4:$A$1673,A959)</x:f>
        <x:v>360</x:v>
      </x:c>
      <x:c r="O959" s="56" t="str">
        <x:f>IF(N959=360,"通过","失败")</x:f>
        <x:v>通过</x:v>
      </x:c>
      <x:c r="P959" s="56" t="str"/>
      <x:c r="Q959" s="59" t="str">
        <x:v>待确认</x:v>
      </x:c>
    </x:row>
    <x:row r="960">
      <x:c r="A960" s="56" t="str">
        <x:v>P024</x:v>
      </x:c>
      <x:c r="B960" s="56" t="str">
        <x:v>HX-ADD-012</x:v>
      </x:c>
      <x:c r="C960" s="56" t="str">
        <x:v>mdt</x:v>
      </x:c>
      <x:c r="D960" s="56" t="n">
        <x:v>45</x:v>
      </x:c>
      <x:c r="E960" s="56" t="str">
        <x:v>mdt.department</x:v>
      </x:c>
      <x:c r="F960" s="56" t="str">
        <x:v>department</x:v>
      </x:c>
      <x:c r="G960" s="56" t="n">
        <x:v>12</x:v>
      </x:c>
      <x:c r="H960" s="56" t="str">
        <x:v>病例特异得分项</x:v>
      </x:c>
      <x:c r="I960" s="56" t="str">
        <x:v>否</x:v>
      </x:c>
      <x:c r="J960" s="56" t="str">
        <x:v>否</x:v>
      </x:c>
      <x:c r="K960" s="56" t="str">
        <x:v>否</x:v>
      </x:c>
      <x:c r="L960" s="56" t="str">
        <x:v>按结构化事件证据给予0/部分/满分；不能由总结反推已完成</x:v>
      </x:c>
      <x:c r="M960" s="56" t="str"/>
      <x:c r="N960" s="56" t="n">
        <x:f>SUMIFS($G$4:$G$1673,$A$4:$A$1673,A960)</x:f>
        <x:v>360</x:v>
      </x:c>
      <x:c r="O960" s="56" t="str">
        <x:f>IF(N960=360,"通过","失败")</x:f>
        <x:v>通过</x:v>
      </x:c>
      <x:c r="P960" s="56" t="str"/>
      <x:c r="Q960" s="59" t="str">
        <x:v>待确认</x:v>
      </x:c>
    </x:row>
    <x:row r="961">
      <x:c r="A961" s="56" t="str">
        <x:v>P024</x:v>
      </x:c>
      <x:c r="B961" s="56" t="str">
        <x:v>HX-ADD-012</x:v>
      </x:c>
      <x:c r="C961" s="56" t="str">
        <x:v>mdt</x:v>
      </x:c>
      <x:c r="D961" s="56" t="n">
        <x:v>45</x:v>
      </x:c>
      <x:c r="E961" s="56" t="str">
        <x:v>mdt.trigger</x:v>
      </x:c>
      <x:c r="F961" s="56" t="str">
        <x:v>trigger</x:v>
      </x:c>
      <x:c r="G961" s="56" t="n">
        <x:v>11</x:v>
      </x:c>
      <x:c r="H961" s="56" t="str">
        <x:v>病例特异得分项</x:v>
      </x:c>
      <x:c r="I961" s="56" t="str">
        <x:v>否</x:v>
      </x:c>
      <x:c r="J961" s="56" t="str">
        <x:v>否</x:v>
      </x:c>
      <x:c r="K961" s="56" t="str">
        <x:v>否</x:v>
      </x:c>
      <x:c r="L961" s="56" t="str">
        <x:v>按结构化事件证据给予0/部分/满分；不能由总结反推已完成</x:v>
      </x:c>
      <x:c r="M961" s="56" t="str"/>
      <x:c r="N961" s="56" t="n">
        <x:f>SUMIFS($G$4:$G$1673,$A$4:$A$1673,A961)</x:f>
        <x:v>360</x:v>
      </x:c>
      <x:c r="O961" s="56" t="str">
        <x:f>IF(N961=360,"通过","失败")</x:f>
        <x:v>通过</x:v>
      </x:c>
      <x:c r="P961" s="56" t="str"/>
      <x:c r="Q961" s="59" t="str">
        <x:v>待确认</x:v>
      </x:c>
    </x:row>
    <x:row r="962">
      <x:c r="A962" s="56" t="str">
        <x:v>P024</x:v>
      </x:c>
      <x:c r="B962" s="56" t="str">
        <x:v>HX-ADD-012</x:v>
      </x:c>
      <x:c r="C962" s="56" t="str">
        <x:v>mdt</x:v>
      </x:c>
      <x:c r="D962" s="56" t="n">
        <x:v>45</x:v>
      </x:c>
      <x:c r="E962" s="56" t="str">
        <x:v>mdt.question</x:v>
      </x:c>
      <x:c r="F962" s="56" t="str">
        <x:v>question</x:v>
      </x:c>
      <x:c r="G962" s="56" t="n">
        <x:v>11</x:v>
      </x:c>
      <x:c r="H962" s="56" t="str">
        <x:v>病例特异得分项</x:v>
      </x:c>
      <x:c r="I962" s="56" t="str">
        <x:v>否</x:v>
      </x:c>
      <x:c r="J962" s="56" t="str">
        <x:v>否</x:v>
      </x:c>
      <x:c r="K962" s="56" t="str">
        <x:v>否</x:v>
      </x:c>
      <x:c r="L962" s="56" t="str">
        <x:v>按结构化事件证据给予0/部分/满分；不能由总结反推已完成</x:v>
      </x:c>
      <x:c r="M962" s="56" t="str"/>
      <x:c r="N962" s="56" t="n">
        <x:f>SUMIFS($G$4:$G$1673,$A$4:$A$1673,A962)</x:f>
        <x:v>360</x:v>
      </x:c>
      <x:c r="O962" s="56" t="str">
        <x:f>IF(N962=360,"通过","失败")</x:f>
        <x:v>通过</x:v>
      </x:c>
      <x:c r="P962" s="56" t="str"/>
      <x:c r="Q962" s="59" t="str">
        <x:v>待确认</x:v>
      </x:c>
    </x:row>
    <x:row r="963">
      <x:c r="A963" s="56" t="str">
        <x:v>P024</x:v>
      </x:c>
      <x:c r="B963" s="56" t="str">
        <x:v>HX-ADD-012</x:v>
      </x:c>
      <x:c r="C963" s="56" t="str">
        <x:v>mdt</x:v>
      </x:c>
      <x:c r="D963" s="56" t="n">
        <x:v>45</x:v>
      </x:c>
      <x:c r="E963" s="56" t="str">
        <x:v>mdt.evidence</x:v>
      </x:c>
      <x:c r="F963" s="56" t="str">
        <x:v>evidence</x:v>
      </x:c>
      <x:c r="G963" s="56" t="n">
        <x:v>11</x:v>
      </x:c>
      <x:c r="H963" s="56" t="str">
        <x:v>病例特异得分项</x:v>
      </x:c>
      <x:c r="I963" s="56" t="str">
        <x:v>否</x:v>
      </x:c>
      <x:c r="J963" s="56" t="str">
        <x:v>否</x:v>
      </x:c>
      <x:c r="K963" s="56" t="str">
        <x:v>否</x:v>
      </x:c>
      <x:c r="L963" s="56" t="str">
        <x:v>按结构化事件证据给予0/部分/满分；不能由总结反推已完成</x:v>
      </x:c>
      <x:c r="M963" s="56" t="str"/>
      <x:c r="N963" s="56" t="n">
        <x:f>SUMIFS($G$4:$G$1673,$A$4:$A$1673,A963)</x:f>
        <x:v>360</x:v>
      </x:c>
      <x:c r="O963" s="56" t="str">
        <x:f>IF(N963=360,"通过","失败")</x:f>
        <x:v>通过</x:v>
      </x:c>
      <x:c r="P963" s="56" t="str"/>
      <x:c r="Q963" s="59" t="str">
        <x:v>待确认</x:v>
      </x:c>
    </x:row>
    <x:row r="964">
      <x:c r="A964" s="56" t="str">
        <x:v>P024</x:v>
      </x:c>
      <x:c r="B964" s="56" t="str">
        <x:v>HX-ADD-012</x:v>
      </x:c>
      <x:c r="C964" s="56" t="str">
        <x:v>treatment</x:v>
      </x:c>
      <x:c r="D964" s="56" t="n">
        <x:v>50</x:v>
      </x:c>
      <x:c r="E964" s="56" t="str">
        <x:v>treatment.immediate</x:v>
      </x:c>
      <x:c r="F964" s="56" t="str">
        <x:v>immediate</x:v>
      </x:c>
      <x:c r="G964" s="56" t="n">
        <x:v>13</x:v>
      </x:c>
      <x:c r="H964" s="56" t="str">
        <x:v>病例特异得分项</x:v>
      </x:c>
      <x:c r="I964" s="56" t="str">
        <x:v>否</x:v>
      </x:c>
      <x:c r="J964" s="56" t="str">
        <x:v>否</x:v>
      </x:c>
      <x:c r="K964" s="56" t="str">
        <x:v>否</x:v>
      </x:c>
      <x:c r="L964" s="56" t="str">
        <x:v>按结构化事件证据给予0/部分/满分；不能由总结反推已完成</x:v>
      </x:c>
      <x:c r="M964" s="56" t="str"/>
      <x:c r="N964" s="56" t="n">
        <x:f>SUMIFS($G$4:$G$1673,$A$4:$A$1673,A964)</x:f>
        <x:v>360</x:v>
      </x:c>
      <x:c r="O964" s="56" t="str">
        <x:f>IF(N964=360,"通过","失败")</x:f>
        <x:v>通过</x:v>
      </x:c>
      <x:c r="P964" s="56" t="str"/>
      <x:c r="Q964" s="59" t="str">
        <x:v>待确认</x:v>
      </x:c>
    </x:row>
    <x:row r="965">
      <x:c r="A965" s="56" t="str">
        <x:v>P024</x:v>
      </x:c>
      <x:c r="B965" s="56" t="str">
        <x:v>HX-ADD-012</x:v>
      </x:c>
      <x:c r="C965" s="56" t="str">
        <x:v>treatment</x:v>
      </x:c>
      <x:c r="D965" s="56" t="n">
        <x:v>50</x:v>
      </x:c>
      <x:c r="E965" s="56" t="str">
        <x:v>treatment.etiologic</x:v>
      </x:c>
      <x:c r="F965" s="56" t="str">
        <x:v>etiologic</x:v>
      </x:c>
      <x:c r="G965" s="56" t="n">
        <x:v>13</x:v>
      </x:c>
      <x:c r="H965" s="56" t="str">
        <x:v>病例特异得分项</x:v>
      </x:c>
      <x:c r="I965" s="56" t="str">
        <x:v>否</x:v>
      </x:c>
      <x:c r="J965" s="56" t="str">
        <x:v>否</x:v>
      </x:c>
      <x:c r="K965" s="56" t="str">
        <x:v>否</x:v>
      </x:c>
      <x:c r="L965" s="56" t="str">
        <x:v>按结构化事件证据给予0/部分/满分；不能由总结反推已完成</x:v>
      </x:c>
      <x:c r="M965" s="56" t="str"/>
      <x:c r="N965" s="56" t="n">
        <x:f>SUMIFS($G$4:$G$1673,$A$4:$A$1673,A965)</x:f>
        <x:v>360</x:v>
      </x:c>
      <x:c r="O965" s="56" t="str">
        <x:f>IF(N965=360,"通过","失败")</x:f>
        <x:v>通过</x:v>
      </x:c>
      <x:c r="P965" s="56" t="str"/>
      <x:c r="Q965" s="59" t="str">
        <x:v>待确认</x:v>
      </x:c>
    </x:row>
    <x:row r="966">
      <x:c r="A966" s="56" t="str">
        <x:v>P024</x:v>
      </x:c>
      <x:c r="B966" s="56" t="str">
        <x:v>HX-ADD-012</x:v>
      </x:c>
      <x:c r="C966" s="56" t="str">
        <x:v>treatment</x:v>
      </x:c>
      <x:c r="D966" s="56" t="n">
        <x:v>50</x:v>
      </x:c>
      <x:c r="E966" s="56" t="str">
        <x:v>treatment.definitive</x:v>
      </x:c>
      <x:c r="F966" s="56" t="str">
        <x:v>definitive</x:v>
      </x:c>
      <x:c r="G966" s="56" t="n">
        <x:v>12</x:v>
      </x:c>
      <x:c r="H966" s="56" t="str">
        <x:v>病例特异得分项</x:v>
      </x:c>
      <x:c r="I966" s="56" t="str">
        <x:v>否</x:v>
      </x:c>
      <x:c r="J966" s="56" t="str">
        <x:v>否</x:v>
      </x:c>
      <x:c r="K966" s="56" t="str">
        <x:v>否</x:v>
      </x:c>
      <x:c r="L966" s="56" t="str">
        <x:v>按结构化事件证据给予0/部分/满分；不能由总结反推已完成</x:v>
      </x:c>
      <x:c r="M966" s="56" t="str"/>
      <x:c r="N966" s="56" t="n">
        <x:f>SUMIFS($G$4:$G$1673,$A$4:$A$1673,A966)</x:f>
        <x:v>360</x:v>
      </x:c>
      <x:c r="O966" s="56" t="str">
        <x:f>IF(N966=360,"通过","失败")</x:f>
        <x:v>通过</x:v>
      </x:c>
      <x:c r="P966" s="56" t="str"/>
      <x:c r="Q966" s="59" t="str">
        <x:v>待确认</x:v>
      </x:c>
    </x:row>
    <x:row r="967">
      <x:c r="A967" s="56" t="str">
        <x:v>P024</x:v>
      </x:c>
      <x:c r="B967" s="56" t="str">
        <x:v>HX-ADD-012</x:v>
      </x:c>
      <x:c r="C967" s="56" t="str">
        <x:v>treatment</x:v>
      </x:c>
      <x:c r="D967" s="56" t="n">
        <x:v>50</x:v>
      </x:c>
      <x:c r="E967" s="56" t="str">
        <x:v>treatment.perioperative</x:v>
      </x:c>
      <x:c r="F967" s="56" t="str">
        <x:v>perioperative</x:v>
      </x:c>
      <x:c r="G967" s="56" t="n">
        <x:v>12</x:v>
      </x:c>
      <x:c r="H967" s="56" t="str">
        <x:v>病例特异得分项</x:v>
      </x:c>
      <x:c r="I967" s="56" t="str">
        <x:v>否</x:v>
      </x:c>
      <x:c r="J967" s="56" t="str">
        <x:v>否</x:v>
      </x:c>
      <x:c r="K967" s="56" t="str">
        <x:v>否</x:v>
      </x:c>
      <x:c r="L967" s="56" t="str">
        <x:v>按结构化事件证据给予0/部分/满分；不能由总结反推已完成</x:v>
      </x:c>
      <x:c r="M967" s="56" t="str"/>
      <x:c r="N967" s="56" t="n">
        <x:f>SUMIFS($G$4:$G$1673,$A$4:$A$1673,A967)</x:f>
        <x:v>360</x:v>
      </x:c>
      <x:c r="O967" s="56" t="str">
        <x:f>IF(N967=360,"通过","失败")</x:f>
        <x:v>通过</x:v>
      </x:c>
      <x:c r="P967" s="56" t="str"/>
      <x:c r="Q967" s="59" t="str">
        <x:v>待确认</x:v>
      </x:c>
    </x:row>
    <x:row r="968">
      <x:c r="A968" s="56" t="str">
        <x:v>P024</x:v>
      </x:c>
      <x:c r="B968" s="56" t="str">
        <x:v>HX-ADD-012</x:v>
      </x:c>
      <x:c r="C968" s="56" t="str">
        <x:v>followup</x:v>
      </x:c>
      <x:c r="D968" s="56" t="n">
        <x:v>40</x:v>
      </x:c>
      <x:c r="E968" s="56" t="str">
        <x:v>followup.plan</x:v>
      </x:c>
      <x:c r="F968" s="56" t="str">
        <x:v>随访复查</x:v>
      </x:c>
      <x:c r="G968" s="56" t="n">
        <x:v>10</x:v>
      </x:c>
      <x:c r="H968" s="56" t="str">
        <x:v>普通得分项</x:v>
      </x:c>
      <x:c r="I968" s="56" t="str">
        <x:v>否</x:v>
      </x:c>
      <x:c r="J968" s="56" t="str">
        <x:v>否</x:v>
      </x:c>
      <x:c r="K968" s="56" t="str">
        <x:v>否</x:v>
      </x:c>
      <x:c r="L968" s="56" t="str">
        <x:v>按结构化事件证据给予0/部分/满分；不能由总结反推已完成</x:v>
      </x:c>
      <x:c r="M968" s="56" t="str"/>
      <x:c r="N968" s="56" t="n">
        <x:f>SUMIFS($G$4:$G$1673,$A$4:$A$1673,A968)</x:f>
        <x:v>360</x:v>
      </x:c>
      <x:c r="O968" s="56" t="str">
        <x:f>IF(N968=360,"通过","失败")</x:f>
        <x:v>通过</x:v>
      </x:c>
      <x:c r="P968" s="56" t="str"/>
      <x:c r="Q968" s="59" t="str">
        <x:v>待确认</x:v>
      </x:c>
    </x:row>
    <x:row r="969">
      <x:c r="A969" s="56" t="str">
        <x:v>P024</x:v>
      </x:c>
      <x:c r="B969" s="56" t="str">
        <x:v>HX-ADD-012</x:v>
      </x:c>
      <x:c r="C969" s="56" t="str">
        <x:v>followup</x:v>
      </x:c>
      <x:c r="D969" s="56" t="n">
        <x:v>40</x:v>
      </x:c>
      <x:c r="E969" s="56" t="str">
        <x:v>followup.education</x:v>
      </x:c>
      <x:c r="F969" s="56" t="str">
        <x:v>患者教育</x:v>
      </x:c>
      <x:c r="G969" s="56" t="n">
        <x:v>10</x:v>
      </x:c>
      <x:c r="H969" s="56" t="str">
        <x:v>普通得分项</x:v>
      </x:c>
      <x:c r="I969" s="56" t="str">
        <x:v>否</x:v>
      </x:c>
      <x:c r="J969" s="56" t="str">
        <x:v>否</x:v>
      </x:c>
      <x:c r="K969" s="56" t="str">
        <x:v>否</x:v>
      </x:c>
      <x:c r="L969" s="56" t="str">
        <x:v>按结构化事件证据给予0/部分/满分；不能由总结反推已完成</x:v>
      </x:c>
      <x:c r="M969" s="56" t="str"/>
      <x:c r="N969" s="56" t="n">
        <x:f>SUMIFS($G$4:$G$1673,$A$4:$A$1673,A969)</x:f>
        <x:v>360</x:v>
      </x:c>
      <x:c r="O969" s="56" t="str">
        <x:f>IF(N969=360,"通过","失败")</x:f>
        <x:v>通过</x:v>
      </x:c>
      <x:c r="P969" s="56" t="str"/>
      <x:c r="Q969" s="59" t="str">
        <x:v>待确认</x:v>
      </x:c>
    </x:row>
    <x:row r="970">
      <x:c r="A970" s="56" t="str">
        <x:v>P024</x:v>
      </x:c>
      <x:c r="B970" s="56" t="str">
        <x:v>HX-ADD-012</x:v>
      </x:c>
      <x:c r="C970" s="56" t="str">
        <x:v>followup</x:v>
      </x:c>
      <x:c r="D970" s="56" t="n">
        <x:v>40</x:v>
      </x:c>
      <x:c r="E970" s="56" t="str">
        <x:v>followup.reflection</x:v>
      </x:c>
      <x:c r="F970" s="56" t="str">
        <x:v>学习反思质量</x:v>
      </x:c>
      <x:c r="G970" s="56" t="n">
        <x:v>10</x:v>
      </x:c>
      <x:c r="H970" s="56" t="str">
        <x:v>普通得分项</x:v>
      </x:c>
      <x:c r="I970" s="56" t="str">
        <x:v>否</x:v>
      </x:c>
      <x:c r="J970" s="56" t="str">
        <x:v>否</x:v>
      </x:c>
      <x:c r="K970" s="56" t="str">
        <x:v>否</x:v>
      </x:c>
      <x:c r="L970" s="56" t="str">
        <x:v>按结构化事件证据给予0/部分/满分；不能由总结反推已完成</x:v>
      </x:c>
      <x:c r="M970" s="56" t="str"/>
      <x:c r="N970" s="56" t="n">
        <x:f>SUMIFS($G$4:$G$1673,$A$4:$A$1673,A970)</x:f>
        <x:v>360</x:v>
      </x:c>
      <x:c r="O970" s="56" t="str">
        <x:f>IF(N970=360,"通过","失败")</x:f>
        <x:v>通过</x:v>
      </x:c>
      <x:c r="P970" s="56" t="str"/>
      <x:c r="Q970" s="59" t="str">
        <x:v>待确认</x:v>
      </x:c>
    </x:row>
    <x:row r="971">
      <x:c r="A971" s="56" t="str">
        <x:v>P024</x:v>
      </x:c>
      <x:c r="B971" s="56" t="str">
        <x:v>HX-ADD-012</x:v>
      </x:c>
      <x:c r="C971" s="56" t="str">
        <x:v>followup</x:v>
      </x:c>
      <x:c r="D971" s="56" t="n">
        <x:v>40</x:v>
      </x:c>
      <x:c r="E971" s="56" t="str">
        <x:v>followup.efficiency</x:v>
      </x:c>
      <x:c r="F971" s="56" t="str">
        <x:v>操作效率</x:v>
      </x:c>
      <x:c r="G971" s="56" t="n">
        <x:v>10</x:v>
      </x:c>
      <x:c r="H971" s="56" t="str">
        <x:v>普通得分项</x:v>
      </x:c>
      <x:c r="I971" s="56" t="str">
        <x:v>否</x:v>
      </x:c>
      <x:c r="J971" s="56" t="str">
        <x:v>否</x:v>
      </x:c>
      <x:c r="K971" s="56" t="str">
        <x:v>否</x:v>
      </x:c>
      <x:c r="L971" s="56" t="str">
        <x:v>按结构化事件证据给予0/部分/满分；不能由总结反推已完成</x:v>
      </x:c>
      <x:c r="M971" s="56" t="str"/>
      <x:c r="N971" s="56" t="n">
        <x:f>SUMIFS($G$4:$G$1673,$A$4:$A$1673,A971)</x:f>
        <x:v>360</x:v>
      </x:c>
      <x:c r="O971" s="56" t="str">
        <x:f>IF(N971=360,"通过","失败")</x:f>
        <x:v>通过</x:v>
      </x:c>
      <x:c r="P971" s="56" t="str"/>
      <x:c r="Q971" s="59" t="str">
        <x:v>待确认</x:v>
      </x:c>
    </x:row>
    <x:row r="972">
      <x:c r="A972" s="56" t="str">
        <x:v>P025</x:v>
      </x:c>
      <x:c r="B972" s="56" t="str">
        <x:v>HX-ADD-013</x:v>
      </x:c>
      <x:c r="C972" s="56" t="str">
        <x:v>history</x:v>
      </x:c>
      <x:c r="D972" s="56" t="n">
        <x:v>50</x:v>
      </x:c>
      <x:c r="E972" s="56" t="str">
        <x:v>history.hematuria_visibility</x:v>
      </x:c>
      <x:c r="F972" s="56" t="str">
        <x:v>hematuria_visibility</x:v>
      </x:c>
      <x:c r="G972" s="56" t="n">
        <x:v>5</x:v>
      </x:c>
      <x:c r="H972" s="56" t="str">
        <x:v>普通得分项</x:v>
      </x:c>
      <x:c r="I972" s="56" t="str">
        <x:v>否</x:v>
      </x:c>
      <x:c r="J972" s="56" t="str">
        <x:v>否</x:v>
      </x:c>
      <x:c r="K972" s="56" t="str">
        <x:v>否</x:v>
      </x:c>
      <x:c r="L972" s="56" t="str">
        <x:v>按结构化事件证据给予0/部分/满分；不能由总结反推已完成</x:v>
      </x:c>
      <x:c r="M972" s="56" t="str"/>
      <x:c r="N972" s="56" t="n">
        <x:f>SUMIFS($G$4:$G$1673,$A$4:$A$1673,A972)</x:f>
        <x:v>360</x:v>
      </x:c>
      <x:c r="O972" s="56" t="str">
        <x:f>IF(N972=360,"通过","失败")</x:f>
        <x:v>通过</x:v>
      </x:c>
      <x:c r="P972" s="56" t="str"/>
      <x:c r="Q972" s="59" t="str">
        <x:v>待确认</x:v>
      </x:c>
    </x:row>
    <x:row r="973">
      <x:c r="A973" s="56" t="str">
        <x:v>P025</x:v>
      </x:c>
      <x:c r="B973" s="56" t="str">
        <x:v>HX-ADD-013</x:v>
      </x:c>
      <x:c r="C973" s="56" t="str">
        <x:v>history</x:v>
      </x:c>
      <x:c r="D973" s="56" t="n">
        <x:v>50</x:v>
      </x:c>
      <x:c r="E973" s="56" t="str">
        <x:v>history.hematuria_onset</x:v>
      </x:c>
      <x:c r="F973" s="56" t="str">
        <x:v>hematuria_onset</x:v>
      </x:c>
      <x:c r="G973" s="56" t="n">
        <x:v>5</x:v>
      </x:c>
      <x:c r="H973" s="56" t="str">
        <x:v>普通得分项</x:v>
      </x:c>
      <x:c r="I973" s="56" t="str">
        <x:v>否</x:v>
      </x:c>
      <x:c r="J973" s="56" t="str">
        <x:v>否</x:v>
      </x:c>
      <x:c r="K973" s="56" t="str">
        <x:v>否</x:v>
      </x:c>
      <x:c r="L973" s="56" t="str">
        <x:v>按结构化事件证据给予0/部分/满分；不能由总结反推已完成</x:v>
      </x:c>
      <x:c r="M973" s="56" t="str"/>
      <x:c r="N973" s="56" t="n">
        <x:f>SUMIFS($G$4:$G$1673,$A$4:$A$1673,A973)</x:f>
        <x:v>360</x:v>
      </x:c>
      <x:c r="O973" s="56" t="str">
        <x:f>IF(N973=360,"通过","失败")</x:f>
        <x:v>通过</x:v>
      </x:c>
      <x:c r="P973" s="56" t="str"/>
      <x:c r="Q973" s="59" t="str">
        <x:v>待确认</x:v>
      </x:c>
    </x:row>
    <x:row r="974">
      <x:c r="A974" s="56" t="str">
        <x:v>P025</x:v>
      </x:c>
      <x:c r="B974" s="56" t="str">
        <x:v>HX-ADD-013</x:v>
      </x:c>
      <x:c r="C974" s="56" t="str">
        <x:v>history</x:v>
      </x:c>
      <x:c r="D974" s="56" t="n">
        <x:v>50</x:v>
      </x:c>
      <x:c r="E974" s="56" t="str">
        <x:v>history.hematuria_frequency</x:v>
      </x:c>
      <x:c r="F974" s="56" t="str">
        <x:v>hematuria_frequency</x:v>
      </x:c>
      <x:c r="G974" s="56" t="n">
        <x:v>4</x:v>
      </x:c>
      <x:c r="H974" s="56" t="str">
        <x:v>普通得分项</x:v>
      </x:c>
      <x:c r="I974" s="56" t="str">
        <x:v>否</x:v>
      </x:c>
      <x:c r="J974" s="56" t="str">
        <x:v>否</x:v>
      </x:c>
      <x:c r="K974" s="56" t="str">
        <x:v>否</x:v>
      </x:c>
      <x:c r="L974" s="56" t="str">
        <x:v>按结构化事件证据给予0/部分/满分；不能由总结反推已完成</x:v>
      </x:c>
      <x:c r="M974" s="56" t="str"/>
      <x:c r="N974" s="56" t="n">
        <x:f>SUMIFS($G$4:$G$1673,$A$4:$A$1673,A974)</x:f>
        <x:v>360</x:v>
      </x:c>
      <x:c r="O974" s="56" t="str">
        <x:f>IF(N974=360,"通过","失败")</x:f>
        <x:v>通过</x:v>
      </x:c>
      <x:c r="P974" s="56" t="str"/>
      <x:c r="Q974" s="59" t="str">
        <x:v>待确认</x:v>
      </x:c>
    </x:row>
    <x:row r="975">
      <x:c r="A975" s="56" t="str">
        <x:v>P025</x:v>
      </x:c>
      <x:c r="B975" s="56" t="str">
        <x:v>HX-ADD-013</x:v>
      </x:c>
      <x:c r="C975" s="56" t="str">
        <x:v>history</x:v>
      </x:c>
      <x:c r="D975" s="56" t="n">
        <x:v>50</x:v>
      </x:c>
      <x:c r="E975" s="56" t="str">
        <x:v>history.hematuria_phase</x:v>
      </x:c>
      <x:c r="F975" s="56" t="str">
        <x:v>hematuria_phase</x:v>
      </x:c>
      <x:c r="G975" s="56" t="n">
        <x:v>4</x:v>
      </x:c>
      <x:c r="H975" s="56" t="str">
        <x:v>普通得分项</x:v>
      </x:c>
      <x:c r="I975" s="56" t="str">
        <x:v>否</x:v>
      </x:c>
      <x:c r="J975" s="56" t="str">
        <x:v>否</x:v>
      </x:c>
      <x:c r="K975" s="56" t="str">
        <x:v>否</x:v>
      </x:c>
      <x:c r="L975" s="56" t="str">
        <x:v>按结构化事件证据给予0/部分/满分；不能由总结反推已完成</x:v>
      </x:c>
      <x:c r="M975" s="56" t="str"/>
      <x:c r="N975" s="56" t="n">
        <x:f>SUMIFS($G$4:$G$1673,$A$4:$A$1673,A975)</x:f>
        <x:v>360</x:v>
      </x:c>
      <x:c r="O975" s="56" t="str">
        <x:f>IF(N975=360,"通过","失败")</x:f>
        <x:v>通过</x:v>
      </x:c>
      <x:c r="P975" s="56" t="str"/>
      <x:c r="Q975" s="59" t="str">
        <x:v>待确认</x:v>
      </x:c>
    </x:row>
    <x:row r="976">
      <x:c r="A976" s="56" t="str">
        <x:v>P025</x:v>
      </x:c>
      <x:c r="B976" s="56" t="str">
        <x:v>HX-ADD-013</x:v>
      </x:c>
      <x:c r="C976" s="56" t="str">
        <x:v>history</x:v>
      </x:c>
      <x:c r="D976" s="56" t="n">
        <x:v>50</x:v>
      </x:c>
      <x:c r="E976" s="56" t="str">
        <x:v>history.urine_color</x:v>
      </x:c>
      <x:c r="F976" s="56" t="str">
        <x:v>urine_color</x:v>
      </x:c>
      <x:c r="G976" s="56" t="n">
        <x:v>4</x:v>
      </x:c>
      <x:c r="H976" s="56" t="str">
        <x:v>普通得分项</x:v>
      </x:c>
      <x:c r="I976" s="56" t="str">
        <x:v>否</x:v>
      </x:c>
      <x:c r="J976" s="56" t="str">
        <x:v>否</x:v>
      </x:c>
      <x:c r="K976" s="56" t="str">
        <x:v>否</x:v>
      </x:c>
      <x:c r="L976" s="56" t="str">
        <x:v>按结构化事件证据给予0/部分/满分；不能由总结反推已完成</x:v>
      </x:c>
      <x:c r="M976" s="56" t="str"/>
      <x:c r="N976" s="56" t="n">
        <x:f>SUMIFS($G$4:$G$1673,$A$4:$A$1673,A976)</x:f>
        <x:v>360</x:v>
      </x:c>
      <x:c r="O976" s="56" t="str">
        <x:f>IF(N976=360,"通过","失败")</x:f>
        <x:v>通过</x:v>
      </x:c>
      <x:c r="P976" s="56" t="str"/>
      <x:c r="Q976" s="59" t="str">
        <x:v>待确认</x:v>
      </x:c>
    </x:row>
    <x:row r="977">
      <x:c r="A977" s="56" t="str">
        <x:v>P025</x:v>
      </x:c>
      <x:c r="B977" s="56" t="str">
        <x:v>HX-ADD-013</x:v>
      </x:c>
      <x:c r="C977" s="56" t="str">
        <x:v>history</x:v>
      </x:c>
      <x:c r="D977" s="56" t="n">
        <x:v>50</x:v>
      </x:c>
      <x:c r="E977" s="56" t="str">
        <x:v>history.clots</x:v>
      </x:c>
      <x:c r="F977" s="56" t="str">
        <x:v>clots</x:v>
      </x:c>
      <x:c r="G977" s="56" t="n">
        <x:v>4</x:v>
      </x:c>
      <x:c r="H977" s="56" t="str">
        <x:v>普通得分项</x:v>
      </x:c>
      <x:c r="I977" s="56" t="str">
        <x:v>否</x:v>
      </x:c>
      <x:c r="J977" s="56" t="str">
        <x:v>否</x:v>
      </x:c>
      <x:c r="K977" s="56" t="str">
        <x:v>否</x:v>
      </x:c>
      <x:c r="L977" s="56" t="str">
        <x:v>按结构化事件证据给予0/部分/满分；不能由总结反推已完成</x:v>
      </x:c>
      <x:c r="M977" s="56" t="str"/>
      <x:c r="N977" s="56" t="n">
        <x:f>SUMIFS($G$4:$G$1673,$A$4:$A$1673,A977)</x:f>
        <x:v>360</x:v>
      </x:c>
      <x:c r="O977" s="56" t="str">
        <x:f>IF(N977=360,"通过","失败")</x:f>
        <x:v>通过</x:v>
      </x:c>
      <x:c r="P977" s="56" t="str"/>
      <x:c r="Q977" s="59" t="str">
        <x:v>待确认</x:v>
      </x:c>
    </x:row>
    <x:row r="978">
      <x:c r="A978" s="56" t="str">
        <x:v>P025</x:v>
      </x:c>
      <x:c r="B978" s="56" t="str">
        <x:v>HX-ADD-013</x:v>
      </x:c>
      <x:c r="C978" s="56" t="str">
        <x:v>history</x:v>
      </x:c>
      <x:c r="D978" s="56" t="n">
        <x:v>50</x:v>
      </x:c>
      <x:c r="E978" s="56" t="str">
        <x:v>history.pain</x:v>
      </x:c>
      <x:c r="F978" s="56" t="str">
        <x:v>pain</x:v>
      </x:c>
      <x:c r="G978" s="56" t="n">
        <x:v>4</x:v>
      </x:c>
      <x:c r="H978" s="56" t="str">
        <x:v>普通得分项</x:v>
      </x:c>
      <x:c r="I978" s="56" t="str">
        <x:v>否</x:v>
      </x:c>
      <x:c r="J978" s="56" t="str">
        <x:v>否</x:v>
      </x:c>
      <x:c r="K978" s="56" t="str">
        <x:v>否</x:v>
      </x:c>
      <x:c r="L978" s="56" t="str">
        <x:v>按结构化事件证据给予0/部分/满分；不能由总结反推已完成</x:v>
      </x:c>
      <x:c r="M978" s="56" t="str"/>
      <x:c r="N978" s="56" t="n">
        <x:f>SUMIFS($G$4:$G$1673,$A$4:$A$1673,A978)</x:f>
        <x:v>360</x:v>
      </x:c>
      <x:c r="O978" s="56" t="str">
        <x:f>IF(N978=360,"通过","失败")</x:f>
        <x:v>通过</x:v>
      </x:c>
      <x:c r="P978" s="56" t="str"/>
      <x:c r="Q978" s="59" t="str">
        <x:v>待确认</x:v>
      </x:c>
    </x:row>
    <x:row r="979">
      <x:c r="A979" s="56" t="str">
        <x:v>P025</x:v>
      </x:c>
      <x:c r="B979" s="56" t="str">
        <x:v>HX-ADD-013</x:v>
      </x:c>
      <x:c r="C979" s="56" t="str">
        <x:v>history</x:v>
      </x:c>
      <x:c r="D979" s="56" t="n">
        <x:v>50</x:v>
      </x:c>
      <x:c r="E979" s="56" t="str">
        <x:v>history.dysuria</x:v>
      </x:c>
      <x:c r="F979" s="56" t="str">
        <x:v>dysuria</x:v>
      </x:c>
      <x:c r="G979" s="56" t="n">
        <x:v>4</x:v>
      </x:c>
      <x:c r="H979" s="56" t="str">
        <x:v>普通得分项</x:v>
      </x:c>
      <x:c r="I979" s="56" t="str">
        <x:v>否</x:v>
      </x:c>
      <x:c r="J979" s="56" t="str">
        <x:v>否</x:v>
      </x:c>
      <x:c r="K979" s="56" t="str">
        <x:v>否</x:v>
      </x:c>
      <x:c r="L979" s="56" t="str">
        <x:v>按结构化事件证据给予0/部分/满分；不能由总结反推已完成</x:v>
      </x:c>
      <x:c r="M979" s="56" t="str"/>
      <x:c r="N979" s="56" t="n">
        <x:f>SUMIFS($G$4:$G$1673,$A$4:$A$1673,A979)</x:f>
        <x:v>360</x:v>
      </x:c>
      <x:c r="O979" s="56" t="str">
        <x:f>IF(N979=360,"通过","失败")</x:f>
        <x:v>通过</x:v>
      </x:c>
      <x:c r="P979" s="56" t="str"/>
      <x:c r="Q979" s="59" t="str">
        <x:v>待确认</x:v>
      </x:c>
    </x:row>
    <x:row r="980">
      <x:c r="A980" s="56" t="str">
        <x:v>P025</x:v>
      </x:c>
      <x:c r="B980" s="56" t="str">
        <x:v>HX-ADD-013</x:v>
      </x:c>
      <x:c r="C980" s="56" t="str">
        <x:v>history</x:v>
      </x:c>
      <x:c r="D980" s="56" t="n">
        <x:v>50</x:v>
      </x:c>
      <x:c r="E980" s="56" t="str">
        <x:v>history.urinary_frequency</x:v>
      </x:c>
      <x:c r="F980" s="56" t="str">
        <x:v>urinary_frequency</x:v>
      </x:c>
      <x:c r="G980" s="56" t="n">
        <x:v>4</x:v>
      </x:c>
      <x:c r="H980" s="56" t="str">
        <x:v>普通得分项</x:v>
      </x:c>
      <x:c r="I980" s="56" t="str">
        <x:v>否</x:v>
      </x:c>
      <x:c r="J980" s="56" t="str">
        <x:v>否</x:v>
      </x:c>
      <x:c r="K980" s="56" t="str">
        <x:v>否</x:v>
      </x:c>
      <x:c r="L980" s="56" t="str">
        <x:v>按结构化事件证据给予0/部分/满分；不能由总结反推已完成</x:v>
      </x:c>
      <x:c r="M980" s="56" t="str"/>
      <x:c r="N980" s="56" t="n">
        <x:f>SUMIFS($G$4:$G$1673,$A$4:$A$1673,A980)</x:f>
        <x:v>360</x:v>
      </x:c>
      <x:c r="O980" s="56" t="str">
        <x:f>IF(N980=360,"通过","失败")</x:f>
        <x:v>通过</x:v>
      </x:c>
      <x:c r="P980" s="56" t="str"/>
      <x:c r="Q980" s="59" t="str">
        <x:v>待确认</x:v>
      </x:c>
    </x:row>
    <x:row r="981">
      <x:c r="A981" s="56" t="str">
        <x:v>P025</x:v>
      </x:c>
      <x:c r="B981" s="56" t="str">
        <x:v>HX-ADD-013</x:v>
      </x:c>
      <x:c r="C981" s="56" t="str">
        <x:v>history</x:v>
      </x:c>
      <x:c r="D981" s="56" t="n">
        <x:v>50</x:v>
      </x:c>
      <x:c r="E981" s="56" t="str">
        <x:v>history.urinary_urgency</x:v>
      </x:c>
      <x:c r="F981" s="56" t="str">
        <x:v>urinary_urgency</x:v>
      </x:c>
      <x:c r="G981" s="56" t="n">
        <x:v>4</x:v>
      </x:c>
      <x:c r="H981" s="56" t="str">
        <x:v>普通得分项</x:v>
      </x:c>
      <x:c r="I981" s="56" t="str">
        <x:v>否</x:v>
      </x:c>
      <x:c r="J981" s="56" t="str">
        <x:v>否</x:v>
      </x:c>
      <x:c r="K981" s="56" t="str">
        <x:v>否</x:v>
      </x:c>
      <x:c r="L981" s="56" t="str">
        <x:v>按结构化事件证据给予0/部分/满分；不能由总结反推已完成</x:v>
      </x:c>
      <x:c r="M981" s="56" t="str"/>
      <x:c r="N981" s="56" t="n">
        <x:f>SUMIFS($G$4:$G$1673,$A$4:$A$1673,A981)</x:f>
        <x:v>360</x:v>
      </x:c>
      <x:c r="O981" s="56" t="str">
        <x:f>IF(N981=360,"通过","失败")</x:f>
        <x:v>通过</x:v>
      </x:c>
      <x:c r="P981" s="56" t="str"/>
      <x:c r="Q981" s="59" t="str">
        <x:v>待确认</x:v>
      </x:c>
    </x:row>
    <x:row r="982">
      <x:c r="A982" s="56" t="str">
        <x:v>P025</x:v>
      </x:c>
      <x:c r="B982" s="56" t="str">
        <x:v>HX-ADD-013</x:v>
      </x:c>
      <x:c r="C982" s="56" t="str">
        <x:v>history</x:v>
      </x:c>
      <x:c r="D982" s="56" t="n">
        <x:v>50</x:v>
      </x:c>
      <x:c r="E982" s="56" t="str">
        <x:v>history.flank_pain</x:v>
      </x:c>
      <x:c r="F982" s="56" t="str">
        <x:v>flank_pain</x:v>
      </x:c>
      <x:c r="G982" s="56" t="n">
        <x:v>4</x:v>
      </x:c>
      <x:c r="H982" s="56" t="str">
        <x:v>普通得分项</x:v>
      </x:c>
      <x:c r="I982" s="56" t="str">
        <x:v>否</x:v>
      </x:c>
      <x:c r="J982" s="56" t="str">
        <x:v>否</x:v>
      </x:c>
      <x:c r="K982" s="56" t="str">
        <x:v>否</x:v>
      </x:c>
      <x:c r="L982" s="56" t="str">
        <x:v>按结构化事件证据给予0/部分/满分；不能由总结反推已完成</x:v>
      </x:c>
      <x:c r="M982" s="56" t="str"/>
      <x:c r="N982" s="56" t="n">
        <x:f>SUMIFS($G$4:$G$1673,$A$4:$A$1673,A982)</x:f>
        <x:v>360</x:v>
      </x:c>
      <x:c r="O982" s="56" t="str">
        <x:f>IF(N982=360,"通过","失败")</x:f>
        <x:v>通过</x:v>
      </x:c>
      <x:c r="P982" s="56" t="str"/>
      <x:c r="Q982" s="59" t="str">
        <x:v>待确认</x:v>
      </x:c>
    </x:row>
    <x:row r="983">
      <x:c r="A983" s="56" t="str">
        <x:v>P025</x:v>
      </x:c>
      <x:c r="B983" s="56" t="str">
        <x:v>HX-ADD-013</x:v>
      </x:c>
      <x:c r="C983" s="56" t="str">
        <x:v>history</x:v>
      </x:c>
      <x:c r="D983" s="56" t="n">
        <x:v>50</x:v>
      </x:c>
      <x:c r="E983" s="56" t="str">
        <x:v>history.fever_chills</x:v>
      </x:c>
      <x:c r="F983" s="56" t="str">
        <x:v>fever_chills</x:v>
      </x:c>
      <x:c r="G983" s="56" t="n">
        <x:v>4</x:v>
      </x:c>
      <x:c r="H983" s="56" t="str">
        <x:v>普通得分项</x:v>
      </x:c>
      <x:c r="I983" s="56" t="str">
        <x:v>否</x:v>
      </x:c>
      <x:c r="J983" s="56" t="str">
        <x:v>否</x:v>
      </x:c>
      <x:c r="K983" s="56" t="str">
        <x:v>否</x:v>
      </x:c>
      <x:c r="L983" s="56" t="str">
        <x:v>按结构化事件证据给予0/部分/满分；不能由总结反推已完成</x:v>
      </x:c>
      <x:c r="M983" s="56" t="str"/>
      <x:c r="N983" s="56" t="n">
        <x:f>SUMIFS($G$4:$G$1673,$A$4:$A$1673,A983)</x:f>
        <x:v>360</x:v>
      </x:c>
      <x:c r="O983" s="56" t="str">
        <x:f>IF(N983=360,"通过","失败")</x:f>
        <x:v>通过</x:v>
      </x:c>
      <x:c r="P983" s="56" t="str"/>
      <x:c r="Q983" s="59" t="str">
        <x:v>待确认</x:v>
      </x:c>
    </x:row>
    <x:row r="984">
      <x:c r="A984" s="56" t="str">
        <x:v>P025</x:v>
      </x:c>
      <x:c r="B984" s="56" t="str">
        <x:v>HX-ADD-013</x:v>
      </x:c>
      <x:c r="C984" s="56" t="str">
        <x:v>risk</x:v>
      </x:c>
      <x:c r="D984" s="56" t="n">
        <x:v>40</x:v>
      </x:c>
      <x:c r="E984" s="56" t="str">
        <x:v>risk.stone_history</x:v>
      </x:c>
      <x:c r="F984" s="56" t="str">
        <x:v>stone_history</x:v>
      </x:c>
      <x:c r="G984" s="56" t="n">
        <x:v>10</x:v>
      </x:c>
      <x:c r="H984" s="56" t="str">
        <x:v>普通得分项</x:v>
      </x:c>
      <x:c r="I984" s="56" t="str">
        <x:v>否</x:v>
      </x:c>
      <x:c r="J984" s="56" t="str">
        <x:v>否</x:v>
      </x:c>
      <x:c r="K984" s="56" t="str">
        <x:v>否</x:v>
      </x:c>
      <x:c r="L984" s="56" t="str">
        <x:v>按结构化事件证据给予0/部分/满分；不能由总结反推已完成</x:v>
      </x:c>
      <x:c r="M984" s="56" t="str"/>
      <x:c r="N984" s="56" t="n">
        <x:f>SUMIFS($G$4:$G$1673,$A$4:$A$1673,A984)</x:f>
        <x:v>360</x:v>
      </x:c>
      <x:c r="O984" s="56" t="str">
        <x:f>IF(N984=360,"通过","失败")</x:f>
        <x:v>通过</x:v>
      </x:c>
      <x:c r="P984" s="56" t="str"/>
      <x:c r="Q984" s="59" t="str">
        <x:v>待确认</x:v>
      </x:c>
    </x:row>
    <x:row r="985">
      <x:c r="A985" s="56" t="str">
        <x:v>P025</x:v>
      </x:c>
      <x:c r="B985" s="56" t="str">
        <x:v>HX-ADD-013</x:v>
      </x:c>
      <x:c r="C985" s="56" t="str">
        <x:v>risk</x:v>
      </x:c>
      <x:c r="D985" s="56" t="n">
        <x:v>40</x:v>
      </x:c>
      <x:c r="E985" s="56" t="str">
        <x:v>risk.triggers</x:v>
      </x:c>
      <x:c r="F985" s="56" t="str">
        <x:v>triggers</x:v>
      </x:c>
      <x:c r="G985" s="56" t="n">
        <x:v>10</x:v>
      </x:c>
      <x:c r="H985" s="56" t="str">
        <x:v>普通得分项</x:v>
      </x:c>
      <x:c r="I985" s="56" t="str">
        <x:v>否</x:v>
      </x:c>
      <x:c r="J985" s="56" t="str">
        <x:v>否</x:v>
      </x:c>
      <x:c r="K985" s="56" t="str">
        <x:v>否</x:v>
      </x:c>
      <x:c r="L985" s="56" t="str">
        <x:v>按结构化事件证据给予0/部分/满分；不能由总结反推已完成</x:v>
      </x:c>
      <x:c r="M985" s="56" t="str"/>
      <x:c r="N985" s="56" t="n">
        <x:f>SUMIFS($G$4:$G$1673,$A$4:$A$1673,A985)</x:f>
        <x:v>360</x:v>
      </x:c>
      <x:c r="O985" s="56" t="str">
        <x:f>IF(N985=360,"通过","失败")</x:f>
        <x:v>通过</x:v>
      </x:c>
      <x:c r="P985" s="56" t="str"/>
      <x:c r="Q985" s="59" t="str">
        <x:v>待确认</x:v>
      </x:c>
    </x:row>
    <x:row r="986">
      <x:c r="A986" s="56" t="str">
        <x:v>P025</x:v>
      </x:c>
      <x:c r="B986" s="56" t="str">
        <x:v>HX-ADD-013</x:v>
      </x:c>
      <x:c r="C986" s="56" t="str">
        <x:v>risk</x:v>
      </x:c>
      <x:c r="D986" s="56" t="n">
        <x:v>40</x:v>
      </x:c>
      <x:c r="E986" s="56" t="str">
        <x:v>risk.uti_history</x:v>
      </x:c>
      <x:c r="F986" s="56" t="str">
        <x:v>uti_history</x:v>
      </x:c>
      <x:c r="G986" s="56" t="n">
        <x:v>10</x:v>
      </x:c>
      <x:c r="H986" s="56" t="str">
        <x:v>普通得分项</x:v>
      </x:c>
      <x:c r="I986" s="56" t="str">
        <x:v>否</x:v>
      </x:c>
      <x:c r="J986" s="56" t="str">
        <x:v>否</x:v>
      </x:c>
      <x:c r="K986" s="56" t="str">
        <x:v>否</x:v>
      </x:c>
      <x:c r="L986" s="56" t="str">
        <x:v>按结构化事件证据给予0/部分/满分；不能由总结反推已完成</x:v>
      </x:c>
      <x:c r="M986" s="56" t="str"/>
      <x:c r="N986" s="56" t="n">
        <x:f>SUMIFS($G$4:$G$1673,$A$4:$A$1673,A986)</x:f>
        <x:v>360</x:v>
      </x:c>
      <x:c r="O986" s="56" t="str">
        <x:f>IF(N986=360,"通过","失败")</x:f>
        <x:v>通过</x:v>
      </x:c>
      <x:c r="P986" s="56" t="str"/>
      <x:c r="Q986" s="59" t="str">
        <x:v>待确认</x:v>
      </x:c>
    </x:row>
    <x:row r="987">
      <x:c r="A987" s="56" t="str">
        <x:v>P025</x:v>
      </x:c>
      <x:c r="B987" s="56" t="str">
        <x:v>HX-ADD-013</x:v>
      </x:c>
      <x:c r="C987" s="56" t="str">
        <x:v>risk</x:v>
      </x:c>
      <x:c r="D987" s="56" t="n">
        <x:v>40</x:v>
      </x:c>
      <x:c r="E987" s="56" t="str">
        <x:v>risk.retention</x:v>
      </x:c>
      <x:c r="F987" s="56" t="str">
        <x:v>retention</x:v>
      </x:c>
      <x:c r="G987" s="56" t="n">
        <x:v>10</x:v>
      </x:c>
      <x:c r="H987" s="56" t="str">
        <x:v>普通得分项</x:v>
      </x:c>
      <x:c r="I987" s="56" t="str">
        <x:v>否</x:v>
      </x:c>
      <x:c r="J987" s="56" t="str">
        <x:v>否</x:v>
      </x:c>
      <x:c r="K987" s="56" t="str">
        <x:v>否</x:v>
      </x:c>
      <x:c r="L987" s="56" t="str">
        <x:v>按结构化事件证据给予0/部分/满分；不能由总结反推已完成</x:v>
      </x:c>
      <x:c r="M987" s="56" t="str"/>
      <x:c r="N987" s="56" t="n">
        <x:f>SUMIFS($G$4:$G$1673,$A$4:$A$1673,A987)</x:f>
        <x:v>360</x:v>
      </x:c>
      <x:c r="O987" s="56" t="str">
        <x:f>IF(N987=360,"通过","失败")</x:f>
        <x:v>通过</x:v>
      </x:c>
      <x:c r="P987" s="56" t="str"/>
      <x:c r="Q987" s="59" t="str">
        <x:v>待确认</x:v>
      </x:c>
    </x:row>
    <x:row r="988">
      <x:c r="A988" s="56" t="str">
        <x:v>P025</x:v>
      </x:c>
      <x:c r="B988" s="56" t="str">
        <x:v>HX-ADD-013</x:v>
      </x:c>
      <x:c r="C988" s="56" t="str">
        <x:v>exam</x:v>
      </x:c>
      <x:c r="D988" s="56" t="n">
        <x:v>35</x:v>
      </x:c>
      <x:c r="E988" s="56" t="str">
        <x:v>exam.temperature</x:v>
      </x:c>
      <x:c r="F988" s="56" t="str">
        <x:v>体温</x:v>
      </x:c>
      <x:c r="G988" s="56" t="n">
        <x:v>12</x:v>
      </x:c>
      <x:c r="H988" s="56" t="str">
        <x:v>普通得分项</x:v>
      </x:c>
      <x:c r="I988" s="56" t="str">
        <x:v>否</x:v>
      </x:c>
      <x:c r="J988" s="56" t="str">
        <x:v>否</x:v>
      </x:c>
      <x:c r="K988" s="56" t="str">
        <x:v>否</x:v>
      </x:c>
      <x:c r="L988" s="56" t="str">
        <x:v>按结构化事件证据给予0/部分/满分；不能由总结反推已完成</x:v>
      </x:c>
      <x:c r="M988" s="56" t="str"/>
      <x:c r="N988" s="56" t="n">
        <x:f>SUMIFS($G$4:$G$1673,$A$4:$A$1673,A988)</x:f>
        <x:v>360</x:v>
      </x:c>
      <x:c r="O988" s="56" t="str">
        <x:f>IF(N988=360,"通过","失败")</x:f>
        <x:v>通过</x:v>
      </x:c>
      <x:c r="P988" s="56" t="str"/>
      <x:c r="Q988" s="59" t="str">
        <x:v>待确认</x:v>
      </x:c>
    </x:row>
    <x:row r="989">
      <x:c r="A989" s="56" t="str">
        <x:v>P025</x:v>
      </x:c>
      <x:c r="B989" s="56" t="str">
        <x:v>HX-ADD-013</x:v>
      </x:c>
      <x:c r="C989" s="56" t="str">
        <x:v>exam</x:v>
      </x:c>
      <x:c r="D989" s="56" t="n">
        <x:v>35</x:v>
      </x:c>
      <x:c r="E989" s="56" t="str">
        <x:v>exam.blood_pressure</x:v>
      </x:c>
      <x:c r="F989" s="56" t="str">
        <x:v>血压</x:v>
      </x:c>
      <x:c r="G989" s="56" t="n">
        <x:v>12</x:v>
      </x:c>
      <x:c r="H989" s="56" t="str">
        <x:v>普通得分项</x:v>
      </x:c>
      <x:c r="I989" s="56" t="str">
        <x:v>否</x:v>
      </x:c>
      <x:c r="J989" s="56" t="str">
        <x:v>否</x:v>
      </x:c>
      <x:c r="K989" s="56" t="str">
        <x:v>否</x:v>
      </x:c>
      <x:c r="L989" s="56" t="str">
        <x:v>按结构化事件证据给予0/部分/满分；不能由总结反推已完成</x:v>
      </x:c>
      <x:c r="M989" s="56" t="str"/>
      <x:c r="N989" s="56" t="n">
        <x:f>SUMIFS($G$4:$G$1673,$A$4:$A$1673,A989)</x:f>
        <x:v>360</x:v>
      </x:c>
      <x:c r="O989" s="56" t="str">
        <x:f>IF(N989=360,"通过","失败")</x:f>
        <x:v>通过</x:v>
      </x:c>
      <x:c r="P989" s="56" t="str"/>
      <x:c r="Q989" s="59" t="str">
        <x:v>待确认</x:v>
      </x:c>
    </x:row>
    <x:row r="990">
      <x:c r="A990" s="56" t="str">
        <x:v>P025</x:v>
      </x:c>
      <x:c r="B990" s="56" t="str">
        <x:v>HX-ADD-013</x:v>
      </x:c>
      <x:c r="C990" s="56" t="str">
        <x:v>exam</x:v>
      </x:c>
      <x:c r="D990" s="56" t="n">
        <x:v>35</x:v>
      </x:c>
      <x:c r="E990" s="56" t="str">
        <x:v>exam.targeted</x:v>
      </x:c>
      <x:c r="F990" s="56" t="str">
        <x:v>病例针对性查体</x:v>
      </x:c>
      <x:c r="G990" s="56" t="n">
        <x:v>11</x:v>
      </x:c>
      <x:c r="H990" s="56" t="str">
        <x:v>普通得分项</x:v>
      </x:c>
      <x:c r="I990" s="56" t="str">
        <x:v>否</x:v>
      </x:c>
      <x:c r="J990" s="56" t="str">
        <x:v>否</x:v>
      </x:c>
      <x:c r="K990" s="56" t="str">
        <x:v>否</x:v>
      </x:c>
      <x:c r="L990" s="56" t="str">
        <x:v>按结构化事件证据给予0/部分/满分；不能由总结反推已完成</x:v>
      </x:c>
      <x:c r="M990" s="56" t="str"/>
      <x:c r="N990" s="56" t="n">
        <x:f>SUMIFS($G$4:$G$1673,$A$4:$A$1673,A990)</x:f>
        <x:v>360</x:v>
      </x:c>
      <x:c r="O990" s="56" t="str">
        <x:f>IF(N990=360,"通过","失败")</x:f>
        <x:v>通过</x:v>
      </x:c>
      <x:c r="P990" s="56" t="str"/>
      <x:c r="Q990" s="59" t="str">
        <x:v>待确认</x:v>
      </x:c>
    </x:row>
    <x:row r="991">
      <x:c r="A991" s="56" t="str">
        <x:v>P025</x:v>
      </x:c>
      <x:c r="B991" s="56" t="str">
        <x:v>HX-ADD-013</x:v>
      </x:c>
      <x:c r="C991" s="56" t="str">
        <x:v>diagnosis</x:v>
      </x:c>
      <x:c r="D991" s="56" t="n">
        <x:v>45</x:v>
      </x:c>
      <x:c r="E991" s="56" t="str">
        <x:v>diagnosis.primary</x:v>
      </x:c>
      <x:c r="F991" s="56" t="str">
        <x:v>最可能诊断及依据</x:v>
      </x:c>
      <x:c r="G991" s="56" t="n">
        <x:v>15</x:v>
      </x:c>
      <x:c r="H991" s="56" t="str">
        <x:v>普通得分项</x:v>
      </x:c>
      <x:c r="I991" s="56" t="str">
        <x:v>否</x:v>
      </x:c>
      <x:c r="J991" s="56" t="str">
        <x:v>否</x:v>
      </x:c>
      <x:c r="K991" s="56" t="str">
        <x:v>否</x:v>
      </x:c>
      <x:c r="L991" s="56" t="str">
        <x:v>按结构化事件证据给予0/部分/满分；不能由总结反推已完成</x:v>
      </x:c>
      <x:c r="M991" s="56" t="str"/>
      <x:c r="N991" s="56" t="n">
        <x:f>SUMIFS($G$4:$G$1673,$A$4:$A$1673,A991)</x:f>
        <x:v>360</x:v>
      </x:c>
      <x:c r="O991" s="56" t="str">
        <x:f>IF(N991=360,"通过","失败")</x:f>
        <x:v>通过</x:v>
      </x:c>
      <x:c r="P991" s="56" t="str"/>
      <x:c r="Q991" s="59" t="str">
        <x:v>待确认</x:v>
      </x:c>
    </x:row>
    <x:row r="992">
      <x:c r="A992" s="56" t="str">
        <x:v>P025</x:v>
      </x:c>
      <x:c r="B992" s="56" t="str">
        <x:v>HX-ADD-013</x:v>
      </x:c>
      <x:c r="C992" s="56" t="str">
        <x:v>diagnosis</x:v>
      </x:c>
      <x:c r="D992" s="56" t="n">
        <x:v>45</x:v>
      </x:c>
      <x:c r="E992" s="56" t="str">
        <x:v>diagnosis.differentials</x:v>
      </x:c>
      <x:c r="F992" s="56" t="str">
        <x:v>至少3项鉴别及支持/反对点</x:v>
      </x:c>
      <x:c r="G992" s="56" t="n">
        <x:v>15</x:v>
      </x:c>
      <x:c r="H992" s="56" t="str">
        <x:v>普通得分项</x:v>
      </x:c>
      <x:c r="I992" s="56" t="str">
        <x:v>否</x:v>
      </x:c>
      <x:c r="J992" s="56" t="str">
        <x:v>否</x:v>
      </x:c>
      <x:c r="K992" s="56" t="str">
        <x:v>否</x:v>
      </x:c>
      <x:c r="L992" s="56" t="str">
        <x:v>按结构化事件证据给予0/部分/满分；不能由总结反推已完成</x:v>
      </x:c>
      <x:c r="M992" s="56" t="str"/>
      <x:c r="N992" s="56" t="n">
        <x:f>SUMIFS($G$4:$G$1673,$A$4:$A$1673,A992)</x:f>
        <x:v>360</x:v>
      </x:c>
      <x:c r="O992" s="56" t="str">
        <x:f>IF(N992=360,"通过","失败")</x:f>
        <x:v>通过</x:v>
      </x:c>
      <x:c r="P992" s="56" t="str"/>
      <x:c r="Q992" s="59" t="str">
        <x:v>待确认</x:v>
      </x:c>
    </x:row>
    <x:row r="993">
      <x:c r="A993" s="56" t="str">
        <x:v>P025</x:v>
      </x:c>
      <x:c r="B993" s="56" t="str">
        <x:v>HX-ADD-013</x:v>
      </x:c>
      <x:c r="C993" s="56" t="str">
        <x:v>diagnosis</x:v>
      </x:c>
      <x:c r="D993" s="56" t="n">
        <x:v>45</x:v>
      </x:c>
      <x:c r="E993" s="56" t="str">
        <x:v>diagnosis.confirmation</x:v>
      </x:c>
      <x:c r="F993" s="56" t="str">
        <x:v>确认计划</x:v>
      </x:c>
      <x:c r="G993" s="56" t="n">
        <x:v>15</x:v>
      </x:c>
      <x:c r="H993" s="56" t="str">
        <x:v>普通得分项</x:v>
      </x:c>
      <x:c r="I993" s="56" t="str">
        <x:v>否</x:v>
      </x:c>
      <x:c r="J993" s="56" t="str">
        <x:v>否</x:v>
      </x:c>
      <x:c r="K993" s="56" t="str">
        <x:v>否</x:v>
      </x:c>
      <x:c r="L993" s="56" t="str">
        <x:v>按结构化事件证据给予0/部分/满分；不能由总结反推已完成</x:v>
      </x:c>
      <x:c r="M993" s="56" t="str"/>
      <x:c r="N993" s="56" t="n">
        <x:f>SUMIFS($G$4:$G$1673,$A$4:$A$1673,A993)</x:f>
        <x:v>360</x:v>
      </x:c>
      <x:c r="O993" s="56" t="str">
        <x:f>IF(N993=360,"通过","失败")</x:f>
        <x:v>通过</x:v>
      </x:c>
      <x:c r="P993" s="56" t="str"/>
      <x:c r="Q993" s="59" t="str">
        <x:v>待确认</x:v>
      </x:c>
    </x:row>
    <x:row r="994">
      <x:c r="A994" s="56" t="str">
        <x:v>P025</x:v>
      </x:c>
      <x:c r="B994" s="56" t="str">
        <x:v>HX-ADD-013</x:v>
      </x:c>
      <x:c r="C994" s="56" t="str">
        <x:v>orders</x:v>
      </x:c>
      <x:c r="D994" s="56" t="n">
        <x:v>55</x:v>
      </x:c>
      <x:c r="E994" s="56" t="str">
        <x:v>orders.LAB-UR-001</x:v>
      </x:c>
      <x:c r="F994" s="56" t="str">
        <x:v>LAB-UR-001</x:v>
      </x:c>
      <x:c r="G994" s="56" t="n">
        <x:v>11</x:v>
      </x:c>
      <x:c r="H994" s="56" t="str">
        <x:v>病例特异得分项</x:v>
      </x:c>
      <x:c r="I994" s="56" t="str">
        <x:v>否</x:v>
      </x:c>
      <x:c r="J994" s="56" t="str">
        <x:v>否</x:v>
      </x:c>
      <x:c r="K994" s="56" t="str">
        <x:v>否</x:v>
      </x:c>
      <x:c r="L994" s="56" t="str">
        <x:v>按结构化事件证据给予0/部分/满分；不能由总结反推已完成</x:v>
      </x:c>
      <x:c r="M994" s="56" t="str"/>
      <x:c r="N994" s="56" t="n">
        <x:f>SUMIFS($G$4:$G$1673,$A$4:$A$1673,A994)</x:f>
        <x:v>360</x:v>
      </x:c>
      <x:c r="O994" s="56" t="str">
        <x:f>IF(N994=360,"通过","失败")</x:f>
        <x:v>通过</x:v>
      </x:c>
      <x:c r="P994" s="56" t="str"/>
      <x:c r="Q994" s="59" t="str">
        <x:v>待确认</x:v>
      </x:c>
    </x:row>
    <x:row r="995">
      <x:c r="A995" s="56" t="str">
        <x:v>P025</x:v>
      </x:c>
      <x:c r="B995" s="56" t="str">
        <x:v>HX-ADD-013</x:v>
      </x:c>
      <x:c r="C995" s="56" t="str">
        <x:v>orders</x:v>
      </x:c>
      <x:c r="D995" s="56" t="n">
        <x:v>55</x:v>
      </x:c>
      <x:c r="E995" s="56" t="str">
        <x:v>orders.LAB-UR-002</x:v>
      </x:c>
      <x:c r="F995" s="56" t="str">
        <x:v>LAB-UR-002</x:v>
      </x:c>
      <x:c r="G995" s="56" t="n">
        <x:v>11</x:v>
      </x:c>
      <x:c r="H995" s="56" t="str">
        <x:v>病例特异得分项</x:v>
      </x:c>
      <x:c r="I995" s="56" t="str">
        <x:v>否</x:v>
      </x:c>
      <x:c r="J995" s="56" t="str">
        <x:v>否</x:v>
      </x:c>
      <x:c r="K995" s="56" t="str">
        <x:v>否</x:v>
      </x:c>
      <x:c r="L995" s="56" t="str">
        <x:v>按结构化事件证据给予0/部分/满分；不能由总结反推已完成</x:v>
      </x:c>
      <x:c r="M995" s="56" t="str"/>
      <x:c r="N995" s="56" t="n">
        <x:f>SUMIFS($G$4:$G$1673,$A$4:$A$1673,A995)</x:f>
        <x:v>360</x:v>
      </x:c>
      <x:c r="O995" s="56" t="str">
        <x:f>IF(N995=360,"通过","失败")</x:f>
        <x:v>通过</x:v>
      </x:c>
      <x:c r="P995" s="56" t="str"/>
      <x:c r="Q995" s="59" t="str">
        <x:v>待确认</x:v>
      </x:c>
    </x:row>
    <x:row r="996">
      <x:c r="A996" s="56" t="str">
        <x:v>P025</x:v>
      </x:c>
      <x:c r="B996" s="56" t="str">
        <x:v>HX-ADD-013</x:v>
      </x:c>
      <x:c r="C996" s="56" t="str">
        <x:v>orders</x:v>
      </x:c>
      <x:c r="D996" s="56" t="n">
        <x:v>55</x:v>
      </x:c>
      <x:c r="E996" s="56" t="str">
        <x:v>orders.LAB-BL-003</x:v>
      </x:c>
      <x:c r="F996" s="56" t="str">
        <x:v>LAB-BL-003</x:v>
      </x:c>
      <x:c r="G996" s="56" t="n">
        <x:v>11</x:v>
      </x:c>
      <x:c r="H996" s="56" t="str">
        <x:v>病例特异得分项</x:v>
      </x:c>
      <x:c r="I996" s="56" t="str">
        <x:v>否</x:v>
      </x:c>
      <x:c r="J996" s="56" t="str">
        <x:v>否</x:v>
      </x:c>
      <x:c r="K996" s="56" t="str">
        <x:v>否</x:v>
      </x:c>
      <x:c r="L996" s="56" t="str">
        <x:v>按结构化事件证据给予0/部分/满分；不能由总结反推已完成</x:v>
      </x:c>
      <x:c r="M996" s="56" t="str"/>
      <x:c r="N996" s="56" t="n">
        <x:f>SUMIFS($G$4:$G$1673,$A$4:$A$1673,A996)</x:f>
        <x:v>360</x:v>
      </x:c>
      <x:c r="O996" s="56" t="str">
        <x:f>IF(N996=360,"通过","失败")</x:f>
        <x:v>通过</x:v>
      </x:c>
      <x:c r="P996" s="56" t="str"/>
      <x:c r="Q996" s="59" t="str">
        <x:v>待确认</x:v>
      </x:c>
    </x:row>
    <x:row r="997">
      <x:c r="A997" s="56" t="str">
        <x:v>P025</x:v>
      </x:c>
      <x:c r="B997" s="56" t="str">
        <x:v>HX-ADD-013</x:v>
      </x:c>
      <x:c r="C997" s="56" t="str">
        <x:v>orders</x:v>
      </x:c>
      <x:c r="D997" s="56" t="n">
        <x:v>55</x:v>
      </x:c>
      <x:c r="E997" s="56" t="str">
        <x:v>orders.IMG-CT-001</x:v>
      </x:c>
      <x:c r="F997" s="56" t="str">
        <x:v>IMG-CT-001</x:v>
      </x:c>
      <x:c r="G997" s="56" t="n">
        <x:v>11</x:v>
      </x:c>
      <x:c r="H997" s="56" t="str">
        <x:v>病例特异得分项</x:v>
      </x:c>
      <x:c r="I997" s="56" t="str">
        <x:v>否</x:v>
      </x:c>
      <x:c r="J997" s="56" t="str">
        <x:v>否</x:v>
      </x:c>
      <x:c r="K997" s="56" t="str">
        <x:v>否</x:v>
      </x:c>
      <x:c r="L997" s="56" t="str">
        <x:v>按结构化事件证据给予0/部分/满分；不能由总结反推已完成</x:v>
      </x:c>
      <x:c r="M997" s="56" t="str"/>
      <x:c r="N997" s="56" t="n">
        <x:f>SUMIFS($G$4:$G$1673,$A$4:$A$1673,A997)</x:f>
        <x:v>360</x:v>
      </x:c>
      <x:c r="O997" s="56" t="str">
        <x:f>IF(N997=360,"通过","失败")</x:f>
        <x:v>通过</x:v>
      </x:c>
      <x:c r="P997" s="56" t="str"/>
      <x:c r="Q997" s="59" t="str">
        <x:v>待确认</x:v>
      </x:c>
    </x:row>
    <x:row r="998">
      <x:c r="A998" s="56" t="str">
        <x:v>P025</x:v>
      </x:c>
      <x:c r="B998" s="56" t="str">
        <x:v>HX-ADD-013</x:v>
      </x:c>
      <x:c r="C998" s="56" t="str">
        <x:v>orders</x:v>
      </x:c>
      <x:c r="D998" s="56" t="n">
        <x:v>55</x:v>
      </x:c>
      <x:c r="E998" s="56" t="str">
        <x:v>orders.IMG-US-001</x:v>
      </x:c>
      <x:c r="F998" s="56" t="str">
        <x:v>IMG-US-001</x:v>
      </x:c>
      <x:c r="G998" s="56" t="n">
        <x:v>11</x:v>
      </x:c>
      <x:c r="H998" s="56" t="str">
        <x:v>病例特异得分项</x:v>
      </x:c>
      <x:c r="I998" s="56" t="str">
        <x:v>否</x:v>
      </x:c>
      <x:c r="J998" s="56" t="str">
        <x:v>否</x:v>
      </x:c>
      <x:c r="K998" s="56" t="str">
        <x:v>否</x:v>
      </x:c>
      <x:c r="L998" s="56" t="str">
        <x:v>按结构化事件证据给予0/部分/满分；不能由总结反推已完成</x:v>
      </x:c>
      <x:c r="M998" s="56" t="str"/>
      <x:c r="N998" s="56" t="n">
        <x:f>SUMIFS($G$4:$G$1673,$A$4:$A$1673,A998)</x:f>
        <x:v>360</x:v>
      </x:c>
      <x:c r="O998" s="56" t="str">
        <x:f>IF(N998=360,"通过","失败")</x:f>
        <x:v>通过</x:v>
      </x:c>
      <x:c r="P998" s="56" t="str"/>
      <x:c r="Q998" s="59" t="str">
        <x:v>待确认</x:v>
      </x:c>
    </x:row>
    <x:row r="999">
      <x:c r="A999" s="56" t="str">
        <x:v>P025</x:v>
      </x:c>
      <x:c r="B999" s="56" t="str">
        <x:v>HX-ADD-013</x:v>
      </x:c>
      <x:c r="C999" s="56" t="str">
        <x:v>mdt</x:v>
      </x:c>
      <x:c r="D999" s="56" t="n">
        <x:v>45</x:v>
      </x:c>
      <x:c r="E999" s="56" t="str">
        <x:v>mdt.department</x:v>
      </x:c>
      <x:c r="F999" s="56" t="str">
        <x:v>department</x:v>
      </x:c>
      <x:c r="G999" s="56" t="n">
        <x:v>12</x:v>
      </x:c>
      <x:c r="H999" s="56" t="str">
        <x:v>病例特异得分项</x:v>
      </x:c>
      <x:c r="I999" s="56" t="str">
        <x:v>否</x:v>
      </x:c>
      <x:c r="J999" s="56" t="str">
        <x:v>否</x:v>
      </x:c>
      <x:c r="K999" s="56" t="str">
        <x:v>否</x:v>
      </x:c>
      <x:c r="L999" s="56" t="str">
        <x:v>按结构化事件证据给予0/部分/满分；不能由总结反推已完成</x:v>
      </x:c>
      <x:c r="M999" s="56" t="str"/>
      <x:c r="N999" s="56" t="n">
        <x:f>SUMIFS($G$4:$G$1673,$A$4:$A$1673,A999)</x:f>
        <x:v>360</x:v>
      </x:c>
      <x:c r="O999" s="56" t="str">
        <x:f>IF(N999=360,"通过","失败")</x:f>
        <x:v>通过</x:v>
      </x:c>
      <x:c r="P999" s="56" t="str"/>
      <x:c r="Q999" s="59" t="str">
        <x:v>待确认</x:v>
      </x:c>
    </x:row>
    <x:row r="1000">
      <x:c r="A1000" s="56" t="str">
        <x:v>P025</x:v>
      </x:c>
      <x:c r="B1000" s="56" t="str">
        <x:v>HX-ADD-013</x:v>
      </x:c>
      <x:c r="C1000" s="56" t="str">
        <x:v>mdt</x:v>
      </x:c>
      <x:c r="D1000" s="56" t="n">
        <x:v>45</x:v>
      </x:c>
      <x:c r="E1000" s="56" t="str">
        <x:v>mdt.trigger</x:v>
      </x:c>
      <x:c r="F1000" s="56" t="str">
        <x:v>trigger</x:v>
      </x:c>
      <x:c r="G1000" s="56" t="n">
        <x:v>11</x:v>
      </x:c>
      <x:c r="H1000" s="56" t="str">
        <x:v>病例特异得分项</x:v>
      </x:c>
      <x:c r="I1000" s="56" t="str">
        <x:v>否</x:v>
      </x:c>
      <x:c r="J1000" s="56" t="str">
        <x:v>否</x:v>
      </x:c>
      <x:c r="K1000" s="56" t="str">
        <x:v>否</x:v>
      </x:c>
      <x:c r="L1000" s="56" t="str">
        <x:v>按结构化事件证据给予0/部分/满分；不能由总结反推已完成</x:v>
      </x:c>
      <x:c r="M1000" s="56" t="str"/>
      <x:c r="N1000" s="56" t="n">
        <x:f>SUMIFS($G$4:$G$1673,$A$4:$A$1673,A1000)</x:f>
        <x:v>360</x:v>
      </x:c>
      <x:c r="O1000" s="56" t="str">
        <x:f>IF(N1000=360,"通过","失败")</x:f>
        <x:v>通过</x:v>
      </x:c>
      <x:c r="P1000" s="56" t="str"/>
      <x:c r="Q1000" s="59" t="str">
        <x:v>待确认</x:v>
      </x:c>
    </x:row>
    <x:row r="1001">
      <x:c r="A1001" s="56" t="str">
        <x:v>P025</x:v>
      </x:c>
      <x:c r="B1001" s="56" t="str">
        <x:v>HX-ADD-013</x:v>
      </x:c>
      <x:c r="C1001" s="56" t="str">
        <x:v>mdt</x:v>
      </x:c>
      <x:c r="D1001" s="56" t="n">
        <x:v>45</x:v>
      </x:c>
      <x:c r="E1001" s="56" t="str">
        <x:v>mdt.question</x:v>
      </x:c>
      <x:c r="F1001" s="56" t="str">
        <x:v>question</x:v>
      </x:c>
      <x:c r="G1001" s="56" t="n">
        <x:v>11</x:v>
      </x:c>
      <x:c r="H1001" s="56" t="str">
        <x:v>病例特异得分项</x:v>
      </x:c>
      <x:c r="I1001" s="56" t="str">
        <x:v>否</x:v>
      </x:c>
      <x:c r="J1001" s="56" t="str">
        <x:v>否</x:v>
      </x:c>
      <x:c r="K1001" s="56" t="str">
        <x:v>否</x:v>
      </x:c>
      <x:c r="L1001" s="56" t="str">
        <x:v>按结构化事件证据给予0/部分/满分；不能由总结反推已完成</x:v>
      </x:c>
      <x:c r="M1001" s="56" t="str"/>
      <x:c r="N1001" s="56" t="n">
        <x:f>SUMIFS($G$4:$G$1673,$A$4:$A$1673,A1001)</x:f>
        <x:v>360</x:v>
      </x:c>
      <x:c r="O1001" s="56" t="str">
        <x:f>IF(N1001=360,"通过","失败")</x:f>
        <x:v>通过</x:v>
      </x:c>
      <x:c r="P1001" s="56" t="str"/>
      <x:c r="Q1001" s="59" t="str">
        <x:v>待确认</x:v>
      </x:c>
    </x:row>
    <x:row r="1002">
      <x:c r="A1002" s="56" t="str">
        <x:v>P025</x:v>
      </x:c>
      <x:c r="B1002" s="56" t="str">
        <x:v>HX-ADD-013</x:v>
      </x:c>
      <x:c r="C1002" s="56" t="str">
        <x:v>mdt</x:v>
      </x:c>
      <x:c r="D1002" s="56" t="n">
        <x:v>45</x:v>
      </x:c>
      <x:c r="E1002" s="56" t="str">
        <x:v>mdt.evidence</x:v>
      </x:c>
      <x:c r="F1002" s="56" t="str">
        <x:v>evidence</x:v>
      </x:c>
      <x:c r="G1002" s="56" t="n">
        <x:v>11</x:v>
      </x:c>
      <x:c r="H1002" s="56" t="str">
        <x:v>病例特异得分项</x:v>
      </x:c>
      <x:c r="I1002" s="56" t="str">
        <x:v>否</x:v>
      </x:c>
      <x:c r="J1002" s="56" t="str">
        <x:v>否</x:v>
      </x:c>
      <x:c r="K1002" s="56" t="str">
        <x:v>否</x:v>
      </x:c>
      <x:c r="L1002" s="56" t="str">
        <x:v>按结构化事件证据给予0/部分/满分；不能由总结反推已完成</x:v>
      </x:c>
      <x:c r="M1002" s="56" t="str"/>
      <x:c r="N1002" s="56" t="n">
        <x:f>SUMIFS($G$4:$G$1673,$A$4:$A$1673,A1002)</x:f>
        <x:v>360</x:v>
      </x:c>
      <x:c r="O1002" s="56" t="str">
        <x:f>IF(N1002=360,"通过","失败")</x:f>
        <x:v>通过</x:v>
      </x:c>
      <x:c r="P1002" s="56" t="str"/>
      <x:c r="Q1002" s="59" t="str">
        <x:v>待确认</x:v>
      </x:c>
    </x:row>
    <x:row r="1003">
      <x:c r="A1003" s="56" t="str">
        <x:v>P025</x:v>
      </x:c>
      <x:c r="B1003" s="56" t="str">
        <x:v>HX-ADD-013</x:v>
      </x:c>
      <x:c r="C1003" s="56" t="str">
        <x:v>treatment</x:v>
      </x:c>
      <x:c r="D1003" s="56" t="n">
        <x:v>50</x:v>
      </x:c>
      <x:c r="E1003" s="56" t="str">
        <x:v>treatment.immediate</x:v>
      </x:c>
      <x:c r="F1003" s="56" t="str">
        <x:v>immediate</x:v>
      </x:c>
      <x:c r="G1003" s="56" t="n">
        <x:v>13</x:v>
      </x:c>
      <x:c r="H1003" s="56" t="str">
        <x:v>病例特异得分项</x:v>
      </x:c>
      <x:c r="I1003" s="56" t="str">
        <x:v>否</x:v>
      </x:c>
      <x:c r="J1003" s="56" t="str">
        <x:v>否</x:v>
      </x:c>
      <x:c r="K1003" s="56" t="str">
        <x:v>否</x:v>
      </x:c>
      <x:c r="L1003" s="56" t="str">
        <x:v>按结构化事件证据给予0/部分/满分；不能由总结反推已完成</x:v>
      </x:c>
      <x:c r="M1003" s="56" t="str"/>
      <x:c r="N1003" s="56" t="n">
        <x:f>SUMIFS($G$4:$G$1673,$A$4:$A$1673,A1003)</x:f>
        <x:v>360</x:v>
      </x:c>
      <x:c r="O1003" s="56" t="str">
        <x:f>IF(N1003=360,"通过","失败")</x:f>
        <x:v>通过</x:v>
      </x:c>
      <x:c r="P1003" s="56" t="str"/>
      <x:c r="Q1003" s="59" t="str">
        <x:v>待确认</x:v>
      </x:c>
    </x:row>
    <x:row r="1004">
      <x:c r="A1004" s="56" t="str">
        <x:v>P025</x:v>
      </x:c>
      <x:c r="B1004" s="56" t="str">
        <x:v>HX-ADD-013</x:v>
      </x:c>
      <x:c r="C1004" s="56" t="str">
        <x:v>treatment</x:v>
      </x:c>
      <x:c r="D1004" s="56" t="n">
        <x:v>50</x:v>
      </x:c>
      <x:c r="E1004" s="56" t="str">
        <x:v>treatment.etiologic</x:v>
      </x:c>
      <x:c r="F1004" s="56" t="str">
        <x:v>etiologic</x:v>
      </x:c>
      <x:c r="G1004" s="56" t="n">
        <x:v>13</x:v>
      </x:c>
      <x:c r="H1004" s="56" t="str">
        <x:v>病例特异得分项</x:v>
      </x:c>
      <x:c r="I1004" s="56" t="str">
        <x:v>否</x:v>
      </x:c>
      <x:c r="J1004" s="56" t="str">
        <x:v>否</x:v>
      </x:c>
      <x:c r="K1004" s="56" t="str">
        <x:v>否</x:v>
      </x:c>
      <x:c r="L1004" s="56" t="str">
        <x:v>按结构化事件证据给予0/部分/满分；不能由总结反推已完成</x:v>
      </x:c>
      <x:c r="M1004" s="56" t="str"/>
      <x:c r="N1004" s="56" t="n">
        <x:f>SUMIFS($G$4:$G$1673,$A$4:$A$1673,A1004)</x:f>
        <x:v>360</x:v>
      </x:c>
      <x:c r="O1004" s="56" t="str">
        <x:f>IF(N1004=360,"通过","失败")</x:f>
        <x:v>通过</x:v>
      </x:c>
      <x:c r="P1004" s="56" t="str"/>
      <x:c r="Q1004" s="59" t="str">
        <x:v>待确认</x:v>
      </x:c>
    </x:row>
    <x:row r="1005">
      <x:c r="A1005" s="56" t="str">
        <x:v>P025</x:v>
      </x:c>
      <x:c r="B1005" s="56" t="str">
        <x:v>HX-ADD-013</x:v>
      </x:c>
      <x:c r="C1005" s="56" t="str">
        <x:v>treatment</x:v>
      </x:c>
      <x:c r="D1005" s="56" t="n">
        <x:v>50</x:v>
      </x:c>
      <x:c r="E1005" s="56" t="str">
        <x:v>treatment.definitive</x:v>
      </x:c>
      <x:c r="F1005" s="56" t="str">
        <x:v>definitive</x:v>
      </x:c>
      <x:c r="G1005" s="56" t="n">
        <x:v>12</x:v>
      </x:c>
      <x:c r="H1005" s="56" t="str">
        <x:v>病例特异得分项</x:v>
      </x:c>
      <x:c r="I1005" s="56" t="str">
        <x:v>否</x:v>
      </x:c>
      <x:c r="J1005" s="56" t="str">
        <x:v>否</x:v>
      </x:c>
      <x:c r="K1005" s="56" t="str">
        <x:v>否</x:v>
      </x:c>
      <x:c r="L1005" s="56" t="str">
        <x:v>按结构化事件证据给予0/部分/满分；不能由总结反推已完成</x:v>
      </x:c>
      <x:c r="M1005" s="56" t="str"/>
      <x:c r="N1005" s="56" t="n">
        <x:f>SUMIFS($G$4:$G$1673,$A$4:$A$1673,A1005)</x:f>
        <x:v>360</x:v>
      </x:c>
      <x:c r="O1005" s="56" t="str">
        <x:f>IF(N1005=360,"通过","失败")</x:f>
        <x:v>通过</x:v>
      </x:c>
      <x:c r="P1005" s="56" t="str"/>
      <x:c r="Q1005" s="59" t="str">
        <x:v>待确认</x:v>
      </x:c>
    </x:row>
    <x:row r="1006">
      <x:c r="A1006" s="56" t="str">
        <x:v>P025</x:v>
      </x:c>
      <x:c r="B1006" s="56" t="str">
        <x:v>HX-ADD-013</x:v>
      </x:c>
      <x:c r="C1006" s="56" t="str">
        <x:v>treatment</x:v>
      </x:c>
      <x:c r="D1006" s="56" t="n">
        <x:v>50</x:v>
      </x:c>
      <x:c r="E1006" s="56" t="str">
        <x:v>treatment.perioperative</x:v>
      </x:c>
      <x:c r="F1006" s="56" t="str">
        <x:v>perioperative</x:v>
      </x:c>
      <x:c r="G1006" s="56" t="n">
        <x:v>12</x:v>
      </x:c>
      <x:c r="H1006" s="56" t="str">
        <x:v>病例特异得分项</x:v>
      </x:c>
      <x:c r="I1006" s="56" t="str">
        <x:v>否</x:v>
      </x:c>
      <x:c r="J1006" s="56" t="str">
        <x:v>否</x:v>
      </x:c>
      <x:c r="K1006" s="56" t="str">
        <x:v>否</x:v>
      </x:c>
      <x:c r="L1006" s="56" t="str">
        <x:v>按结构化事件证据给予0/部分/满分；不能由总结反推已完成</x:v>
      </x:c>
      <x:c r="M1006" s="56" t="str"/>
      <x:c r="N1006" s="56" t="n">
        <x:f>SUMIFS($G$4:$G$1673,$A$4:$A$1673,A1006)</x:f>
        <x:v>360</x:v>
      </x:c>
      <x:c r="O1006" s="56" t="str">
        <x:f>IF(N1006=360,"通过","失败")</x:f>
        <x:v>通过</x:v>
      </x:c>
      <x:c r="P1006" s="56" t="str"/>
      <x:c r="Q1006" s="59" t="str">
        <x:v>待确认</x:v>
      </x:c>
    </x:row>
    <x:row r="1007">
      <x:c r="A1007" s="56" t="str">
        <x:v>P025</x:v>
      </x:c>
      <x:c r="B1007" s="56" t="str">
        <x:v>HX-ADD-013</x:v>
      </x:c>
      <x:c r="C1007" s="56" t="str">
        <x:v>followup</x:v>
      </x:c>
      <x:c r="D1007" s="56" t="n">
        <x:v>40</x:v>
      </x:c>
      <x:c r="E1007" s="56" t="str">
        <x:v>followup.plan</x:v>
      </x:c>
      <x:c r="F1007" s="56" t="str">
        <x:v>随访复查</x:v>
      </x:c>
      <x:c r="G1007" s="56" t="n">
        <x:v>10</x:v>
      </x:c>
      <x:c r="H1007" s="56" t="str">
        <x:v>普通得分项</x:v>
      </x:c>
      <x:c r="I1007" s="56" t="str">
        <x:v>否</x:v>
      </x:c>
      <x:c r="J1007" s="56" t="str">
        <x:v>否</x:v>
      </x:c>
      <x:c r="K1007" s="56" t="str">
        <x:v>否</x:v>
      </x:c>
      <x:c r="L1007" s="56" t="str">
        <x:v>按结构化事件证据给予0/部分/满分；不能由总结反推已完成</x:v>
      </x:c>
      <x:c r="M1007" s="56" t="str"/>
      <x:c r="N1007" s="56" t="n">
        <x:f>SUMIFS($G$4:$G$1673,$A$4:$A$1673,A1007)</x:f>
        <x:v>360</x:v>
      </x:c>
      <x:c r="O1007" s="56" t="str">
        <x:f>IF(N1007=360,"通过","失败")</x:f>
        <x:v>通过</x:v>
      </x:c>
      <x:c r="P1007" s="56" t="str"/>
      <x:c r="Q1007" s="59" t="str">
        <x:v>待确认</x:v>
      </x:c>
    </x:row>
    <x:row r="1008">
      <x:c r="A1008" s="56" t="str">
        <x:v>P025</x:v>
      </x:c>
      <x:c r="B1008" s="56" t="str">
        <x:v>HX-ADD-013</x:v>
      </x:c>
      <x:c r="C1008" s="56" t="str">
        <x:v>followup</x:v>
      </x:c>
      <x:c r="D1008" s="56" t="n">
        <x:v>40</x:v>
      </x:c>
      <x:c r="E1008" s="56" t="str">
        <x:v>followup.education</x:v>
      </x:c>
      <x:c r="F1008" s="56" t="str">
        <x:v>患者教育</x:v>
      </x:c>
      <x:c r="G1008" s="56" t="n">
        <x:v>10</x:v>
      </x:c>
      <x:c r="H1008" s="56" t="str">
        <x:v>普通得分项</x:v>
      </x:c>
      <x:c r="I1008" s="56" t="str">
        <x:v>否</x:v>
      </x:c>
      <x:c r="J1008" s="56" t="str">
        <x:v>否</x:v>
      </x:c>
      <x:c r="K1008" s="56" t="str">
        <x:v>否</x:v>
      </x:c>
      <x:c r="L1008" s="56" t="str">
        <x:v>按结构化事件证据给予0/部分/满分；不能由总结反推已完成</x:v>
      </x:c>
      <x:c r="M1008" s="56" t="str"/>
      <x:c r="N1008" s="56" t="n">
        <x:f>SUMIFS($G$4:$G$1673,$A$4:$A$1673,A1008)</x:f>
        <x:v>360</x:v>
      </x:c>
      <x:c r="O1008" s="56" t="str">
        <x:f>IF(N1008=360,"通过","失败")</x:f>
        <x:v>通过</x:v>
      </x:c>
      <x:c r="P1008" s="56" t="str"/>
      <x:c r="Q1008" s="59" t="str">
        <x:v>待确认</x:v>
      </x:c>
    </x:row>
    <x:row r="1009">
      <x:c r="A1009" s="56" t="str">
        <x:v>P025</x:v>
      </x:c>
      <x:c r="B1009" s="56" t="str">
        <x:v>HX-ADD-013</x:v>
      </x:c>
      <x:c r="C1009" s="56" t="str">
        <x:v>followup</x:v>
      </x:c>
      <x:c r="D1009" s="56" t="n">
        <x:v>40</x:v>
      </x:c>
      <x:c r="E1009" s="56" t="str">
        <x:v>followup.reflection</x:v>
      </x:c>
      <x:c r="F1009" s="56" t="str">
        <x:v>学习反思质量</x:v>
      </x:c>
      <x:c r="G1009" s="56" t="n">
        <x:v>10</x:v>
      </x:c>
      <x:c r="H1009" s="56" t="str">
        <x:v>普通得分项</x:v>
      </x:c>
      <x:c r="I1009" s="56" t="str">
        <x:v>否</x:v>
      </x:c>
      <x:c r="J1009" s="56" t="str">
        <x:v>否</x:v>
      </x:c>
      <x:c r="K1009" s="56" t="str">
        <x:v>否</x:v>
      </x:c>
      <x:c r="L1009" s="56" t="str">
        <x:v>按结构化事件证据给予0/部分/满分；不能由总结反推已完成</x:v>
      </x:c>
      <x:c r="M1009" s="56" t="str"/>
      <x:c r="N1009" s="56" t="n">
        <x:f>SUMIFS($G$4:$G$1673,$A$4:$A$1673,A1009)</x:f>
        <x:v>360</x:v>
      </x:c>
      <x:c r="O1009" s="56" t="str">
        <x:f>IF(N1009=360,"通过","失败")</x:f>
        <x:v>通过</x:v>
      </x:c>
      <x:c r="P1009" s="56" t="str"/>
      <x:c r="Q1009" s="59" t="str">
        <x:v>待确认</x:v>
      </x:c>
    </x:row>
    <x:row r="1010">
      <x:c r="A1010" s="56" t="str">
        <x:v>P025</x:v>
      </x:c>
      <x:c r="B1010" s="56" t="str">
        <x:v>HX-ADD-013</x:v>
      </x:c>
      <x:c r="C1010" s="56" t="str">
        <x:v>followup</x:v>
      </x:c>
      <x:c r="D1010" s="56" t="n">
        <x:v>40</x:v>
      </x:c>
      <x:c r="E1010" s="56" t="str">
        <x:v>followup.efficiency</x:v>
      </x:c>
      <x:c r="F1010" s="56" t="str">
        <x:v>操作效率</x:v>
      </x:c>
      <x:c r="G1010" s="56" t="n">
        <x:v>10</x:v>
      </x:c>
      <x:c r="H1010" s="56" t="str">
        <x:v>普通得分项</x:v>
      </x:c>
      <x:c r="I1010" s="56" t="str">
        <x:v>否</x:v>
      </x:c>
      <x:c r="J1010" s="56" t="str">
        <x:v>否</x:v>
      </x:c>
      <x:c r="K1010" s="56" t="str">
        <x:v>否</x:v>
      </x:c>
      <x:c r="L1010" s="56" t="str">
        <x:v>按结构化事件证据给予0/部分/满分；不能由总结反推已完成</x:v>
      </x:c>
      <x:c r="M1010" s="56" t="str"/>
      <x:c r="N1010" s="56" t="n">
        <x:f>SUMIFS($G$4:$G$1673,$A$4:$A$1673,A1010)</x:f>
        <x:v>360</x:v>
      </x:c>
      <x:c r="O1010" s="56" t="str">
        <x:f>IF(N1010=360,"通过","失败")</x:f>
        <x:v>通过</x:v>
      </x:c>
      <x:c r="P1010" s="56" t="str"/>
      <x:c r="Q1010" s="59" t="str">
        <x:v>待确认</x:v>
      </x:c>
    </x:row>
    <x:row r="1011">
      <x:c r="A1011" s="56" t="str">
        <x:v>P026</x:v>
      </x:c>
      <x:c r="B1011" s="56" t="str">
        <x:v>HX-ADD-014</x:v>
      </x:c>
      <x:c r="C1011" s="56" t="str">
        <x:v>history</x:v>
      </x:c>
      <x:c r="D1011" s="56" t="n">
        <x:v>50</x:v>
      </x:c>
      <x:c r="E1011" s="56" t="str">
        <x:v>history.hematuria_visibility</x:v>
      </x:c>
      <x:c r="F1011" s="56" t="str">
        <x:v>hematuria_visibility</x:v>
      </x:c>
      <x:c r="G1011" s="56" t="n">
        <x:v>5</x:v>
      </x:c>
      <x:c r="H1011" s="56" t="str">
        <x:v>普通得分项</x:v>
      </x:c>
      <x:c r="I1011" s="56" t="str">
        <x:v>否</x:v>
      </x:c>
      <x:c r="J1011" s="56" t="str">
        <x:v>否</x:v>
      </x:c>
      <x:c r="K1011" s="56" t="str">
        <x:v>否</x:v>
      </x:c>
      <x:c r="L1011" s="56" t="str">
        <x:v>按结构化事件证据给予0/部分/满分；不能由总结反推已完成</x:v>
      </x:c>
      <x:c r="M1011" s="56" t="str"/>
      <x:c r="N1011" s="56" t="n">
        <x:f>SUMIFS($G$4:$G$1673,$A$4:$A$1673,A1011)</x:f>
        <x:v>360</x:v>
      </x:c>
      <x:c r="O1011" s="56" t="str">
        <x:f>IF(N1011=360,"通过","失败")</x:f>
        <x:v>通过</x:v>
      </x:c>
      <x:c r="P1011" s="56" t="str"/>
      <x:c r="Q1011" s="59" t="str">
        <x:v>待确认</x:v>
      </x:c>
    </x:row>
    <x:row r="1012">
      <x:c r="A1012" s="56" t="str">
        <x:v>P026</x:v>
      </x:c>
      <x:c r="B1012" s="56" t="str">
        <x:v>HX-ADD-014</x:v>
      </x:c>
      <x:c r="C1012" s="56" t="str">
        <x:v>history</x:v>
      </x:c>
      <x:c r="D1012" s="56" t="n">
        <x:v>50</x:v>
      </x:c>
      <x:c r="E1012" s="56" t="str">
        <x:v>history.hematuria_onset</x:v>
      </x:c>
      <x:c r="F1012" s="56" t="str">
        <x:v>hematuria_onset</x:v>
      </x:c>
      <x:c r="G1012" s="56" t="n">
        <x:v>5</x:v>
      </x:c>
      <x:c r="H1012" s="56" t="str">
        <x:v>普通得分项</x:v>
      </x:c>
      <x:c r="I1012" s="56" t="str">
        <x:v>否</x:v>
      </x:c>
      <x:c r="J1012" s="56" t="str">
        <x:v>否</x:v>
      </x:c>
      <x:c r="K1012" s="56" t="str">
        <x:v>否</x:v>
      </x:c>
      <x:c r="L1012" s="56" t="str">
        <x:v>按结构化事件证据给予0/部分/满分；不能由总结反推已完成</x:v>
      </x:c>
      <x:c r="M1012" s="56" t="str"/>
      <x:c r="N1012" s="56" t="n">
        <x:f>SUMIFS($G$4:$G$1673,$A$4:$A$1673,A1012)</x:f>
        <x:v>360</x:v>
      </x:c>
      <x:c r="O1012" s="56" t="str">
        <x:f>IF(N1012=360,"通过","失败")</x:f>
        <x:v>通过</x:v>
      </x:c>
      <x:c r="P1012" s="56" t="str"/>
      <x:c r="Q1012" s="59" t="str">
        <x:v>待确认</x:v>
      </x:c>
    </x:row>
    <x:row r="1013">
      <x:c r="A1013" s="56" t="str">
        <x:v>P026</x:v>
      </x:c>
      <x:c r="B1013" s="56" t="str">
        <x:v>HX-ADD-014</x:v>
      </x:c>
      <x:c r="C1013" s="56" t="str">
        <x:v>history</x:v>
      </x:c>
      <x:c r="D1013" s="56" t="n">
        <x:v>50</x:v>
      </x:c>
      <x:c r="E1013" s="56" t="str">
        <x:v>history.hematuria_frequency</x:v>
      </x:c>
      <x:c r="F1013" s="56" t="str">
        <x:v>hematuria_frequency</x:v>
      </x:c>
      <x:c r="G1013" s="56" t="n">
        <x:v>4</x:v>
      </x:c>
      <x:c r="H1013" s="56" t="str">
        <x:v>普通得分项</x:v>
      </x:c>
      <x:c r="I1013" s="56" t="str">
        <x:v>否</x:v>
      </x:c>
      <x:c r="J1013" s="56" t="str">
        <x:v>否</x:v>
      </x:c>
      <x:c r="K1013" s="56" t="str">
        <x:v>否</x:v>
      </x:c>
      <x:c r="L1013" s="56" t="str">
        <x:v>按结构化事件证据给予0/部分/满分；不能由总结反推已完成</x:v>
      </x:c>
      <x:c r="M1013" s="56" t="str"/>
      <x:c r="N1013" s="56" t="n">
        <x:f>SUMIFS($G$4:$G$1673,$A$4:$A$1673,A1013)</x:f>
        <x:v>360</x:v>
      </x:c>
      <x:c r="O1013" s="56" t="str">
        <x:f>IF(N1013=360,"通过","失败")</x:f>
        <x:v>通过</x:v>
      </x:c>
      <x:c r="P1013" s="56" t="str"/>
      <x:c r="Q1013" s="59" t="str">
        <x:v>待确认</x:v>
      </x:c>
    </x:row>
    <x:row r="1014">
      <x:c r="A1014" s="56" t="str">
        <x:v>P026</x:v>
      </x:c>
      <x:c r="B1014" s="56" t="str">
        <x:v>HX-ADD-014</x:v>
      </x:c>
      <x:c r="C1014" s="56" t="str">
        <x:v>history</x:v>
      </x:c>
      <x:c r="D1014" s="56" t="n">
        <x:v>50</x:v>
      </x:c>
      <x:c r="E1014" s="56" t="str">
        <x:v>history.hematuria_phase</x:v>
      </x:c>
      <x:c r="F1014" s="56" t="str">
        <x:v>hematuria_phase</x:v>
      </x:c>
      <x:c r="G1014" s="56" t="n">
        <x:v>4</x:v>
      </x:c>
      <x:c r="H1014" s="56" t="str">
        <x:v>普通得分项</x:v>
      </x:c>
      <x:c r="I1014" s="56" t="str">
        <x:v>否</x:v>
      </x:c>
      <x:c r="J1014" s="56" t="str">
        <x:v>否</x:v>
      </x:c>
      <x:c r="K1014" s="56" t="str">
        <x:v>否</x:v>
      </x:c>
      <x:c r="L1014" s="56" t="str">
        <x:v>按结构化事件证据给予0/部分/满分；不能由总结反推已完成</x:v>
      </x:c>
      <x:c r="M1014" s="56" t="str"/>
      <x:c r="N1014" s="56" t="n">
        <x:f>SUMIFS($G$4:$G$1673,$A$4:$A$1673,A1014)</x:f>
        <x:v>360</x:v>
      </x:c>
      <x:c r="O1014" s="56" t="str">
        <x:f>IF(N1014=360,"通过","失败")</x:f>
        <x:v>通过</x:v>
      </x:c>
      <x:c r="P1014" s="56" t="str"/>
      <x:c r="Q1014" s="59" t="str">
        <x:v>待确认</x:v>
      </x:c>
    </x:row>
    <x:row r="1015">
      <x:c r="A1015" s="56" t="str">
        <x:v>P026</x:v>
      </x:c>
      <x:c r="B1015" s="56" t="str">
        <x:v>HX-ADD-014</x:v>
      </x:c>
      <x:c r="C1015" s="56" t="str">
        <x:v>history</x:v>
      </x:c>
      <x:c r="D1015" s="56" t="n">
        <x:v>50</x:v>
      </x:c>
      <x:c r="E1015" s="56" t="str">
        <x:v>history.urine_color</x:v>
      </x:c>
      <x:c r="F1015" s="56" t="str">
        <x:v>urine_color</x:v>
      </x:c>
      <x:c r="G1015" s="56" t="n">
        <x:v>4</x:v>
      </x:c>
      <x:c r="H1015" s="56" t="str">
        <x:v>普通得分项</x:v>
      </x:c>
      <x:c r="I1015" s="56" t="str">
        <x:v>否</x:v>
      </x:c>
      <x:c r="J1015" s="56" t="str">
        <x:v>否</x:v>
      </x:c>
      <x:c r="K1015" s="56" t="str">
        <x:v>否</x:v>
      </x:c>
      <x:c r="L1015" s="56" t="str">
        <x:v>按结构化事件证据给予0/部分/满分；不能由总结反推已完成</x:v>
      </x:c>
      <x:c r="M1015" s="56" t="str"/>
      <x:c r="N1015" s="56" t="n">
        <x:f>SUMIFS($G$4:$G$1673,$A$4:$A$1673,A1015)</x:f>
        <x:v>360</x:v>
      </x:c>
      <x:c r="O1015" s="56" t="str">
        <x:f>IF(N1015=360,"通过","失败")</x:f>
        <x:v>通过</x:v>
      </x:c>
      <x:c r="P1015" s="56" t="str"/>
      <x:c r="Q1015" s="59" t="str">
        <x:v>待确认</x:v>
      </x:c>
    </x:row>
    <x:row r="1016">
      <x:c r="A1016" s="56" t="str">
        <x:v>P026</x:v>
      </x:c>
      <x:c r="B1016" s="56" t="str">
        <x:v>HX-ADD-014</x:v>
      </x:c>
      <x:c r="C1016" s="56" t="str">
        <x:v>history</x:v>
      </x:c>
      <x:c r="D1016" s="56" t="n">
        <x:v>50</x:v>
      </x:c>
      <x:c r="E1016" s="56" t="str">
        <x:v>history.clots</x:v>
      </x:c>
      <x:c r="F1016" s="56" t="str">
        <x:v>clots</x:v>
      </x:c>
      <x:c r="G1016" s="56" t="n">
        <x:v>4</x:v>
      </x:c>
      <x:c r="H1016" s="56" t="str">
        <x:v>普通得分项</x:v>
      </x:c>
      <x:c r="I1016" s="56" t="str">
        <x:v>否</x:v>
      </x:c>
      <x:c r="J1016" s="56" t="str">
        <x:v>否</x:v>
      </x:c>
      <x:c r="K1016" s="56" t="str">
        <x:v>否</x:v>
      </x:c>
      <x:c r="L1016" s="56" t="str">
        <x:v>按结构化事件证据给予0/部分/满分；不能由总结反推已完成</x:v>
      </x:c>
      <x:c r="M1016" s="56" t="str"/>
      <x:c r="N1016" s="56" t="n">
        <x:f>SUMIFS($G$4:$G$1673,$A$4:$A$1673,A1016)</x:f>
        <x:v>360</x:v>
      </x:c>
      <x:c r="O1016" s="56" t="str">
        <x:f>IF(N1016=360,"通过","失败")</x:f>
        <x:v>通过</x:v>
      </x:c>
      <x:c r="P1016" s="56" t="str"/>
      <x:c r="Q1016" s="59" t="str">
        <x:v>待确认</x:v>
      </x:c>
    </x:row>
    <x:row r="1017">
      <x:c r="A1017" s="56" t="str">
        <x:v>P026</x:v>
      </x:c>
      <x:c r="B1017" s="56" t="str">
        <x:v>HX-ADD-014</x:v>
      </x:c>
      <x:c r="C1017" s="56" t="str">
        <x:v>history</x:v>
      </x:c>
      <x:c r="D1017" s="56" t="n">
        <x:v>50</x:v>
      </x:c>
      <x:c r="E1017" s="56" t="str">
        <x:v>history.pain</x:v>
      </x:c>
      <x:c r="F1017" s="56" t="str">
        <x:v>pain</x:v>
      </x:c>
      <x:c r="G1017" s="56" t="n">
        <x:v>4</x:v>
      </x:c>
      <x:c r="H1017" s="56" t="str">
        <x:v>普通得分项</x:v>
      </x:c>
      <x:c r="I1017" s="56" t="str">
        <x:v>否</x:v>
      </x:c>
      <x:c r="J1017" s="56" t="str">
        <x:v>否</x:v>
      </x:c>
      <x:c r="K1017" s="56" t="str">
        <x:v>否</x:v>
      </x:c>
      <x:c r="L1017" s="56" t="str">
        <x:v>按结构化事件证据给予0/部分/满分；不能由总结反推已完成</x:v>
      </x:c>
      <x:c r="M1017" s="56" t="str"/>
      <x:c r="N1017" s="56" t="n">
        <x:f>SUMIFS($G$4:$G$1673,$A$4:$A$1673,A1017)</x:f>
        <x:v>360</x:v>
      </x:c>
      <x:c r="O1017" s="56" t="str">
        <x:f>IF(N1017=360,"通过","失败")</x:f>
        <x:v>通过</x:v>
      </x:c>
      <x:c r="P1017" s="56" t="str"/>
      <x:c r="Q1017" s="59" t="str">
        <x:v>待确认</x:v>
      </x:c>
    </x:row>
    <x:row r="1018">
      <x:c r="A1018" s="56" t="str">
        <x:v>P026</x:v>
      </x:c>
      <x:c r="B1018" s="56" t="str">
        <x:v>HX-ADD-014</x:v>
      </x:c>
      <x:c r="C1018" s="56" t="str">
        <x:v>history</x:v>
      </x:c>
      <x:c r="D1018" s="56" t="n">
        <x:v>50</x:v>
      </x:c>
      <x:c r="E1018" s="56" t="str">
        <x:v>history.dysuria</x:v>
      </x:c>
      <x:c r="F1018" s="56" t="str">
        <x:v>dysuria</x:v>
      </x:c>
      <x:c r="G1018" s="56" t="n">
        <x:v>4</x:v>
      </x:c>
      <x:c r="H1018" s="56" t="str">
        <x:v>普通得分项</x:v>
      </x:c>
      <x:c r="I1018" s="56" t="str">
        <x:v>否</x:v>
      </x:c>
      <x:c r="J1018" s="56" t="str">
        <x:v>否</x:v>
      </x:c>
      <x:c r="K1018" s="56" t="str">
        <x:v>否</x:v>
      </x:c>
      <x:c r="L1018" s="56" t="str">
        <x:v>按结构化事件证据给予0/部分/满分；不能由总结反推已完成</x:v>
      </x:c>
      <x:c r="M1018" s="56" t="str"/>
      <x:c r="N1018" s="56" t="n">
        <x:f>SUMIFS($G$4:$G$1673,$A$4:$A$1673,A1018)</x:f>
        <x:v>360</x:v>
      </x:c>
      <x:c r="O1018" s="56" t="str">
        <x:f>IF(N1018=360,"通过","失败")</x:f>
        <x:v>通过</x:v>
      </x:c>
      <x:c r="P1018" s="56" t="str"/>
      <x:c r="Q1018" s="59" t="str">
        <x:v>待确认</x:v>
      </x:c>
    </x:row>
    <x:row r="1019">
      <x:c r="A1019" s="56" t="str">
        <x:v>P026</x:v>
      </x:c>
      <x:c r="B1019" s="56" t="str">
        <x:v>HX-ADD-014</x:v>
      </x:c>
      <x:c r="C1019" s="56" t="str">
        <x:v>history</x:v>
      </x:c>
      <x:c r="D1019" s="56" t="n">
        <x:v>50</x:v>
      </x:c>
      <x:c r="E1019" s="56" t="str">
        <x:v>history.urinary_frequency</x:v>
      </x:c>
      <x:c r="F1019" s="56" t="str">
        <x:v>urinary_frequency</x:v>
      </x:c>
      <x:c r="G1019" s="56" t="n">
        <x:v>4</x:v>
      </x:c>
      <x:c r="H1019" s="56" t="str">
        <x:v>普通得分项</x:v>
      </x:c>
      <x:c r="I1019" s="56" t="str">
        <x:v>否</x:v>
      </x:c>
      <x:c r="J1019" s="56" t="str">
        <x:v>否</x:v>
      </x:c>
      <x:c r="K1019" s="56" t="str">
        <x:v>否</x:v>
      </x:c>
      <x:c r="L1019" s="56" t="str">
        <x:v>按结构化事件证据给予0/部分/满分；不能由总结反推已完成</x:v>
      </x:c>
      <x:c r="M1019" s="56" t="str"/>
      <x:c r="N1019" s="56" t="n">
        <x:f>SUMIFS($G$4:$G$1673,$A$4:$A$1673,A1019)</x:f>
        <x:v>360</x:v>
      </x:c>
      <x:c r="O1019" s="56" t="str">
        <x:f>IF(N1019=360,"通过","失败")</x:f>
        <x:v>通过</x:v>
      </x:c>
      <x:c r="P1019" s="56" t="str"/>
      <x:c r="Q1019" s="59" t="str">
        <x:v>待确认</x:v>
      </x:c>
    </x:row>
    <x:row r="1020">
      <x:c r="A1020" s="56" t="str">
        <x:v>P026</x:v>
      </x:c>
      <x:c r="B1020" s="56" t="str">
        <x:v>HX-ADD-014</x:v>
      </x:c>
      <x:c r="C1020" s="56" t="str">
        <x:v>history</x:v>
      </x:c>
      <x:c r="D1020" s="56" t="n">
        <x:v>50</x:v>
      </x:c>
      <x:c r="E1020" s="56" t="str">
        <x:v>history.urinary_urgency</x:v>
      </x:c>
      <x:c r="F1020" s="56" t="str">
        <x:v>urinary_urgency</x:v>
      </x:c>
      <x:c r="G1020" s="56" t="n">
        <x:v>4</x:v>
      </x:c>
      <x:c r="H1020" s="56" t="str">
        <x:v>普通得分项</x:v>
      </x:c>
      <x:c r="I1020" s="56" t="str">
        <x:v>否</x:v>
      </x:c>
      <x:c r="J1020" s="56" t="str">
        <x:v>否</x:v>
      </x:c>
      <x:c r="K1020" s="56" t="str">
        <x:v>否</x:v>
      </x:c>
      <x:c r="L1020" s="56" t="str">
        <x:v>按结构化事件证据给予0/部分/满分；不能由总结反推已完成</x:v>
      </x:c>
      <x:c r="M1020" s="56" t="str"/>
      <x:c r="N1020" s="56" t="n">
        <x:f>SUMIFS($G$4:$G$1673,$A$4:$A$1673,A1020)</x:f>
        <x:v>360</x:v>
      </x:c>
      <x:c r="O1020" s="56" t="str">
        <x:f>IF(N1020=360,"通过","失败")</x:f>
        <x:v>通过</x:v>
      </x:c>
      <x:c r="P1020" s="56" t="str"/>
      <x:c r="Q1020" s="59" t="str">
        <x:v>待确认</x:v>
      </x:c>
    </x:row>
    <x:row r="1021">
      <x:c r="A1021" s="56" t="str">
        <x:v>P026</x:v>
      </x:c>
      <x:c r="B1021" s="56" t="str">
        <x:v>HX-ADD-014</x:v>
      </x:c>
      <x:c r="C1021" s="56" t="str">
        <x:v>history</x:v>
      </x:c>
      <x:c r="D1021" s="56" t="n">
        <x:v>50</x:v>
      </x:c>
      <x:c r="E1021" s="56" t="str">
        <x:v>history.flank_pain</x:v>
      </x:c>
      <x:c r="F1021" s="56" t="str">
        <x:v>flank_pain</x:v>
      </x:c>
      <x:c r="G1021" s="56" t="n">
        <x:v>4</x:v>
      </x:c>
      <x:c r="H1021" s="56" t="str">
        <x:v>普通得分项</x:v>
      </x:c>
      <x:c r="I1021" s="56" t="str">
        <x:v>否</x:v>
      </x:c>
      <x:c r="J1021" s="56" t="str">
        <x:v>否</x:v>
      </x:c>
      <x:c r="K1021" s="56" t="str">
        <x:v>否</x:v>
      </x:c>
      <x:c r="L1021" s="56" t="str">
        <x:v>按结构化事件证据给予0/部分/满分；不能由总结反推已完成</x:v>
      </x:c>
      <x:c r="M1021" s="56" t="str"/>
      <x:c r="N1021" s="56" t="n">
        <x:f>SUMIFS($G$4:$G$1673,$A$4:$A$1673,A1021)</x:f>
        <x:v>360</x:v>
      </x:c>
      <x:c r="O1021" s="56" t="str">
        <x:f>IF(N1021=360,"通过","失败")</x:f>
        <x:v>通过</x:v>
      </x:c>
      <x:c r="P1021" s="56" t="str"/>
      <x:c r="Q1021" s="59" t="str">
        <x:v>待确认</x:v>
      </x:c>
    </x:row>
    <x:row r="1022">
      <x:c r="A1022" s="56" t="str">
        <x:v>P026</x:v>
      </x:c>
      <x:c r="B1022" s="56" t="str">
        <x:v>HX-ADD-014</x:v>
      </x:c>
      <x:c r="C1022" s="56" t="str">
        <x:v>history</x:v>
      </x:c>
      <x:c r="D1022" s="56" t="n">
        <x:v>50</x:v>
      </x:c>
      <x:c r="E1022" s="56" t="str">
        <x:v>history.fever_chills</x:v>
      </x:c>
      <x:c r="F1022" s="56" t="str">
        <x:v>fever_chills</x:v>
      </x:c>
      <x:c r="G1022" s="56" t="n">
        <x:v>4</x:v>
      </x:c>
      <x:c r="H1022" s="56" t="str">
        <x:v>普通得分项</x:v>
      </x:c>
      <x:c r="I1022" s="56" t="str">
        <x:v>否</x:v>
      </x:c>
      <x:c r="J1022" s="56" t="str">
        <x:v>否</x:v>
      </x:c>
      <x:c r="K1022" s="56" t="str">
        <x:v>否</x:v>
      </x:c>
      <x:c r="L1022" s="56" t="str">
        <x:v>按结构化事件证据给予0/部分/满分；不能由总结反推已完成</x:v>
      </x:c>
      <x:c r="M1022" s="56" t="str"/>
      <x:c r="N1022" s="56" t="n">
        <x:f>SUMIFS($G$4:$G$1673,$A$4:$A$1673,A1022)</x:f>
        <x:v>360</x:v>
      </x:c>
      <x:c r="O1022" s="56" t="str">
        <x:f>IF(N1022=360,"通过","失败")</x:f>
        <x:v>通过</x:v>
      </x:c>
      <x:c r="P1022" s="56" t="str"/>
      <x:c r="Q1022" s="59" t="str">
        <x:v>待确认</x:v>
      </x:c>
    </x:row>
    <x:row r="1023">
      <x:c r="A1023" s="56" t="str">
        <x:v>P026</x:v>
      </x:c>
      <x:c r="B1023" s="56" t="str">
        <x:v>HX-ADD-014</x:v>
      </x:c>
      <x:c r="C1023" s="56" t="str">
        <x:v>risk</x:v>
      </x:c>
      <x:c r="D1023" s="56" t="n">
        <x:v>40</x:v>
      </x:c>
      <x:c r="E1023" s="56" t="str">
        <x:v>risk.stone_history</x:v>
      </x:c>
      <x:c r="F1023" s="56" t="str">
        <x:v>stone_history</x:v>
      </x:c>
      <x:c r="G1023" s="56" t="n">
        <x:v>8</x:v>
      </x:c>
      <x:c r="H1023" s="56" t="str">
        <x:v>普通得分项</x:v>
      </x:c>
      <x:c r="I1023" s="56" t="str">
        <x:v>否</x:v>
      </x:c>
      <x:c r="J1023" s="56" t="str">
        <x:v>否</x:v>
      </x:c>
      <x:c r="K1023" s="56" t="str">
        <x:v>否</x:v>
      </x:c>
      <x:c r="L1023" s="56" t="str">
        <x:v>按结构化事件证据给予0/部分/满分；不能由总结反推已完成</x:v>
      </x:c>
      <x:c r="M1023" s="56" t="str"/>
      <x:c r="N1023" s="56" t="n">
        <x:f>SUMIFS($G$4:$G$1673,$A$4:$A$1673,A1023)</x:f>
        <x:v>360</x:v>
      </x:c>
      <x:c r="O1023" s="56" t="str">
        <x:f>IF(N1023=360,"通过","失败")</x:f>
        <x:v>通过</x:v>
      </x:c>
      <x:c r="P1023" s="56" t="str"/>
      <x:c r="Q1023" s="59" t="str">
        <x:v>待确认</x:v>
      </x:c>
    </x:row>
    <x:row r="1024">
      <x:c r="A1024" s="56" t="str">
        <x:v>P026</x:v>
      </x:c>
      <x:c r="B1024" s="56" t="str">
        <x:v>HX-ADD-014</x:v>
      </x:c>
      <x:c r="C1024" s="56" t="str">
        <x:v>risk</x:v>
      </x:c>
      <x:c r="D1024" s="56" t="n">
        <x:v>40</x:v>
      </x:c>
      <x:c r="E1024" s="56" t="str">
        <x:v>risk.triggers</x:v>
      </x:c>
      <x:c r="F1024" s="56" t="str">
        <x:v>triggers</x:v>
      </x:c>
      <x:c r="G1024" s="56" t="n">
        <x:v>8</x:v>
      </x:c>
      <x:c r="H1024" s="56" t="str">
        <x:v>普通得分项</x:v>
      </x:c>
      <x:c r="I1024" s="56" t="str">
        <x:v>否</x:v>
      </x:c>
      <x:c r="J1024" s="56" t="str">
        <x:v>否</x:v>
      </x:c>
      <x:c r="K1024" s="56" t="str">
        <x:v>否</x:v>
      </x:c>
      <x:c r="L1024" s="56" t="str">
        <x:v>按结构化事件证据给予0/部分/满分；不能由总结反推已完成</x:v>
      </x:c>
      <x:c r="M1024" s="56" t="str"/>
      <x:c r="N1024" s="56" t="n">
        <x:f>SUMIFS($G$4:$G$1673,$A$4:$A$1673,A1024)</x:f>
        <x:v>360</x:v>
      </x:c>
      <x:c r="O1024" s="56" t="str">
        <x:f>IF(N1024=360,"通过","失败")</x:f>
        <x:v>通过</x:v>
      </x:c>
      <x:c r="P1024" s="56" t="str"/>
      <x:c r="Q1024" s="59" t="str">
        <x:v>待确认</x:v>
      </x:c>
    </x:row>
    <x:row r="1025">
      <x:c r="A1025" s="56" t="str">
        <x:v>P026</x:v>
      </x:c>
      <x:c r="B1025" s="56" t="str">
        <x:v>HX-ADD-014</x:v>
      </x:c>
      <x:c r="C1025" s="56" t="str">
        <x:v>risk</x:v>
      </x:c>
      <x:c r="D1025" s="56" t="n">
        <x:v>40</x:v>
      </x:c>
      <x:c r="E1025" s="56" t="str">
        <x:v>risk.uti_history</x:v>
      </x:c>
      <x:c r="F1025" s="56" t="str">
        <x:v>uti_history</x:v>
      </x:c>
      <x:c r="G1025" s="56" t="n">
        <x:v>8</x:v>
      </x:c>
      <x:c r="H1025" s="56" t="str">
        <x:v>普通得分项</x:v>
      </x:c>
      <x:c r="I1025" s="56" t="str">
        <x:v>否</x:v>
      </x:c>
      <x:c r="J1025" s="56" t="str">
        <x:v>否</x:v>
      </x:c>
      <x:c r="K1025" s="56" t="str">
        <x:v>否</x:v>
      </x:c>
      <x:c r="L1025" s="56" t="str">
        <x:v>按结构化事件证据给予0/部分/满分；不能由总结反推已完成</x:v>
      </x:c>
      <x:c r="M1025" s="56" t="str"/>
      <x:c r="N1025" s="56" t="n">
        <x:f>SUMIFS($G$4:$G$1673,$A$4:$A$1673,A1025)</x:f>
        <x:v>360</x:v>
      </x:c>
      <x:c r="O1025" s="56" t="str">
        <x:f>IF(N1025=360,"通过","失败")</x:f>
        <x:v>通过</x:v>
      </x:c>
      <x:c r="P1025" s="56" t="str"/>
      <x:c r="Q1025" s="59" t="str">
        <x:v>待确认</x:v>
      </x:c>
    </x:row>
    <x:row r="1026">
      <x:c r="A1026" s="56" t="str">
        <x:v>P026</x:v>
      </x:c>
      <x:c r="B1026" s="56" t="str">
        <x:v>HX-ADD-014</x:v>
      </x:c>
      <x:c r="C1026" s="56" t="str">
        <x:v>risk</x:v>
      </x:c>
      <x:c r="D1026" s="56" t="n">
        <x:v>40</x:v>
      </x:c>
      <x:c r="E1026" s="56" t="str">
        <x:v>risk.retention</x:v>
      </x:c>
      <x:c r="F1026" s="56" t="str">
        <x:v>retention</x:v>
      </x:c>
      <x:c r="G1026" s="56" t="n">
        <x:v>8</x:v>
      </x:c>
      <x:c r="H1026" s="56" t="str">
        <x:v>普通得分项</x:v>
      </x:c>
      <x:c r="I1026" s="56" t="str">
        <x:v>否</x:v>
      </x:c>
      <x:c r="J1026" s="56" t="str">
        <x:v>否</x:v>
      </x:c>
      <x:c r="K1026" s="56" t="str">
        <x:v>否</x:v>
      </x:c>
      <x:c r="L1026" s="56" t="str">
        <x:v>按结构化事件证据给予0/部分/满分；不能由总结反推已完成</x:v>
      </x:c>
      <x:c r="M1026" s="56" t="str"/>
      <x:c r="N1026" s="56" t="n">
        <x:f>SUMIFS($G$4:$G$1673,$A$4:$A$1673,A1026)</x:f>
        <x:v>360</x:v>
      </x:c>
      <x:c r="O1026" s="56" t="str">
        <x:f>IF(N1026=360,"通过","失败")</x:f>
        <x:v>通过</x:v>
      </x:c>
      <x:c r="P1026" s="56" t="str"/>
      <x:c r="Q1026" s="59" t="str">
        <x:v>待确认</x:v>
      </x:c>
    </x:row>
    <x:row r="1027">
      <x:c r="A1027" s="56" t="str">
        <x:v>P026</x:v>
      </x:c>
      <x:c r="B1027" s="56" t="str">
        <x:v>HX-ADD-014</x:v>
      </x:c>
      <x:c r="C1027" s="56" t="str">
        <x:v>risk</x:v>
      </x:c>
      <x:c r="D1027" s="56" t="n">
        <x:v>40</x:v>
      </x:c>
      <x:c r="E1027" s="56" t="str">
        <x:v>risk.gynecologic_contamination</x:v>
      </x:c>
      <x:c r="F1027" s="56" t="str">
        <x:v>gynecologic_contamination</x:v>
      </x:c>
      <x:c r="G1027" s="56" t="n">
        <x:v>8</x:v>
      </x:c>
      <x:c r="H1027" s="56" t="str">
        <x:v>普通得分项</x:v>
      </x:c>
      <x:c r="I1027" s="56" t="str">
        <x:v>否</x:v>
      </x:c>
      <x:c r="J1027" s="56" t="str">
        <x:v>否</x:v>
      </x:c>
      <x:c r="K1027" s="56" t="str">
        <x:v>否</x:v>
      </x:c>
      <x:c r="L1027" s="56" t="str">
        <x:v>按结构化事件证据给予0/部分/满分；不能由总结反推已完成</x:v>
      </x:c>
      <x:c r="M1027" s="56" t="str"/>
      <x:c r="N1027" s="56" t="n">
        <x:f>SUMIFS($G$4:$G$1673,$A$4:$A$1673,A1027)</x:f>
        <x:v>360</x:v>
      </x:c>
      <x:c r="O1027" s="56" t="str">
        <x:f>IF(N1027=360,"通过","失败")</x:f>
        <x:v>通过</x:v>
      </x:c>
      <x:c r="P1027" s="56" t="str"/>
      <x:c r="Q1027" s="59" t="str">
        <x:v>待确认</x:v>
      </x:c>
    </x:row>
    <x:row r="1028">
      <x:c r="A1028" s="56" t="str">
        <x:v>P026</x:v>
      </x:c>
      <x:c r="B1028" s="56" t="str">
        <x:v>HX-ADD-014</x:v>
      </x:c>
      <x:c r="C1028" s="56" t="str">
        <x:v>exam</x:v>
      </x:c>
      <x:c r="D1028" s="56" t="n">
        <x:v>35</x:v>
      </x:c>
      <x:c r="E1028" s="56" t="str">
        <x:v>exam.temperature</x:v>
      </x:c>
      <x:c r="F1028" s="56" t="str">
        <x:v>体温</x:v>
      </x:c>
      <x:c r="G1028" s="56" t="n">
        <x:v>12</x:v>
      </x:c>
      <x:c r="H1028" s="56" t="str">
        <x:v>普通得分项</x:v>
      </x:c>
      <x:c r="I1028" s="56" t="str">
        <x:v>否</x:v>
      </x:c>
      <x:c r="J1028" s="56" t="str">
        <x:v>否</x:v>
      </x:c>
      <x:c r="K1028" s="56" t="str">
        <x:v>否</x:v>
      </x:c>
      <x:c r="L1028" s="56" t="str">
        <x:v>按结构化事件证据给予0/部分/满分；不能由总结反推已完成</x:v>
      </x:c>
      <x:c r="M1028" s="56" t="str"/>
      <x:c r="N1028" s="56" t="n">
        <x:f>SUMIFS($G$4:$G$1673,$A$4:$A$1673,A1028)</x:f>
        <x:v>360</x:v>
      </x:c>
      <x:c r="O1028" s="56" t="str">
        <x:f>IF(N1028=360,"通过","失败")</x:f>
        <x:v>通过</x:v>
      </x:c>
      <x:c r="P1028" s="56" t="str"/>
      <x:c r="Q1028" s="59" t="str">
        <x:v>待确认</x:v>
      </x:c>
    </x:row>
    <x:row r="1029">
      <x:c r="A1029" s="56" t="str">
        <x:v>P026</x:v>
      </x:c>
      <x:c r="B1029" s="56" t="str">
        <x:v>HX-ADD-014</x:v>
      </x:c>
      <x:c r="C1029" s="56" t="str">
        <x:v>exam</x:v>
      </x:c>
      <x:c r="D1029" s="56" t="n">
        <x:v>35</x:v>
      </x:c>
      <x:c r="E1029" s="56" t="str">
        <x:v>exam.blood_pressure</x:v>
      </x:c>
      <x:c r="F1029" s="56" t="str">
        <x:v>血压</x:v>
      </x:c>
      <x:c r="G1029" s="56" t="n">
        <x:v>12</x:v>
      </x:c>
      <x:c r="H1029" s="56" t="str">
        <x:v>普通得分项</x:v>
      </x:c>
      <x:c r="I1029" s="56" t="str">
        <x:v>否</x:v>
      </x:c>
      <x:c r="J1029" s="56" t="str">
        <x:v>否</x:v>
      </x:c>
      <x:c r="K1029" s="56" t="str">
        <x:v>否</x:v>
      </x:c>
      <x:c r="L1029" s="56" t="str">
        <x:v>按结构化事件证据给予0/部分/满分；不能由总结反推已完成</x:v>
      </x:c>
      <x:c r="M1029" s="56" t="str"/>
      <x:c r="N1029" s="56" t="n">
        <x:f>SUMIFS($G$4:$G$1673,$A$4:$A$1673,A1029)</x:f>
        <x:v>360</x:v>
      </x:c>
      <x:c r="O1029" s="56" t="str">
        <x:f>IF(N1029=360,"通过","失败")</x:f>
        <x:v>通过</x:v>
      </x:c>
      <x:c r="P1029" s="56" t="str"/>
      <x:c r="Q1029" s="59" t="str">
        <x:v>待确认</x:v>
      </x:c>
    </x:row>
    <x:row r="1030">
      <x:c r="A1030" s="56" t="str">
        <x:v>P026</x:v>
      </x:c>
      <x:c r="B1030" s="56" t="str">
        <x:v>HX-ADD-014</x:v>
      </x:c>
      <x:c r="C1030" s="56" t="str">
        <x:v>exam</x:v>
      </x:c>
      <x:c r="D1030" s="56" t="n">
        <x:v>35</x:v>
      </x:c>
      <x:c r="E1030" s="56" t="str">
        <x:v>exam.targeted</x:v>
      </x:c>
      <x:c r="F1030" s="56" t="str">
        <x:v>病例针对性查体</x:v>
      </x:c>
      <x:c r="G1030" s="56" t="n">
        <x:v>11</x:v>
      </x:c>
      <x:c r="H1030" s="56" t="str">
        <x:v>普通得分项</x:v>
      </x:c>
      <x:c r="I1030" s="56" t="str">
        <x:v>否</x:v>
      </x:c>
      <x:c r="J1030" s="56" t="str">
        <x:v>否</x:v>
      </x:c>
      <x:c r="K1030" s="56" t="str">
        <x:v>否</x:v>
      </x:c>
      <x:c r="L1030" s="56" t="str">
        <x:v>按结构化事件证据给予0/部分/满分；不能由总结反推已完成</x:v>
      </x:c>
      <x:c r="M1030" s="56" t="str"/>
      <x:c r="N1030" s="56" t="n">
        <x:f>SUMIFS($G$4:$G$1673,$A$4:$A$1673,A1030)</x:f>
        <x:v>360</x:v>
      </x:c>
      <x:c r="O1030" s="56" t="str">
        <x:f>IF(N1030=360,"通过","失败")</x:f>
        <x:v>通过</x:v>
      </x:c>
      <x:c r="P1030" s="56" t="str"/>
      <x:c r="Q1030" s="59" t="str">
        <x:v>待确认</x:v>
      </x:c>
    </x:row>
    <x:row r="1031">
      <x:c r="A1031" s="56" t="str">
        <x:v>P026</x:v>
      </x:c>
      <x:c r="B1031" s="56" t="str">
        <x:v>HX-ADD-014</x:v>
      </x:c>
      <x:c r="C1031" s="56" t="str">
        <x:v>diagnosis</x:v>
      </x:c>
      <x:c r="D1031" s="56" t="n">
        <x:v>45</x:v>
      </x:c>
      <x:c r="E1031" s="56" t="str">
        <x:v>diagnosis.primary</x:v>
      </x:c>
      <x:c r="F1031" s="56" t="str">
        <x:v>最可能诊断及依据</x:v>
      </x:c>
      <x:c r="G1031" s="56" t="n">
        <x:v>15</x:v>
      </x:c>
      <x:c r="H1031" s="56" t="str">
        <x:v>普通得分项</x:v>
      </x:c>
      <x:c r="I1031" s="56" t="str">
        <x:v>否</x:v>
      </x:c>
      <x:c r="J1031" s="56" t="str">
        <x:v>否</x:v>
      </x:c>
      <x:c r="K1031" s="56" t="str">
        <x:v>否</x:v>
      </x:c>
      <x:c r="L1031" s="56" t="str">
        <x:v>按结构化事件证据给予0/部分/满分；不能由总结反推已完成</x:v>
      </x:c>
      <x:c r="M1031" s="56" t="str"/>
      <x:c r="N1031" s="56" t="n">
        <x:f>SUMIFS($G$4:$G$1673,$A$4:$A$1673,A1031)</x:f>
        <x:v>360</x:v>
      </x:c>
      <x:c r="O1031" s="56" t="str">
        <x:f>IF(N1031=360,"通过","失败")</x:f>
        <x:v>通过</x:v>
      </x:c>
      <x:c r="P1031" s="56" t="str"/>
      <x:c r="Q1031" s="59" t="str">
        <x:v>待确认</x:v>
      </x:c>
    </x:row>
    <x:row r="1032">
      <x:c r="A1032" s="56" t="str">
        <x:v>P026</x:v>
      </x:c>
      <x:c r="B1032" s="56" t="str">
        <x:v>HX-ADD-014</x:v>
      </x:c>
      <x:c r="C1032" s="56" t="str">
        <x:v>diagnosis</x:v>
      </x:c>
      <x:c r="D1032" s="56" t="n">
        <x:v>45</x:v>
      </x:c>
      <x:c r="E1032" s="56" t="str">
        <x:v>diagnosis.differentials</x:v>
      </x:c>
      <x:c r="F1032" s="56" t="str">
        <x:v>至少3项鉴别及支持/反对点</x:v>
      </x:c>
      <x:c r="G1032" s="56" t="n">
        <x:v>15</x:v>
      </x:c>
      <x:c r="H1032" s="56" t="str">
        <x:v>普通得分项</x:v>
      </x:c>
      <x:c r="I1032" s="56" t="str">
        <x:v>否</x:v>
      </x:c>
      <x:c r="J1032" s="56" t="str">
        <x:v>否</x:v>
      </x:c>
      <x:c r="K1032" s="56" t="str">
        <x:v>否</x:v>
      </x:c>
      <x:c r="L1032" s="56" t="str">
        <x:v>按结构化事件证据给予0/部分/满分；不能由总结反推已完成</x:v>
      </x:c>
      <x:c r="M1032" s="56" t="str"/>
      <x:c r="N1032" s="56" t="n">
        <x:f>SUMIFS($G$4:$G$1673,$A$4:$A$1673,A1032)</x:f>
        <x:v>360</x:v>
      </x:c>
      <x:c r="O1032" s="56" t="str">
        <x:f>IF(N1032=360,"通过","失败")</x:f>
        <x:v>通过</x:v>
      </x:c>
      <x:c r="P1032" s="56" t="str"/>
      <x:c r="Q1032" s="59" t="str">
        <x:v>待确认</x:v>
      </x:c>
    </x:row>
    <x:row r="1033">
      <x:c r="A1033" s="56" t="str">
        <x:v>P026</x:v>
      </x:c>
      <x:c r="B1033" s="56" t="str">
        <x:v>HX-ADD-014</x:v>
      </x:c>
      <x:c r="C1033" s="56" t="str">
        <x:v>diagnosis</x:v>
      </x:c>
      <x:c r="D1033" s="56" t="n">
        <x:v>45</x:v>
      </x:c>
      <x:c r="E1033" s="56" t="str">
        <x:v>diagnosis.confirmation</x:v>
      </x:c>
      <x:c r="F1033" s="56" t="str">
        <x:v>确认计划</x:v>
      </x:c>
      <x:c r="G1033" s="56" t="n">
        <x:v>15</x:v>
      </x:c>
      <x:c r="H1033" s="56" t="str">
        <x:v>普通得分项</x:v>
      </x:c>
      <x:c r="I1033" s="56" t="str">
        <x:v>否</x:v>
      </x:c>
      <x:c r="J1033" s="56" t="str">
        <x:v>否</x:v>
      </x:c>
      <x:c r="K1033" s="56" t="str">
        <x:v>否</x:v>
      </x:c>
      <x:c r="L1033" s="56" t="str">
        <x:v>按结构化事件证据给予0/部分/满分；不能由总结反推已完成</x:v>
      </x:c>
      <x:c r="M1033" s="56" t="str"/>
      <x:c r="N1033" s="56" t="n">
        <x:f>SUMIFS($G$4:$G$1673,$A$4:$A$1673,A1033)</x:f>
        <x:v>360</x:v>
      </x:c>
      <x:c r="O1033" s="56" t="str">
        <x:f>IF(N1033=360,"通过","失败")</x:f>
        <x:v>通过</x:v>
      </x:c>
      <x:c r="P1033" s="56" t="str"/>
      <x:c r="Q1033" s="59" t="str">
        <x:v>待确认</x:v>
      </x:c>
    </x:row>
    <x:row r="1034">
      <x:c r="A1034" s="56" t="str">
        <x:v>P026</x:v>
      </x:c>
      <x:c r="B1034" s="56" t="str">
        <x:v>HX-ADD-014</x:v>
      </x:c>
      <x:c r="C1034" s="56" t="str">
        <x:v>orders</x:v>
      </x:c>
      <x:c r="D1034" s="56" t="n">
        <x:v>55</x:v>
      </x:c>
      <x:c r="E1034" s="56" t="str">
        <x:v>orders.LAB-UR-001</x:v>
      </x:c>
      <x:c r="F1034" s="56" t="str">
        <x:v>LAB-UR-001</x:v>
      </x:c>
      <x:c r="G1034" s="56" t="n">
        <x:v>11</x:v>
      </x:c>
      <x:c r="H1034" s="56" t="str">
        <x:v>病例特异得分项</x:v>
      </x:c>
      <x:c r="I1034" s="56" t="str">
        <x:v>否</x:v>
      </x:c>
      <x:c r="J1034" s="56" t="str">
        <x:v>否</x:v>
      </x:c>
      <x:c r="K1034" s="56" t="str">
        <x:v>否</x:v>
      </x:c>
      <x:c r="L1034" s="56" t="str">
        <x:v>按结构化事件证据给予0/部分/满分；不能由总结反推已完成</x:v>
      </x:c>
      <x:c r="M1034" s="56" t="str"/>
      <x:c r="N1034" s="56" t="n">
        <x:f>SUMIFS($G$4:$G$1673,$A$4:$A$1673,A1034)</x:f>
        <x:v>360</x:v>
      </x:c>
      <x:c r="O1034" s="56" t="str">
        <x:f>IF(N1034=360,"通过","失败")</x:f>
        <x:v>通过</x:v>
      </x:c>
      <x:c r="P1034" s="56" t="str"/>
      <x:c r="Q1034" s="59" t="str">
        <x:v>待确认</x:v>
      </x:c>
    </x:row>
    <x:row r="1035">
      <x:c r="A1035" s="56" t="str">
        <x:v>P026</x:v>
      </x:c>
      <x:c r="B1035" s="56" t="str">
        <x:v>HX-ADD-014</x:v>
      </x:c>
      <x:c r="C1035" s="56" t="str">
        <x:v>orders</x:v>
      </x:c>
      <x:c r="D1035" s="56" t="n">
        <x:v>55</x:v>
      </x:c>
      <x:c r="E1035" s="56" t="str">
        <x:v>orders.LAB-UR-002</x:v>
      </x:c>
      <x:c r="F1035" s="56" t="str">
        <x:v>LAB-UR-002</x:v>
      </x:c>
      <x:c r="G1035" s="56" t="n">
        <x:v>11</x:v>
      </x:c>
      <x:c r="H1035" s="56" t="str">
        <x:v>病例特异得分项</x:v>
      </x:c>
      <x:c r="I1035" s="56" t="str">
        <x:v>否</x:v>
      </x:c>
      <x:c r="J1035" s="56" t="str">
        <x:v>否</x:v>
      </x:c>
      <x:c r="K1035" s="56" t="str">
        <x:v>否</x:v>
      </x:c>
      <x:c r="L1035" s="56" t="str">
        <x:v>按结构化事件证据给予0/部分/满分；不能由总结反推已完成</x:v>
      </x:c>
      <x:c r="M1035" s="56" t="str"/>
      <x:c r="N1035" s="56" t="n">
        <x:f>SUMIFS($G$4:$G$1673,$A$4:$A$1673,A1035)</x:f>
        <x:v>360</x:v>
      </x:c>
      <x:c r="O1035" s="56" t="str">
        <x:f>IF(N1035=360,"通过","失败")</x:f>
        <x:v>通过</x:v>
      </x:c>
      <x:c r="P1035" s="56" t="str"/>
      <x:c r="Q1035" s="59" t="str">
        <x:v>待确认</x:v>
      </x:c>
    </x:row>
    <x:row r="1036">
      <x:c r="A1036" s="56" t="str">
        <x:v>P026</x:v>
      </x:c>
      <x:c r="B1036" s="56" t="str">
        <x:v>HX-ADD-014</x:v>
      </x:c>
      <x:c r="C1036" s="56" t="str">
        <x:v>orders</x:v>
      </x:c>
      <x:c r="D1036" s="56" t="n">
        <x:v>55</x:v>
      </x:c>
      <x:c r="E1036" s="56" t="str">
        <x:v>orders.LAB-BL-003</x:v>
      </x:c>
      <x:c r="F1036" s="56" t="str">
        <x:v>LAB-BL-003</x:v>
      </x:c>
      <x:c r="G1036" s="56" t="n">
        <x:v>11</x:v>
      </x:c>
      <x:c r="H1036" s="56" t="str">
        <x:v>病例特异得分项</x:v>
      </x:c>
      <x:c r="I1036" s="56" t="str">
        <x:v>否</x:v>
      </x:c>
      <x:c r="J1036" s="56" t="str">
        <x:v>否</x:v>
      </x:c>
      <x:c r="K1036" s="56" t="str">
        <x:v>否</x:v>
      </x:c>
      <x:c r="L1036" s="56" t="str">
        <x:v>按结构化事件证据给予0/部分/满分；不能由总结反推已完成</x:v>
      </x:c>
      <x:c r="M1036" s="56" t="str"/>
      <x:c r="N1036" s="56" t="n">
        <x:f>SUMIFS($G$4:$G$1673,$A$4:$A$1673,A1036)</x:f>
        <x:v>360</x:v>
      </x:c>
      <x:c r="O1036" s="56" t="str">
        <x:f>IF(N1036=360,"通过","失败")</x:f>
        <x:v>通过</x:v>
      </x:c>
      <x:c r="P1036" s="56" t="str"/>
      <x:c r="Q1036" s="59" t="str">
        <x:v>待确认</x:v>
      </x:c>
    </x:row>
    <x:row r="1037">
      <x:c r="A1037" s="56" t="str">
        <x:v>P026</x:v>
      </x:c>
      <x:c r="B1037" s="56" t="str">
        <x:v>HX-ADD-014</x:v>
      </x:c>
      <x:c r="C1037" s="56" t="str">
        <x:v>orders</x:v>
      </x:c>
      <x:c r="D1037" s="56" t="n">
        <x:v>55</x:v>
      </x:c>
      <x:c r="E1037" s="56" t="str">
        <x:v>orders.IMG-CT-001</x:v>
      </x:c>
      <x:c r="F1037" s="56" t="str">
        <x:v>IMG-CT-001</x:v>
      </x:c>
      <x:c r="G1037" s="56" t="n">
        <x:v>11</x:v>
      </x:c>
      <x:c r="H1037" s="56" t="str">
        <x:v>病例特异得分项</x:v>
      </x:c>
      <x:c r="I1037" s="56" t="str">
        <x:v>否</x:v>
      </x:c>
      <x:c r="J1037" s="56" t="str">
        <x:v>否</x:v>
      </x:c>
      <x:c r="K1037" s="56" t="str">
        <x:v>否</x:v>
      </x:c>
      <x:c r="L1037" s="56" t="str">
        <x:v>按结构化事件证据给予0/部分/满分；不能由总结反推已完成</x:v>
      </x:c>
      <x:c r="M1037" s="56" t="str"/>
      <x:c r="N1037" s="56" t="n">
        <x:f>SUMIFS($G$4:$G$1673,$A$4:$A$1673,A1037)</x:f>
        <x:v>360</x:v>
      </x:c>
      <x:c r="O1037" s="56" t="str">
        <x:f>IF(N1037=360,"通过","失败")</x:f>
        <x:v>通过</x:v>
      </x:c>
      <x:c r="P1037" s="56" t="str"/>
      <x:c r="Q1037" s="59" t="str">
        <x:v>待确认</x:v>
      </x:c>
    </x:row>
    <x:row r="1038">
      <x:c r="A1038" s="56" t="str">
        <x:v>P026</x:v>
      </x:c>
      <x:c r="B1038" s="56" t="str">
        <x:v>HX-ADD-014</x:v>
      </x:c>
      <x:c r="C1038" s="56" t="str">
        <x:v>orders</x:v>
      </x:c>
      <x:c r="D1038" s="56" t="n">
        <x:v>55</x:v>
      </x:c>
      <x:c r="E1038" s="56" t="str">
        <x:v>orders.IMG-US-001</x:v>
      </x:c>
      <x:c r="F1038" s="56" t="str">
        <x:v>IMG-US-001</x:v>
      </x:c>
      <x:c r="G1038" s="56" t="n">
        <x:v>11</x:v>
      </x:c>
      <x:c r="H1038" s="56" t="str">
        <x:v>病例特异得分项</x:v>
      </x:c>
      <x:c r="I1038" s="56" t="str">
        <x:v>否</x:v>
      </x:c>
      <x:c r="J1038" s="56" t="str">
        <x:v>否</x:v>
      </x:c>
      <x:c r="K1038" s="56" t="str">
        <x:v>否</x:v>
      </x:c>
      <x:c r="L1038" s="56" t="str">
        <x:v>按结构化事件证据给予0/部分/满分；不能由总结反推已完成</x:v>
      </x:c>
      <x:c r="M1038" s="56" t="str"/>
      <x:c r="N1038" s="56" t="n">
        <x:f>SUMIFS($G$4:$G$1673,$A$4:$A$1673,A1038)</x:f>
        <x:v>360</x:v>
      </x:c>
      <x:c r="O1038" s="56" t="str">
        <x:f>IF(N1038=360,"通过","失败")</x:f>
        <x:v>通过</x:v>
      </x:c>
      <x:c r="P1038" s="56" t="str"/>
      <x:c r="Q1038" s="59" t="str">
        <x:v>待确认</x:v>
      </x:c>
    </x:row>
    <x:row r="1039">
      <x:c r="A1039" s="56" t="str">
        <x:v>P026</x:v>
      </x:c>
      <x:c r="B1039" s="56" t="str">
        <x:v>HX-ADD-014</x:v>
      </x:c>
      <x:c r="C1039" s="56" t="str">
        <x:v>mdt</x:v>
      </x:c>
      <x:c r="D1039" s="56" t="n">
        <x:v>45</x:v>
      </x:c>
      <x:c r="E1039" s="56" t="str">
        <x:v>mdt.department</x:v>
      </x:c>
      <x:c r="F1039" s="56" t="str">
        <x:v>department</x:v>
      </x:c>
      <x:c r="G1039" s="56" t="n">
        <x:v>12</x:v>
      </x:c>
      <x:c r="H1039" s="56" t="str">
        <x:v>病例特异得分项</x:v>
      </x:c>
      <x:c r="I1039" s="56" t="str">
        <x:v>否</x:v>
      </x:c>
      <x:c r="J1039" s="56" t="str">
        <x:v>否</x:v>
      </x:c>
      <x:c r="K1039" s="56" t="str">
        <x:v>否</x:v>
      </x:c>
      <x:c r="L1039" s="56" t="str">
        <x:v>按结构化事件证据给予0/部分/满分；不能由总结反推已完成</x:v>
      </x:c>
      <x:c r="M1039" s="56" t="str"/>
      <x:c r="N1039" s="56" t="n">
        <x:f>SUMIFS($G$4:$G$1673,$A$4:$A$1673,A1039)</x:f>
        <x:v>360</x:v>
      </x:c>
      <x:c r="O1039" s="56" t="str">
        <x:f>IF(N1039=360,"通过","失败")</x:f>
        <x:v>通过</x:v>
      </x:c>
      <x:c r="P1039" s="56" t="str"/>
      <x:c r="Q1039" s="59" t="str">
        <x:v>待确认</x:v>
      </x:c>
    </x:row>
    <x:row r="1040">
      <x:c r="A1040" s="56" t="str">
        <x:v>P026</x:v>
      </x:c>
      <x:c r="B1040" s="56" t="str">
        <x:v>HX-ADD-014</x:v>
      </x:c>
      <x:c r="C1040" s="56" t="str">
        <x:v>mdt</x:v>
      </x:c>
      <x:c r="D1040" s="56" t="n">
        <x:v>45</x:v>
      </x:c>
      <x:c r="E1040" s="56" t="str">
        <x:v>mdt.trigger</x:v>
      </x:c>
      <x:c r="F1040" s="56" t="str">
        <x:v>trigger</x:v>
      </x:c>
      <x:c r="G1040" s="56" t="n">
        <x:v>11</x:v>
      </x:c>
      <x:c r="H1040" s="56" t="str">
        <x:v>病例特异得分项</x:v>
      </x:c>
      <x:c r="I1040" s="56" t="str">
        <x:v>否</x:v>
      </x:c>
      <x:c r="J1040" s="56" t="str">
        <x:v>否</x:v>
      </x:c>
      <x:c r="K1040" s="56" t="str">
        <x:v>否</x:v>
      </x:c>
      <x:c r="L1040" s="56" t="str">
        <x:v>按结构化事件证据给予0/部分/满分；不能由总结反推已完成</x:v>
      </x:c>
      <x:c r="M1040" s="56" t="str"/>
      <x:c r="N1040" s="56" t="n">
        <x:f>SUMIFS($G$4:$G$1673,$A$4:$A$1673,A1040)</x:f>
        <x:v>360</x:v>
      </x:c>
      <x:c r="O1040" s="56" t="str">
        <x:f>IF(N1040=360,"通过","失败")</x:f>
        <x:v>通过</x:v>
      </x:c>
      <x:c r="P1040" s="56" t="str"/>
      <x:c r="Q1040" s="59" t="str">
        <x:v>待确认</x:v>
      </x:c>
    </x:row>
    <x:row r="1041">
      <x:c r="A1041" s="56" t="str">
        <x:v>P026</x:v>
      </x:c>
      <x:c r="B1041" s="56" t="str">
        <x:v>HX-ADD-014</x:v>
      </x:c>
      <x:c r="C1041" s="56" t="str">
        <x:v>mdt</x:v>
      </x:c>
      <x:c r="D1041" s="56" t="n">
        <x:v>45</x:v>
      </x:c>
      <x:c r="E1041" s="56" t="str">
        <x:v>mdt.question</x:v>
      </x:c>
      <x:c r="F1041" s="56" t="str">
        <x:v>question</x:v>
      </x:c>
      <x:c r="G1041" s="56" t="n">
        <x:v>11</x:v>
      </x:c>
      <x:c r="H1041" s="56" t="str">
        <x:v>病例特异得分项</x:v>
      </x:c>
      <x:c r="I1041" s="56" t="str">
        <x:v>否</x:v>
      </x:c>
      <x:c r="J1041" s="56" t="str">
        <x:v>否</x:v>
      </x:c>
      <x:c r="K1041" s="56" t="str">
        <x:v>否</x:v>
      </x:c>
      <x:c r="L1041" s="56" t="str">
        <x:v>按结构化事件证据给予0/部分/满分；不能由总结反推已完成</x:v>
      </x:c>
      <x:c r="M1041" s="56" t="str"/>
      <x:c r="N1041" s="56" t="n">
        <x:f>SUMIFS($G$4:$G$1673,$A$4:$A$1673,A1041)</x:f>
        <x:v>360</x:v>
      </x:c>
      <x:c r="O1041" s="56" t="str">
        <x:f>IF(N1041=360,"通过","失败")</x:f>
        <x:v>通过</x:v>
      </x:c>
      <x:c r="P1041" s="56" t="str"/>
      <x:c r="Q1041" s="59" t="str">
        <x:v>待确认</x:v>
      </x:c>
    </x:row>
    <x:row r="1042">
      <x:c r="A1042" s="56" t="str">
        <x:v>P026</x:v>
      </x:c>
      <x:c r="B1042" s="56" t="str">
        <x:v>HX-ADD-014</x:v>
      </x:c>
      <x:c r="C1042" s="56" t="str">
        <x:v>mdt</x:v>
      </x:c>
      <x:c r="D1042" s="56" t="n">
        <x:v>45</x:v>
      </x:c>
      <x:c r="E1042" s="56" t="str">
        <x:v>mdt.evidence</x:v>
      </x:c>
      <x:c r="F1042" s="56" t="str">
        <x:v>evidence</x:v>
      </x:c>
      <x:c r="G1042" s="56" t="n">
        <x:v>11</x:v>
      </x:c>
      <x:c r="H1042" s="56" t="str">
        <x:v>病例特异得分项</x:v>
      </x:c>
      <x:c r="I1042" s="56" t="str">
        <x:v>否</x:v>
      </x:c>
      <x:c r="J1042" s="56" t="str">
        <x:v>否</x:v>
      </x:c>
      <x:c r="K1042" s="56" t="str">
        <x:v>否</x:v>
      </x:c>
      <x:c r="L1042" s="56" t="str">
        <x:v>按结构化事件证据给予0/部分/满分；不能由总结反推已完成</x:v>
      </x:c>
      <x:c r="M1042" s="56" t="str"/>
      <x:c r="N1042" s="56" t="n">
        <x:f>SUMIFS($G$4:$G$1673,$A$4:$A$1673,A1042)</x:f>
        <x:v>360</x:v>
      </x:c>
      <x:c r="O1042" s="56" t="str">
        <x:f>IF(N1042=360,"通过","失败")</x:f>
        <x:v>通过</x:v>
      </x:c>
      <x:c r="P1042" s="56" t="str"/>
      <x:c r="Q1042" s="59" t="str">
        <x:v>待确认</x:v>
      </x:c>
    </x:row>
    <x:row r="1043">
      <x:c r="A1043" s="56" t="str">
        <x:v>P026</x:v>
      </x:c>
      <x:c r="B1043" s="56" t="str">
        <x:v>HX-ADD-014</x:v>
      </x:c>
      <x:c r="C1043" s="56" t="str">
        <x:v>treatment</x:v>
      </x:c>
      <x:c r="D1043" s="56" t="n">
        <x:v>50</x:v>
      </x:c>
      <x:c r="E1043" s="56" t="str">
        <x:v>treatment.immediate</x:v>
      </x:c>
      <x:c r="F1043" s="56" t="str">
        <x:v>immediate</x:v>
      </x:c>
      <x:c r="G1043" s="56" t="n">
        <x:v>13</x:v>
      </x:c>
      <x:c r="H1043" s="56" t="str">
        <x:v>病例特异得分项</x:v>
      </x:c>
      <x:c r="I1043" s="56" t="str">
        <x:v>否</x:v>
      </x:c>
      <x:c r="J1043" s="56" t="str">
        <x:v>否</x:v>
      </x:c>
      <x:c r="K1043" s="56" t="str">
        <x:v>否</x:v>
      </x:c>
      <x:c r="L1043" s="56" t="str">
        <x:v>按结构化事件证据给予0/部分/满分；不能由总结反推已完成</x:v>
      </x:c>
      <x:c r="M1043" s="56" t="str"/>
      <x:c r="N1043" s="56" t="n">
        <x:f>SUMIFS($G$4:$G$1673,$A$4:$A$1673,A1043)</x:f>
        <x:v>360</x:v>
      </x:c>
      <x:c r="O1043" s="56" t="str">
        <x:f>IF(N1043=360,"通过","失败")</x:f>
        <x:v>通过</x:v>
      </x:c>
      <x:c r="P1043" s="56" t="str"/>
      <x:c r="Q1043" s="59" t="str">
        <x:v>待确认</x:v>
      </x:c>
    </x:row>
    <x:row r="1044">
      <x:c r="A1044" s="56" t="str">
        <x:v>P026</x:v>
      </x:c>
      <x:c r="B1044" s="56" t="str">
        <x:v>HX-ADD-014</x:v>
      </x:c>
      <x:c r="C1044" s="56" t="str">
        <x:v>treatment</x:v>
      </x:c>
      <x:c r="D1044" s="56" t="n">
        <x:v>50</x:v>
      </x:c>
      <x:c r="E1044" s="56" t="str">
        <x:v>treatment.etiologic</x:v>
      </x:c>
      <x:c r="F1044" s="56" t="str">
        <x:v>etiologic</x:v>
      </x:c>
      <x:c r="G1044" s="56" t="n">
        <x:v>13</x:v>
      </x:c>
      <x:c r="H1044" s="56" t="str">
        <x:v>病例特异得分项</x:v>
      </x:c>
      <x:c r="I1044" s="56" t="str">
        <x:v>否</x:v>
      </x:c>
      <x:c r="J1044" s="56" t="str">
        <x:v>否</x:v>
      </x:c>
      <x:c r="K1044" s="56" t="str">
        <x:v>否</x:v>
      </x:c>
      <x:c r="L1044" s="56" t="str">
        <x:v>按结构化事件证据给予0/部分/满分；不能由总结反推已完成</x:v>
      </x:c>
      <x:c r="M1044" s="56" t="str"/>
      <x:c r="N1044" s="56" t="n">
        <x:f>SUMIFS($G$4:$G$1673,$A$4:$A$1673,A1044)</x:f>
        <x:v>360</x:v>
      </x:c>
      <x:c r="O1044" s="56" t="str">
        <x:f>IF(N1044=360,"通过","失败")</x:f>
        <x:v>通过</x:v>
      </x:c>
      <x:c r="P1044" s="56" t="str"/>
      <x:c r="Q1044" s="59" t="str">
        <x:v>待确认</x:v>
      </x:c>
    </x:row>
    <x:row r="1045">
      <x:c r="A1045" s="56" t="str">
        <x:v>P026</x:v>
      </x:c>
      <x:c r="B1045" s="56" t="str">
        <x:v>HX-ADD-014</x:v>
      </x:c>
      <x:c r="C1045" s="56" t="str">
        <x:v>treatment</x:v>
      </x:c>
      <x:c r="D1045" s="56" t="n">
        <x:v>50</x:v>
      </x:c>
      <x:c r="E1045" s="56" t="str">
        <x:v>treatment.definitive</x:v>
      </x:c>
      <x:c r="F1045" s="56" t="str">
        <x:v>definitive</x:v>
      </x:c>
      <x:c r="G1045" s="56" t="n">
        <x:v>12</x:v>
      </x:c>
      <x:c r="H1045" s="56" t="str">
        <x:v>病例特异得分项</x:v>
      </x:c>
      <x:c r="I1045" s="56" t="str">
        <x:v>否</x:v>
      </x:c>
      <x:c r="J1045" s="56" t="str">
        <x:v>否</x:v>
      </x:c>
      <x:c r="K1045" s="56" t="str">
        <x:v>否</x:v>
      </x:c>
      <x:c r="L1045" s="56" t="str">
        <x:v>按结构化事件证据给予0/部分/满分；不能由总结反推已完成</x:v>
      </x:c>
      <x:c r="M1045" s="56" t="str"/>
      <x:c r="N1045" s="56" t="n">
        <x:f>SUMIFS($G$4:$G$1673,$A$4:$A$1673,A1045)</x:f>
        <x:v>360</x:v>
      </x:c>
      <x:c r="O1045" s="56" t="str">
        <x:f>IF(N1045=360,"通过","失败")</x:f>
        <x:v>通过</x:v>
      </x:c>
      <x:c r="P1045" s="56" t="str"/>
      <x:c r="Q1045" s="59" t="str">
        <x:v>待确认</x:v>
      </x:c>
    </x:row>
    <x:row r="1046">
      <x:c r="A1046" s="56" t="str">
        <x:v>P026</x:v>
      </x:c>
      <x:c r="B1046" s="56" t="str">
        <x:v>HX-ADD-014</x:v>
      </x:c>
      <x:c r="C1046" s="56" t="str">
        <x:v>treatment</x:v>
      </x:c>
      <x:c r="D1046" s="56" t="n">
        <x:v>50</x:v>
      </x:c>
      <x:c r="E1046" s="56" t="str">
        <x:v>treatment.perioperative</x:v>
      </x:c>
      <x:c r="F1046" s="56" t="str">
        <x:v>perioperative</x:v>
      </x:c>
      <x:c r="G1046" s="56" t="n">
        <x:v>12</x:v>
      </x:c>
      <x:c r="H1046" s="56" t="str">
        <x:v>病例特异得分项</x:v>
      </x:c>
      <x:c r="I1046" s="56" t="str">
        <x:v>否</x:v>
      </x:c>
      <x:c r="J1046" s="56" t="str">
        <x:v>否</x:v>
      </x:c>
      <x:c r="K1046" s="56" t="str">
        <x:v>否</x:v>
      </x:c>
      <x:c r="L1046" s="56" t="str">
        <x:v>按结构化事件证据给予0/部分/满分；不能由总结反推已完成</x:v>
      </x:c>
      <x:c r="M1046" s="56" t="str"/>
      <x:c r="N1046" s="56" t="n">
        <x:f>SUMIFS($G$4:$G$1673,$A$4:$A$1673,A1046)</x:f>
        <x:v>360</x:v>
      </x:c>
      <x:c r="O1046" s="56" t="str">
        <x:f>IF(N1046=360,"通过","失败")</x:f>
        <x:v>通过</x:v>
      </x:c>
      <x:c r="P1046" s="56" t="str"/>
      <x:c r="Q1046" s="59" t="str">
        <x:v>待确认</x:v>
      </x:c>
    </x:row>
    <x:row r="1047">
      <x:c r="A1047" s="56" t="str">
        <x:v>P026</x:v>
      </x:c>
      <x:c r="B1047" s="56" t="str">
        <x:v>HX-ADD-014</x:v>
      </x:c>
      <x:c r="C1047" s="56" t="str">
        <x:v>followup</x:v>
      </x:c>
      <x:c r="D1047" s="56" t="n">
        <x:v>40</x:v>
      </x:c>
      <x:c r="E1047" s="56" t="str">
        <x:v>followup.plan</x:v>
      </x:c>
      <x:c r="F1047" s="56" t="str">
        <x:v>随访复查</x:v>
      </x:c>
      <x:c r="G1047" s="56" t="n">
        <x:v>10</x:v>
      </x:c>
      <x:c r="H1047" s="56" t="str">
        <x:v>普通得分项</x:v>
      </x:c>
      <x:c r="I1047" s="56" t="str">
        <x:v>否</x:v>
      </x:c>
      <x:c r="J1047" s="56" t="str">
        <x:v>否</x:v>
      </x:c>
      <x:c r="K1047" s="56" t="str">
        <x:v>否</x:v>
      </x:c>
      <x:c r="L1047" s="56" t="str">
        <x:v>按结构化事件证据给予0/部分/满分；不能由总结反推已完成</x:v>
      </x:c>
      <x:c r="M1047" s="56" t="str"/>
      <x:c r="N1047" s="56" t="n">
        <x:f>SUMIFS($G$4:$G$1673,$A$4:$A$1673,A1047)</x:f>
        <x:v>360</x:v>
      </x:c>
      <x:c r="O1047" s="56" t="str">
        <x:f>IF(N1047=360,"通过","失败")</x:f>
        <x:v>通过</x:v>
      </x:c>
      <x:c r="P1047" s="56" t="str"/>
      <x:c r="Q1047" s="59" t="str">
        <x:v>待确认</x:v>
      </x:c>
    </x:row>
    <x:row r="1048">
      <x:c r="A1048" s="56" t="str">
        <x:v>P026</x:v>
      </x:c>
      <x:c r="B1048" s="56" t="str">
        <x:v>HX-ADD-014</x:v>
      </x:c>
      <x:c r="C1048" s="56" t="str">
        <x:v>followup</x:v>
      </x:c>
      <x:c r="D1048" s="56" t="n">
        <x:v>40</x:v>
      </x:c>
      <x:c r="E1048" s="56" t="str">
        <x:v>followup.education</x:v>
      </x:c>
      <x:c r="F1048" s="56" t="str">
        <x:v>患者教育</x:v>
      </x:c>
      <x:c r="G1048" s="56" t="n">
        <x:v>10</x:v>
      </x:c>
      <x:c r="H1048" s="56" t="str">
        <x:v>普通得分项</x:v>
      </x:c>
      <x:c r="I1048" s="56" t="str">
        <x:v>否</x:v>
      </x:c>
      <x:c r="J1048" s="56" t="str">
        <x:v>否</x:v>
      </x:c>
      <x:c r="K1048" s="56" t="str">
        <x:v>否</x:v>
      </x:c>
      <x:c r="L1048" s="56" t="str">
        <x:v>按结构化事件证据给予0/部分/满分；不能由总结反推已完成</x:v>
      </x:c>
      <x:c r="M1048" s="56" t="str"/>
      <x:c r="N1048" s="56" t="n">
        <x:f>SUMIFS($G$4:$G$1673,$A$4:$A$1673,A1048)</x:f>
        <x:v>360</x:v>
      </x:c>
      <x:c r="O1048" s="56" t="str">
        <x:f>IF(N1048=360,"通过","失败")</x:f>
        <x:v>通过</x:v>
      </x:c>
      <x:c r="P1048" s="56" t="str"/>
      <x:c r="Q1048" s="59" t="str">
        <x:v>待确认</x:v>
      </x:c>
    </x:row>
    <x:row r="1049">
      <x:c r="A1049" s="56" t="str">
        <x:v>P026</x:v>
      </x:c>
      <x:c r="B1049" s="56" t="str">
        <x:v>HX-ADD-014</x:v>
      </x:c>
      <x:c r="C1049" s="56" t="str">
        <x:v>followup</x:v>
      </x:c>
      <x:c r="D1049" s="56" t="n">
        <x:v>40</x:v>
      </x:c>
      <x:c r="E1049" s="56" t="str">
        <x:v>followup.reflection</x:v>
      </x:c>
      <x:c r="F1049" s="56" t="str">
        <x:v>学习反思质量</x:v>
      </x:c>
      <x:c r="G1049" s="56" t="n">
        <x:v>10</x:v>
      </x:c>
      <x:c r="H1049" s="56" t="str">
        <x:v>普通得分项</x:v>
      </x:c>
      <x:c r="I1049" s="56" t="str">
        <x:v>否</x:v>
      </x:c>
      <x:c r="J1049" s="56" t="str">
        <x:v>否</x:v>
      </x:c>
      <x:c r="K1049" s="56" t="str">
        <x:v>否</x:v>
      </x:c>
      <x:c r="L1049" s="56" t="str">
        <x:v>按结构化事件证据给予0/部分/满分；不能由总结反推已完成</x:v>
      </x:c>
      <x:c r="M1049" s="56" t="str"/>
      <x:c r="N1049" s="56" t="n">
        <x:f>SUMIFS($G$4:$G$1673,$A$4:$A$1673,A1049)</x:f>
        <x:v>360</x:v>
      </x:c>
      <x:c r="O1049" s="56" t="str">
        <x:f>IF(N1049=360,"通过","失败")</x:f>
        <x:v>通过</x:v>
      </x:c>
      <x:c r="P1049" s="56" t="str"/>
      <x:c r="Q1049" s="59" t="str">
        <x:v>待确认</x:v>
      </x:c>
    </x:row>
    <x:row r="1050">
      <x:c r="A1050" s="56" t="str">
        <x:v>P026</x:v>
      </x:c>
      <x:c r="B1050" s="56" t="str">
        <x:v>HX-ADD-014</x:v>
      </x:c>
      <x:c r="C1050" s="56" t="str">
        <x:v>followup</x:v>
      </x:c>
      <x:c r="D1050" s="56" t="n">
        <x:v>40</x:v>
      </x:c>
      <x:c r="E1050" s="56" t="str">
        <x:v>followup.efficiency</x:v>
      </x:c>
      <x:c r="F1050" s="56" t="str">
        <x:v>操作效率</x:v>
      </x:c>
      <x:c r="G1050" s="56" t="n">
        <x:v>10</x:v>
      </x:c>
      <x:c r="H1050" s="56" t="str">
        <x:v>普通得分项</x:v>
      </x:c>
      <x:c r="I1050" s="56" t="str">
        <x:v>否</x:v>
      </x:c>
      <x:c r="J1050" s="56" t="str">
        <x:v>否</x:v>
      </x:c>
      <x:c r="K1050" s="56" t="str">
        <x:v>否</x:v>
      </x:c>
      <x:c r="L1050" s="56" t="str">
        <x:v>按结构化事件证据给予0/部分/满分；不能由总结反推已完成</x:v>
      </x:c>
      <x:c r="M1050" s="56" t="str"/>
      <x:c r="N1050" s="56" t="n">
        <x:f>SUMIFS($G$4:$G$1673,$A$4:$A$1673,A1050)</x:f>
        <x:v>360</x:v>
      </x:c>
      <x:c r="O1050" s="56" t="str">
        <x:f>IF(N1050=360,"通过","失败")</x:f>
        <x:v>通过</x:v>
      </x:c>
      <x:c r="P1050" s="56" t="str"/>
      <x:c r="Q1050" s="59" t="str">
        <x:v>待确认</x:v>
      </x:c>
    </x:row>
    <x:row r="1051">
      <x:c r="A1051" s="56" t="str">
        <x:v>P026</x:v>
      </x:c>
      <x:c r="B1051" s="56" t="str">
        <x:v>HX-ADD-014</x:v>
      </x:c>
      <x:c r="C1051" s="56" t="str">
        <x:v>safety_gate</x:v>
      </x:c>
      <x:c r="D1051" s="56" t="n">
        <x:v>0</x:v>
      </x:c>
      <x:c r="E1051" s="56" t="str">
        <x:v>safety.P026.1</x:v>
      </x:c>
      <x:c r="F1051" s="56" t="str">
        <x:v>感染性梗阻未先引流而直接碎石</x:v>
      </x:c>
      <x:c r="G1051" s="56" t="n">
        <x:v>0</x:v>
      </x:c>
      <x:c r="H1051" s="56" t="str">
        <x:v>患者安全关键项</x:v>
      </x:c>
      <x:c r="I1051" s="56" t="str">
        <x:v>是</x:v>
      </x:c>
      <x:c r="J1051" s="56" t="str">
        <x:v>否</x:v>
      </x:c>
      <x:c r="K1051" s="56" t="str">
        <x:v>是</x:v>
      </x:c>
      <x:c r="L1051" s="56" t="str">
        <x:v>触发时不加分并按专家设定封顶</x:v>
      </x:c>
      <x:c r="M1051" s="56" t="str">
        <x:v>感染性梗阻未先引流而直接碎石</x:v>
      </x:c>
      <x:c r="N1051" s="56" t="n">
        <x:f>SUMIFS($G$4:$G$1673,$A$4:$A$1673,A1051)</x:f>
        <x:v>360</x:v>
      </x:c>
      <x:c r="O1051" s="56" t="str">
        <x:f>IF(N1051=360,"通过","失败")</x:f>
        <x:v>通过</x:v>
      </x:c>
      <x:c r="P1051" s="56" t="str"/>
      <x:c r="Q1051" s="59" t="str">
        <x:v>待确认</x:v>
      </x:c>
    </x:row>
    <x:row r="1052">
      <x:c r="A1052" s="56" t="str">
        <x:v>P027</x:v>
      </x:c>
      <x:c r="B1052" s="56" t="str">
        <x:v>HX-ADD-015</x:v>
      </x:c>
      <x:c r="C1052" s="56" t="str">
        <x:v>history</x:v>
      </x:c>
      <x:c r="D1052" s="56" t="n">
        <x:v>50</x:v>
      </x:c>
      <x:c r="E1052" s="56" t="str">
        <x:v>history.hematuria_visibility</x:v>
      </x:c>
      <x:c r="F1052" s="56" t="str">
        <x:v>hematuria_visibility</x:v>
      </x:c>
      <x:c r="G1052" s="56" t="n">
        <x:v>5</x:v>
      </x:c>
      <x:c r="H1052" s="56" t="str">
        <x:v>普通得分项</x:v>
      </x:c>
      <x:c r="I1052" s="56" t="str">
        <x:v>否</x:v>
      </x:c>
      <x:c r="J1052" s="56" t="str">
        <x:v>否</x:v>
      </x:c>
      <x:c r="K1052" s="56" t="str">
        <x:v>否</x:v>
      </x:c>
      <x:c r="L1052" s="56" t="str">
        <x:v>按结构化事件证据给予0/部分/满分；不能由总结反推已完成</x:v>
      </x:c>
      <x:c r="M1052" s="56" t="str"/>
      <x:c r="N1052" s="56" t="n">
        <x:f>SUMIFS($G$4:$G$1673,$A$4:$A$1673,A1052)</x:f>
        <x:v>360</x:v>
      </x:c>
      <x:c r="O1052" s="56" t="str">
        <x:f>IF(N1052=360,"通过","失败")</x:f>
        <x:v>通过</x:v>
      </x:c>
      <x:c r="P1052" s="56" t="str"/>
      <x:c r="Q1052" s="59" t="str">
        <x:v>待确认</x:v>
      </x:c>
    </x:row>
    <x:row r="1053">
      <x:c r="A1053" s="56" t="str">
        <x:v>P027</x:v>
      </x:c>
      <x:c r="B1053" s="56" t="str">
        <x:v>HX-ADD-015</x:v>
      </x:c>
      <x:c r="C1053" s="56" t="str">
        <x:v>history</x:v>
      </x:c>
      <x:c r="D1053" s="56" t="n">
        <x:v>50</x:v>
      </x:c>
      <x:c r="E1053" s="56" t="str">
        <x:v>history.hematuria_onset</x:v>
      </x:c>
      <x:c r="F1053" s="56" t="str">
        <x:v>hematuria_onset</x:v>
      </x:c>
      <x:c r="G1053" s="56" t="n">
        <x:v>5</x:v>
      </x:c>
      <x:c r="H1053" s="56" t="str">
        <x:v>普通得分项</x:v>
      </x:c>
      <x:c r="I1053" s="56" t="str">
        <x:v>否</x:v>
      </x:c>
      <x:c r="J1053" s="56" t="str">
        <x:v>否</x:v>
      </x:c>
      <x:c r="K1053" s="56" t="str">
        <x:v>否</x:v>
      </x:c>
      <x:c r="L1053" s="56" t="str">
        <x:v>按结构化事件证据给予0/部分/满分；不能由总结反推已完成</x:v>
      </x:c>
      <x:c r="M1053" s="56" t="str"/>
      <x:c r="N1053" s="56" t="n">
        <x:f>SUMIFS($G$4:$G$1673,$A$4:$A$1673,A1053)</x:f>
        <x:v>360</x:v>
      </x:c>
      <x:c r="O1053" s="56" t="str">
        <x:f>IF(N1053=360,"通过","失败")</x:f>
        <x:v>通过</x:v>
      </x:c>
      <x:c r="P1053" s="56" t="str"/>
      <x:c r="Q1053" s="59" t="str">
        <x:v>待确认</x:v>
      </x:c>
    </x:row>
    <x:row r="1054">
      <x:c r="A1054" s="56" t="str">
        <x:v>P027</x:v>
      </x:c>
      <x:c r="B1054" s="56" t="str">
        <x:v>HX-ADD-015</x:v>
      </x:c>
      <x:c r="C1054" s="56" t="str">
        <x:v>history</x:v>
      </x:c>
      <x:c r="D1054" s="56" t="n">
        <x:v>50</x:v>
      </x:c>
      <x:c r="E1054" s="56" t="str">
        <x:v>history.hematuria_frequency</x:v>
      </x:c>
      <x:c r="F1054" s="56" t="str">
        <x:v>hematuria_frequency</x:v>
      </x:c>
      <x:c r="G1054" s="56" t="n">
        <x:v>4</x:v>
      </x:c>
      <x:c r="H1054" s="56" t="str">
        <x:v>普通得分项</x:v>
      </x:c>
      <x:c r="I1054" s="56" t="str">
        <x:v>否</x:v>
      </x:c>
      <x:c r="J1054" s="56" t="str">
        <x:v>否</x:v>
      </x:c>
      <x:c r="K1054" s="56" t="str">
        <x:v>否</x:v>
      </x:c>
      <x:c r="L1054" s="56" t="str">
        <x:v>按结构化事件证据给予0/部分/满分；不能由总结反推已完成</x:v>
      </x:c>
      <x:c r="M1054" s="56" t="str"/>
      <x:c r="N1054" s="56" t="n">
        <x:f>SUMIFS($G$4:$G$1673,$A$4:$A$1673,A1054)</x:f>
        <x:v>360</x:v>
      </x:c>
      <x:c r="O1054" s="56" t="str">
        <x:f>IF(N1054=360,"通过","失败")</x:f>
        <x:v>通过</x:v>
      </x:c>
      <x:c r="P1054" s="56" t="str"/>
      <x:c r="Q1054" s="59" t="str">
        <x:v>待确认</x:v>
      </x:c>
    </x:row>
    <x:row r="1055">
      <x:c r="A1055" s="56" t="str">
        <x:v>P027</x:v>
      </x:c>
      <x:c r="B1055" s="56" t="str">
        <x:v>HX-ADD-015</x:v>
      </x:c>
      <x:c r="C1055" s="56" t="str">
        <x:v>history</x:v>
      </x:c>
      <x:c r="D1055" s="56" t="n">
        <x:v>50</x:v>
      </x:c>
      <x:c r="E1055" s="56" t="str">
        <x:v>history.hematuria_phase</x:v>
      </x:c>
      <x:c r="F1055" s="56" t="str">
        <x:v>hematuria_phase</x:v>
      </x:c>
      <x:c r="G1055" s="56" t="n">
        <x:v>4</x:v>
      </x:c>
      <x:c r="H1055" s="56" t="str">
        <x:v>普通得分项</x:v>
      </x:c>
      <x:c r="I1055" s="56" t="str">
        <x:v>否</x:v>
      </x:c>
      <x:c r="J1055" s="56" t="str">
        <x:v>否</x:v>
      </x:c>
      <x:c r="K1055" s="56" t="str">
        <x:v>否</x:v>
      </x:c>
      <x:c r="L1055" s="56" t="str">
        <x:v>按结构化事件证据给予0/部分/满分；不能由总结反推已完成</x:v>
      </x:c>
      <x:c r="M1055" s="56" t="str"/>
      <x:c r="N1055" s="56" t="n">
        <x:f>SUMIFS($G$4:$G$1673,$A$4:$A$1673,A1055)</x:f>
        <x:v>360</x:v>
      </x:c>
      <x:c r="O1055" s="56" t="str">
        <x:f>IF(N1055=360,"通过","失败")</x:f>
        <x:v>通过</x:v>
      </x:c>
      <x:c r="P1055" s="56" t="str"/>
      <x:c r="Q1055" s="59" t="str">
        <x:v>待确认</x:v>
      </x:c>
    </x:row>
    <x:row r="1056">
      <x:c r="A1056" s="56" t="str">
        <x:v>P027</x:v>
      </x:c>
      <x:c r="B1056" s="56" t="str">
        <x:v>HX-ADD-015</x:v>
      </x:c>
      <x:c r="C1056" s="56" t="str">
        <x:v>history</x:v>
      </x:c>
      <x:c r="D1056" s="56" t="n">
        <x:v>50</x:v>
      </x:c>
      <x:c r="E1056" s="56" t="str">
        <x:v>history.urine_color</x:v>
      </x:c>
      <x:c r="F1056" s="56" t="str">
        <x:v>urine_color</x:v>
      </x:c>
      <x:c r="G1056" s="56" t="n">
        <x:v>4</x:v>
      </x:c>
      <x:c r="H1056" s="56" t="str">
        <x:v>普通得分项</x:v>
      </x:c>
      <x:c r="I1056" s="56" t="str">
        <x:v>否</x:v>
      </x:c>
      <x:c r="J1056" s="56" t="str">
        <x:v>否</x:v>
      </x:c>
      <x:c r="K1056" s="56" t="str">
        <x:v>否</x:v>
      </x:c>
      <x:c r="L1056" s="56" t="str">
        <x:v>按结构化事件证据给予0/部分/满分；不能由总结反推已完成</x:v>
      </x:c>
      <x:c r="M1056" s="56" t="str"/>
      <x:c r="N1056" s="56" t="n">
        <x:f>SUMIFS($G$4:$G$1673,$A$4:$A$1673,A1056)</x:f>
        <x:v>360</x:v>
      </x:c>
      <x:c r="O1056" s="56" t="str">
        <x:f>IF(N1056=360,"通过","失败")</x:f>
        <x:v>通过</x:v>
      </x:c>
      <x:c r="P1056" s="56" t="str"/>
      <x:c r="Q1056" s="59" t="str">
        <x:v>待确认</x:v>
      </x:c>
    </x:row>
    <x:row r="1057">
      <x:c r="A1057" s="56" t="str">
        <x:v>P027</x:v>
      </x:c>
      <x:c r="B1057" s="56" t="str">
        <x:v>HX-ADD-015</x:v>
      </x:c>
      <x:c r="C1057" s="56" t="str">
        <x:v>history</x:v>
      </x:c>
      <x:c r="D1057" s="56" t="n">
        <x:v>50</x:v>
      </x:c>
      <x:c r="E1057" s="56" t="str">
        <x:v>history.clots</x:v>
      </x:c>
      <x:c r="F1057" s="56" t="str">
        <x:v>clots</x:v>
      </x:c>
      <x:c r="G1057" s="56" t="n">
        <x:v>4</x:v>
      </x:c>
      <x:c r="H1057" s="56" t="str">
        <x:v>普通得分项</x:v>
      </x:c>
      <x:c r="I1057" s="56" t="str">
        <x:v>否</x:v>
      </x:c>
      <x:c r="J1057" s="56" t="str">
        <x:v>否</x:v>
      </x:c>
      <x:c r="K1057" s="56" t="str">
        <x:v>否</x:v>
      </x:c>
      <x:c r="L1057" s="56" t="str">
        <x:v>按结构化事件证据给予0/部分/满分；不能由总结反推已完成</x:v>
      </x:c>
      <x:c r="M1057" s="56" t="str"/>
      <x:c r="N1057" s="56" t="n">
        <x:f>SUMIFS($G$4:$G$1673,$A$4:$A$1673,A1057)</x:f>
        <x:v>360</x:v>
      </x:c>
      <x:c r="O1057" s="56" t="str">
        <x:f>IF(N1057=360,"通过","失败")</x:f>
        <x:v>通过</x:v>
      </x:c>
      <x:c r="P1057" s="56" t="str"/>
      <x:c r="Q1057" s="59" t="str">
        <x:v>待确认</x:v>
      </x:c>
    </x:row>
    <x:row r="1058">
      <x:c r="A1058" s="56" t="str">
        <x:v>P027</x:v>
      </x:c>
      <x:c r="B1058" s="56" t="str">
        <x:v>HX-ADD-015</x:v>
      </x:c>
      <x:c r="C1058" s="56" t="str">
        <x:v>history</x:v>
      </x:c>
      <x:c r="D1058" s="56" t="n">
        <x:v>50</x:v>
      </x:c>
      <x:c r="E1058" s="56" t="str">
        <x:v>history.pain</x:v>
      </x:c>
      <x:c r="F1058" s="56" t="str">
        <x:v>pain</x:v>
      </x:c>
      <x:c r="G1058" s="56" t="n">
        <x:v>4</x:v>
      </x:c>
      <x:c r="H1058" s="56" t="str">
        <x:v>普通得分项</x:v>
      </x:c>
      <x:c r="I1058" s="56" t="str">
        <x:v>否</x:v>
      </x:c>
      <x:c r="J1058" s="56" t="str">
        <x:v>否</x:v>
      </x:c>
      <x:c r="K1058" s="56" t="str">
        <x:v>否</x:v>
      </x:c>
      <x:c r="L1058" s="56" t="str">
        <x:v>按结构化事件证据给予0/部分/满分；不能由总结反推已完成</x:v>
      </x:c>
      <x:c r="M1058" s="56" t="str"/>
      <x:c r="N1058" s="56" t="n">
        <x:f>SUMIFS($G$4:$G$1673,$A$4:$A$1673,A1058)</x:f>
        <x:v>360</x:v>
      </x:c>
      <x:c r="O1058" s="56" t="str">
        <x:f>IF(N1058=360,"通过","失败")</x:f>
        <x:v>通过</x:v>
      </x:c>
      <x:c r="P1058" s="56" t="str"/>
      <x:c r="Q1058" s="59" t="str">
        <x:v>待确认</x:v>
      </x:c>
    </x:row>
    <x:row r="1059">
      <x:c r="A1059" s="56" t="str">
        <x:v>P027</x:v>
      </x:c>
      <x:c r="B1059" s="56" t="str">
        <x:v>HX-ADD-015</x:v>
      </x:c>
      <x:c r="C1059" s="56" t="str">
        <x:v>history</x:v>
      </x:c>
      <x:c r="D1059" s="56" t="n">
        <x:v>50</x:v>
      </x:c>
      <x:c r="E1059" s="56" t="str">
        <x:v>history.dysuria</x:v>
      </x:c>
      <x:c r="F1059" s="56" t="str">
        <x:v>dysuria</x:v>
      </x:c>
      <x:c r="G1059" s="56" t="n">
        <x:v>4</x:v>
      </x:c>
      <x:c r="H1059" s="56" t="str">
        <x:v>普通得分项</x:v>
      </x:c>
      <x:c r="I1059" s="56" t="str">
        <x:v>否</x:v>
      </x:c>
      <x:c r="J1059" s="56" t="str">
        <x:v>否</x:v>
      </x:c>
      <x:c r="K1059" s="56" t="str">
        <x:v>否</x:v>
      </x:c>
      <x:c r="L1059" s="56" t="str">
        <x:v>按结构化事件证据给予0/部分/满分；不能由总结反推已完成</x:v>
      </x:c>
      <x:c r="M1059" s="56" t="str"/>
      <x:c r="N1059" s="56" t="n">
        <x:f>SUMIFS($G$4:$G$1673,$A$4:$A$1673,A1059)</x:f>
        <x:v>360</x:v>
      </x:c>
      <x:c r="O1059" s="56" t="str">
        <x:f>IF(N1059=360,"通过","失败")</x:f>
        <x:v>通过</x:v>
      </x:c>
      <x:c r="P1059" s="56" t="str"/>
      <x:c r="Q1059" s="59" t="str">
        <x:v>待确认</x:v>
      </x:c>
    </x:row>
    <x:row r="1060">
      <x:c r="A1060" s="56" t="str">
        <x:v>P027</x:v>
      </x:c>
      <x:c r="B1060" s="56" t="str">
        <x:v>HX-ADD-015</x:v>
      </x:c>
      <x:c r="C1060" s="56" t="str">
        <x:v>history</x:v>
      </x:c>
      <x:c r="D1060" s="56" t="n">
        <x:v>50</x:v>
      </x:c>
      <x:c r="E1060" s="56" t="str">
        <x:v>history.urinary_frequency</x:v>
      </x:c>
      <x:c r="F1060" s="56" t="str">
        <x:v>urinary_frequency</x:v>
      </x:c>
      <x:c r="G1060" s="56" t="n">
        <x:v>4</x:v>
      </x:c>
      <x:c r="H1060" s="56" t="str">
        <x:v>普通得分项</x:v>
      </x:c>
      <x:c r="I1060" s="56" t="str">
        <x:v>否</x:v>
      </x:c>
      <x:c r="J1060" s="56" t="str">
        <x:v>否</x:v>
      </x:c>
      <x:c r="K1060" s="56" t="str">
        <x:v>否</x:v>
      </x:c>
      <x:c r="L1060" s="56" t="str">
        <x:v>按结构化事件证据给予0/部分/满分；不能由总结反推已完成</x:v>
      </x:c>
      <x:c r="M1060" s="56" t="str"/>
      <x:c r="N1060" s="56" t="n">
        <x:f>SUMIFS($G$4:$G$1673,$A$4:$A$1673,A1060)</x:f>
        <x:v>360</x:v>
      </x:c>
      <x:c r="O1060" s="56" t="str">
        <x:f>IF(N1060=360,"通过","失败")</x:f>
        <x:v>通过</x:v>
      </x:c>
      <x:c r="P1060" s="56" t="str"/>
      <x:c r="Q1060" s="59" t="str">
        <x:v>待确认</x:v>
      </x:c>
    </x:row>
    <x:row r="1061">
      <x:c r="A1061" s="56" t="str">
        <x:v>P027</x:v>
      </x:c>
      <x:c r="B1061" s="56" t="str">
        <x:v>HX-ADD-015</x:v>
      </x:c>
      <x:c r="C1061" s="56" t="str">
        <x:v>history</x:v>
      </x:c>
      <x:c r="D1061" s="56" t="n">
        <x:v>50</x:v>
      </x:c>
      <x:c r="E1061" s="56" t="str">
        <x:v>history.urinary_urgency</x:v>
      </x:c>
      <x:c r="F1061" s="56" t="str">
        <x:v>urinary_urgency</x:v>
      </x:c>
      <x:c r="G1061" s="56" t="n">
        <x:v>4</x:v>
      </x:c>
      <x:c r="H1061" s="56" t="str">
        <x:v>普通得分项</x:v>
      </x:c>
      <x:c r="I1061" s="56" t="str">
        <x:v>否</x:v>
      </x:c>
      <x:c r="J1061" s="56" t="str">
        <x:v>否</x:v>
      </x:c>
      <x:c r="K1061" s="56" t="str">
        <x:v>否</x:v>
      </x:c>
      <x:c r="L1061" s="56" t="str">
        <x:v>按结构化事件证据给予0/部分/满分；不能由总结反推已完成</x:v>
      </x:c>
      <x:c r="M1061" s="56" t="str"/>
      <x:c r="N1061" s="56" t="n">
        <x:f>SUMIFS($G$4:$G$1673,$A$4:$A$1673,A1061)</x:f>
        <x:v>360</x:v>
      </x:c>
      <x:c r="O1061" s="56" t="str">
        <x:f>IF(N1061=360,"通过","失败")</x:f>
        <x:v>通过</x:v>
      </x:c>
      <x:c r="P1061" s="56" t="str"/>
      <x:c r="Q1061" s="59" t="str">
        <x:v>待确认</x:v>
      </x:c>
    </x:row>
    <x:row r="1062">
      <x:c r="A1062" s="56" t="str">
        <x:v>P027</x:v>
      </x:c>
      <x:c r="B1062" s="56" t="str">
        <x:v>HX-ADD-015</x:v>
      </x:c>
      <x:c r="C1062" s="56" t="str">
        <x:v>history</x:v>
      </x:c>
      <x:c r="D1062" s="56" t="n">
        <x:v>50</x:v>
      </x:c>
      <x:c r="E1062" s="56" t="str">
        <x:v>history.flank_pain</x:v>
      </x:c>
      <x:c r="F1062" s="56" t="str">
        <x:v>flank_pain</x:v>
      </x:c>
      <x:c r="G1062" s="56" t="n">
        <x:v>4</x:v>
      </x:c>
      <x:c r="H1062" s="56" t="str">
        <x:v>普通得分项</x:v>
      </x:c>
      <x:c r="I1062" s="56" t="str">
        <x:v>否</x:v>
      </x:c>
      <x:c r="J1062" s="56" t="str">
        <x:v>否</x:v>
      </x:c>
      <x:c r="K1062" s="56" t="str">
        <x:v>否</x:v>
      </x:c>
      <x:c r="L1062" s="56" t="str">
        <x:v>按结构化事件证据给予0/部分/满分；不能由总结反推已完成</x:v>
      </x:c>
      <x:c r="M1062" s="56" t="str"/>
      <x:c r="N1062" s="56" t="n">
        <x:f>SUMIFS($G$4:$G$1673,$A$4:$A$1673,A1062)</x:f>
        <x:v>360</x:v>
      </x:c>
      <x:c r="O1062" s="56" t="str">
        <x:f>IF(N1062=360,"通过","失败")</x:f>
        <x:v>通过</x:v>
      </x:c>
      <x:c r="P1062" s="56" t="str"/>
      <x:c r="Q1062" s="59" t="str">
        <x:v>待确认</x:v>
      </x:c>
    </x:row>
    <x:row r="1063">
      <x:c r="A1063" s="56" t="str">
        <x:v>P027</x:v>
      </x:c>
      <x:c r="B1063" s="56" t="str">
        <x:v>HX-ADD-015</x:v>
      </x:c>
      <x:c r="C1063" s="56" t="str">
        <x:v>history</x:v>
      </x:c>
      <x:c r="D1063" s="56" t="n">
        <x:v>50</x:v>
      </x:c>
      <x:c r="E1063" s="56" t="str">
        <x:v>history.fever_chills</x:v>
      </x:c>
      <x:c r="F1063" s="56" t="str">
        <x:v>fever_chills</x:v>
      </x:c>
      <x:c r="G1063" s="56" t="n">
        <x:v>4</x:v>
      </x:c>
      <x:c r="H1063" s="56" t="str">
        <x:v>普通得分项</x:v>
      </x:c>
      <x:c r="I1063" s="56" t="str">
        <x:v>否</x:v>
      </x:c>
      <x:c r="J1063" s="56" t="str">
        <x:v>否</x:v>
      </x:c>
      <x:c r="K1063" s="56" t="str">
        <x:v>否</x:v>
      </x:c>
      <x:c r="L1063" s="56" t="str">
        <x:v>按结构化事件证据给予0/部分/满分；不能由总结反推已完成</x:v>
      </x:c>
      <x:c r="M1063" s="56" t="str"/>
      <x:c r="N1063" s="56" t="n">
        <x:f>SUMIFS($G$4:$G$1673,$A$4:$A$1673,A1063)</x:f>
        <x:v>360</x:v>
      </x:c>
      <x:c r="O1063" s="56" t="str">
        <x:f>IF(N1063=360,"通过","失败")</x:f>
        <x:v>通过</x:v>
      </x:c>
      <x:c r="P1063" s="56" t="str"/>
      <x:c r="Q1063" s="59" t="str">
        <x:v>待确认</x:v>
      </x:c>
    </x:row>
    <x:row r="1064">
      <x:c r="A1064" s="56" t="str">
        <x:v>P027</x:v>
      </x:c>
      <x:c r="B1064" s="56" t="str">
        <x:v>HX-ADD-015</x:v>
      </x:c>
      <x:c r="C1064" s="56" t="str">
        <x:v>risk</x:v>
      </x:c>
      <x:c r="D1064" s="56" t="n">
        <x:v>40</x:v>
      </x:c>
      <x:c r="E1064" s="56" t="str">
        <x:v>risk.stone_history</x:v>
      </x:c>
      <x:c r="F1064" s="56" t="str">
        <x:v>stone_history</x:v>
      </x:c>
      <x:c r="G1064" s="56" t="n">
        <x:v>10</x:v>
      </x:c>
      <x:c r="H1064" s="56" t="str">
        <x:v>普通得分项</x:v>
      </x:c>
      <x:c r="I1064" s="56" t="str">
        <x:v>否</x:v>
      </x:c>
      <x:c r="J1064" s="56" t="str">
        <x:v>否</x:v>
      </x:c>
      <x:c r="K1064" s="56" t="str">
        <x:v>否</x:v>
      </x:c>
      <x:c r="L1064" s="56" t="str">
        <x:v>按结构化事件证据给予0/部分/满分；不能由总结反推已完成</x:v>
      </x:c>
      <x:c r="M1064" s="56" t="str"/>
      <x:c r="N1064" s="56" t="n">
        <x:f>SUMIFS($G$4:$G$1673,$A$4:$A$1673,A1064)</x:f>
        <x:v>360</x:v>
      </x:c>
      <x:c r="O1064" s="56" t="str">
        <x:f>IF(N1064=360,"通过","失败")</x:f>
        <x:v>通过</x:v>
      </x:c>
      <x:c r="P1064" s="56" t="str"/>
      <x:c r="Q1064" s="59" t="str">
        <x:v>待确认</x:v>
      </x:c>
    </x:row>
    <x:row r="1065">
      <x:c r="A1065" s="56" t="str">
        <x:v>P027</x:v>
      </x:c>
      <x:c r="B1065" s="56" t="str">
        <x:v>HX-ADD-015</x:v>
      </x:c>
      <x:c r="C1065" s="56" t="str">
        <x:v>risk</x:v>
      </x:c>
      <x:c r="D1065" s="56" t="n">
        <x:v>40</x:v>
      </x:c>
      <x:c r="E1065" s="56" t="str">
        <x:v>risk.triggers</x:v>
      </x:c>
      <x:c r="F1065" s="56" t="str">
        <x:v>triggers</x:v>
      </x:c>
      <x:c r="G1065" s="56" t="n">
        <x:v>10</x:v>
      </x:c>
      <x:c r="H1065" s="56" t="str">
        <x:v>普通得分项</x:v>
      </x:c>
      <x:c r="I1065" s="56" t="str">
        <x:v>否</x:v>
      </x:c>
      <x:c r="J1065" s="56" t="str">
        <x:v>否</x:v>
      </x:c>
      <x:c r="K1065" s="56" t="str">
        <x:v>否</x:v>
      </x:c>
      <x:c r="L1065" s="56" t="str">
        <x:v>按结构化事件证据给予0/部分/满分；不能由总结反推已完成</x:v>
      </x:c>
      <x:c r="M1065" s="56" t="str"/>
      <x:c r="N1065" s="56" t="n">
        <x:f>SUMIFS($G$4:$G$1673,$A$4:$A$1673,A1065)</x:f>
        <x:v>360</x:v>
      </x:c>
      <x:c r="O1065" s="56" t="str">
        <x:f>IF(N1065=360,"通过","失败")</x:f>
        <x:v>通过</x:v>
      </x:c>
      <x:c r="P1065" s="56" t="str"/>
      <x:c r="Q1065" s="59" t="str">
        <x:v>待确认</x:v>
      </x:c>
    </x:row>
    <x:row r="1066">
      <x:c r="A1066" s="56" t="str">
        <x:v>P027</x:v>
      </x:c>
      <x:c r="B1066" s="56" t="str">
        <x:v>HX-ADD-015</x:v>
      </x:c>
      <x:c r="C1066" s="56" t="str">
        <x:v>risk</x:v>
      </x:c>
      <x:c r="D1066" s="56" t="n">
        <x:v>40</x:v>
      </x:c>
      <x:c r="E1066" s="56" t="str">
        <x:v>risk.uti_history</x:v>
      </x:c>
      <x:c r="F1066" s="56" t="str">
        <x:v>uti_history</x:v>
      </x:c>
      <x:c r="G1066" s="56" t="n">
        <x:v>10</x:v>
      </x:c>
      <x:c r="H1066" s="56" t="str">
        <x:v>普通得分项</x:v>
      </x:c>
      <x:c r="I1066" s="56" t="str">
        <x:v>否</x:v>
      </x:c>
      <x:c r="J1066" s="56" t="str">
        <x:v>否</x:v>
      </x:c>
      <x:c r="K1066" s="56" t="str">
        <x:v>否</x:v>
      </x:c>
      <x:c r="L1066" s="56" t="str">
        <x:v>按结构化事件证据给予0/部分/满分；不能由总结反推已完成</x:v>
      </x:c>
      <x:c r="M1066" s="56" t="str"/>
      <x:c r="N1066" s="56" t="n">
        <x:f>SUMIFS($G$4:$G$1673,$A$4:$A$1673,A1066)</x:f>
        <x:v>360</x:v>
      </x:c>
      <x:c r="O1066" s="56" t="str">
        <x:f>IF(N1066=360,"通过","失败")</x:f>
        <x:v>通过</x:v>
      </x:c>
      <x:c r="P1066" s="56" t="str"/>
      <x:c r="Q1066" s="59" t="str">
        <x:v>待确认</x:v>
      </x:c>
    </x:row>
    <x:row r="1067">
      <x:c r="A1067" s="56" t="str">
        <x:v>P027</x:v>
      </x:c>
      <x:c r="B1067" s="56" t="str">
        <x:v>HX-ADD-015</x:v>
      </x:c>
      <x:c r="C1067" s="56" t="str">
        <x:v>risk</x:v>
      </x:c>
      <x:c r="D1067" s="56" t="n">
        <x:v>40</x:v>
      </x:c>
      <x:c r="E1067" s="56" t="str">
        <x:v>risk.retention</x:v>
      </x:c>
      <x:c r="F1067" s="56" t="str">
        <x:v>retention</x:v>
      </x:c>
      <x:c r="G1067" s="56" t="n">
        <x:v>10</x:v>
      </x:c>
      <x:c r="H1067" s="56" t="str">
        <x:v>普通得分项</x:v>
      </x:c>
      <x:c r="I1067" s="56" t="str">
        <x:v>否</x:v>
      </x:c>
      <x:c r="J1067" s="56" t="str">
        <x:v>否</x:v>
      </x:c>
      <x:c r="K1067" s="56" t="str">
        <x:v>否</x:v>
      </x:c>
      <x:c r="L1067" s="56" t="str">
        <x:v>按结构化事件证据给予0/部分/满分；不能由总结反推已完成</x:v>
      </x:c>
      <x:c r="M1067" s="56" t="str"/>
      <x:c r="N1067" s="56" t="n">
        <x:f>SUMIFS($G$4:$G$1673,$A$4:$A$1673,A1067)</x:f>
        <x:v>360</x:v>
      </x:c>
      <x:c r="O1067" s="56" t="str">
        <x:f>IF(N1067=360,"通过","失败")</x:f>
        <x:v>通过</x:v>
      </x:c>
      <x:c r="P1067" s="56" t="str"/>
      <x:c r="Q1067" s="59" t="str">
        <x:v>待确认</x:v>
      </x:c>
    </x:row>
    <x:row r="1068">
      <x:c r="A1068" s="56" t="str">
        <x:v>P027</x:v>
      </x:c>
      <x:c r="B1068" s="56" t="str">
        <x:v>HX-ADD-015</x:v>
      </x:c>
      <x:c r="C1068" s="56" t="str">
        <x:v>exam</x:v>
      </x:c>
      <x:c r="D1068" s="56" t="n">
        <x:v>35</x:v>
      </x:c>
      <x:c r="E1068" s="56" t="str">
        <x:v>exam.temperature</x:v>
      </x:c>
      <x:c r="F1068" s="56" t="str">
        <x:v>体温</x:v>
      </x:c>
      <x:c r="G1068" s="56" t="n">
        <x:v>12</x:v>
      </x:c>
      <x:c r="H1068" s="56" t="str">
        <x:v>普通得分项</x:v>
      </x:c>
      <x:c r="I1068" s="56" t="str">
        <x:v>否</x:v>
      </x:c>
      <x:c r="J1068" s="56" t="str">
        <x:v>否</x:v>
      </x:c>
      <x:c r="K1068" s="56" t="str">
        <x:v>否</x:v>
      </x:c>
      <x:c r="L1068" s="56" t="str">
        <x:v>按结构化事件证据给予0/部分/满分；不能由总结反推已完成</x:v>
      </x:c>
      <x:c r="M1068" s="56" t="str"/>
      <x:c r="N1068" s="56" t="n">
        <x:f>SUMIFS($G$4:$G$1673,$A$4:$A$1673,A1068)</x:f>
        <x:v>360</x:v>
      </x:c>
      <x:c r="O1068" s="56" t="str">
        <x:f>IF(N1068=360,"通过","失败")</x:f>
        <x:v>通过</x:v>
      </x:c>
      <x:c r="P1068" s="56" t="str"/>
      <x:c r="Q1068" s="59" t="str">
        <x:v>待确认</x:v>
      </x:c>
    </x:row>
    <x:row r="1069">
      <x:c r="A1069" s="56" t="str">
        <x:v>P027</x:v>
      </x:c>
      <x:c r="B1069" s="56" t="str">
        <x:v>HX-ADD-015</x:v>
      </x:c>
      <x:c r="C1069" s="56" t="str">
        <x:v>exam</x:v>
      </x:c>
      <x:c r="D1069" s="56" t="n">
        <x:v>35</x:v>
      </x:c>
      <x:c r="E1069" s="56" t="str">
        <x:v>exam.blood_pressure</x:v>
      </x:c>
      <x:c r="F1069" s="56" t="str">
        <x:v>血压</x:v>
      </x:c>
      <x:c r="G1069" s="56" t="n">
        <x:v>12</x:v>
      </x:c>
      <x:c r="H1069" s="56" t="str">
        <x:v>普通得分项</x:v>
      </x:c>
      <x:c r="I1069" s="56" t="str">
        <x:v>否</x:v>
      </x:c>
      <x:c r="J1069" s="56" t="str">
        <x:v>否</x:v>
      </x:c>
      <x:c r="K1069" s="56" t="str">
        <x:v>否</x:v>
      </x:c>
      <x:c r="L1069" s="56" t="str">
        <x:v>按结构化事件证据给予0/部分/满分；不能由总结反推已完成</x:v>
      </x:c>
      <x:c r="M1069" s="56" t="str"/>
      <x:c r="N1069" s="56" t="n">
        <x:f>SUMIFS($G$4:$G$1673,$A$4:$A$1673,A1069)</x:f>
        <x:v>360</x:v>
      </x:c>
      <x:c r="O1069" s="56" t="str">
        <x:f>IF(N1069=360,"通过","失败")</x:f>
        <x:v>通过</x:v>
      </x:c>
      <x:c r="P1069" s="56" t="str"/>
      <x:c r="Q1069" s="59" t="str">
        <x:v>待确认</x:v>
      </x:c>
    </x:row>
    <x:row r="1070">
      <x:c r="A1070" s="56" t="str">
        <x:v>P027</x:v>
      </x:c>
      <x:c r="B1070" s="56" t="str">
        <x:v>HX-ADD-015</x:v>
      </x:c>
      <x:c r="C1070" s="56" t="str">
        <x:v>exam</x:v>
      </x:c>
      <x:c r="D1070" s="56" t="n">
        <x:v>35</x:v>
      </x:c>
      <x:c r="E1070" s="56" t="str">
        <x:v>exam.targeted</x:v>
      </x:c>
      <x:c r="F1070" s="56" t="str">
        <x:v>病例针对性查体</x:v>
      </x:c>
      <x:c r="G1070" s="56" t="n">
        <x:v>11</x:v>
      </x:c>
      <x:c r="H1070" s="56" t="str">
        <x:v>普通得分项</x:v>
      </x:c>
      <x:c r="I1070" s="56" t="str">
        <x:v>否</x:v>
      </x:c>
      <x:c r="J1070" s="56" t="str">
        <x:v>否</x:v>
      </x:c>
      <x:c r="K1070" s="56" t="str">
        <x:v>否</x:v>
      </x:c>
      <x:c r="L1070" s="56" t="str">
        <x:v>按结构化事件证据给予0/部分/满分；不能由总结反推已完成</x:v>
      </x:c>
      <x:c r="M1070" s="56" t="str"/>
      <x:c r="N1070" s="56" t="n">
        <x:f>SUMIFS($G$4:$G$1673,$A$4:$A$1673,A1070)</x:f>
        <x:v>360</x:v>
      </x:c>
      <x:c r="O1070" s="56" t="str">
        <x:f>IF(N1070=360,"通过","失败")</x:f>
        <x:v>通过</x:v>
      </x:c>
      <x:c r="P1070" s="56" t="str"/>
      <x:c r="Q1070" s="59" t="str">
        <x:v>待确认</x:v>
      </x:c>
    </x:row>
    <x:row r="1071">
      <x:c r="A1071" s="56" t="str">
        <x:v>P027</x:v>
      </x:c>
      <x:c r="B1071" s="56" t="str">
        <x:v>HX-ADD-015</x:v>
      </x:c>
      <x:c r="C1071" s="56" t="str">
        <x:v>diagnosis</x:v>
      </x:c>
      <x:c r="D1071" s="56" t="n">
        <x:v>45</x:v>
      </x:c>
      <x:c r="E1071" s="56" t="str">
        <x:v>diagnosis.primary</x:v>
      </x:c>
      <x:c r="F1071" s="56" t="str">
        <x:v>最可能诊断及依据</x:v>
      </x:c>
      <x:c r="G1071" s="56" t="n">
        <x:v>15</x:v>
      </x:c>
      <x:c r="H1071" s="56" t="str">
        <x:v>普通得分项</x:v>
      </x:c>
      <x:c r="I1071" s="56" t="str">
        <x:v>否</x:v>
      </x:c>
      <x:c r="J1071" s="56" t="str">
        <x:v>否</x:v>
      </x:c>
      <x:c r="K1071" s="56" t="str">
        <x:v>否</x:v>
      </x:c>
      <x:c r="L1071" s="56" t="str">
        <x:v>按结构化事件证据给予0/部分/满分；不能由总结反推已完成</x:v>
      </x:c>
      <x:c r="M1071" s="56" t="str"/>
      <x:c r="N1071" s="56" t="n">
        <x:f>SUMIFS($G$4:$G$1673,$A$4:$A$1673,A1071)</x:f>
        <x:v>360</x:v>
      </x:c>
      <x:c r="O1071" s="56" t="str">
        <x:f>IF(N1071=360,"通过","失败")</x:f>
        <x:v>通过</x:v>
      </x:c>
      <x:c r="P1071" s="56" t="str"/>
      <x:c r="Q1071" s="59" t="str">
        <x:v>待确认</x:v>
      </x:c>
    </x:row>
    <x:row r="1072">
      <x:c r="A1072" s="56" t="str">
        <x:v>P027</x:v>
      </x:c>
      <x:c r="B1072" s="56" t="str">
        <x:v>HX-ADD-015</x:v>
      </x:c>
      <x:c r="C1072" s="56" t="str">
        <x:v>diagnosis</x:v>
      </x:c>
      <x:c r="D1072" s="56" t="n">
        <x:v>45</x:v>
      </x:c>
      <x:c r="E1072" s="56" t="str">
        <x:v>diagnosis.differentials</x:v>
      </x:c>
      <x:c r="F1072" s="56" t="str">
        <x:v>至少3项鉴别及支持/反对点</x:v>
      </x:c>
      <x:c r="G1072" s="56" t="n">
        <x:v>15</x:v>
      </x:c>
      <x:c r="H1072" s="56" t="str">
        <x:v>普通得分项</x:v>
      </x:c>
      <x:c r="I1072" s="56" t="str">
        <x:v>否</x:v>
      </x:c>
      <x:c r="J1072" s="56" t="str">
        <x:v>否</x:v>
      </x:c>
      <x:c r="K1072" s="56" t="str">
        <x:v>否</x:v>
      </x:c>
      <x:c r="L1072" s="56" t="str">
        <x:v>按结构化事件证据给予0/部分/满分；不能由总结反推已完成</x:v>
      </x:c>
      <x:c r="M1072" s="56" t="str"/>
      <x:c r="N1072" s="56" t="n">
        <x:f>SUMIFS($G$4:$G$1673,$A$4:$A$1673,A1072)</x:f>
        <x:v>360</x:v>
      </x:c>
      <x:c r="O1072" s="56" t="str">
        <x:f>IF(N1072=360,"通过","失败")</x:f>
        <x:v>通过</x:v>
      </x:c>
      <x:c r="P1072" s="56" t="str"/>
      <x:c r="Q1072" s="59" t="str">
        <x:v>待确认</x:v>
      </x:c>
    </x:row>
    <x:row r="1073">
      <x:c r="A1073" s="56" t="str">
        <x:v>P027</x:v>
      </x:c>
      <x:c r="B1073" s="56" t="str">
        <x:v>HX-ADD-015</x:v>
      </x:c>
      <x:c r="C1073" s="56" t="str">
        <x:v>diagnosis</x:v>
      </x:c>
      <x:c r="D1073" s="56" t="n">
        <x:v>45</x:v>
      </x:c>
      <x:c r="E1073" s="56" t="str">
        <x:v>diagnosis.confirmation</x:v>
      </x:c>
      <x:c r="F1073" s="56" t="str">
        <x:v>确认计划</x:v>
      </x:c>
      <x:c r="G1073" s="56" t="n">
        <x:v>15</x:v>
      </x:c>
      <x:c r="H1073" s="56" t="str">
        <x:v>普通得分项</x:v>
      </x:c>
      <x:c r="I1073" s="56" t="str">
        <x:v>否</x:v>
      </x:c>
      <x:c r="J1073" s="56" t="str">
        <x:v>否</x:v>
      </x:c>
      <x:c r="K1073" s="56" t="str">
        <x:v>否</x:v>
      </x:c>
      <x:c r="L1073" s="56" t="str">
        <x:v>按结构化事件证据给予0/部分/满分；不能由总结反推已完成</x:v>
      </x:c>
      <x:c r="M1073" s="56" t="str"/>
      <x:c r="N1073" s="56" t="n">
        <x:f>SUMIFS($G$4:$G$1673,$A$4:$A$1673,A1073)</x:f>
        <x:v>360</x:v>
      </x:c>
      <x:c r="O1073" s="56" t="str">
        <x:f>IF(N1073=360,"通过","失败")</x:f>
        <x:v>通过</x:v>
      </x:c>
      <x:c r="P1073" s="56" t="str"/>
      <x:c r="Q1073" s="59" t="str">
        <x:v>待确认</x:v>
      </x:c>
    </x:row>
    <x:row r="1074">
      <x:c r="A1074" s="56" t="str">
        <x:v>P027</x:v>
      </x:c>
      <x:c r="B1074" s="56" t="str">
        <x:v>HX-ADD-015</x:v>
      </x:c>
      <x:c r="C1074" s="56" t="str">
        <x:v>orders</x:v>
      </x:c>
      <x:c r="D1074" s="56" t="n">
        <x:v>55</x:v>
      </x:c>
      <x:c r="E1074" s="56" t="str">
        <x:v>orders.LAB-UR-001</x:v>
      </x:c>
      <x:c r="F1074" s="56" t="str">
        <x:v>LAB-UR-001</x:v>
      </x:c>
      <x:c r="G1074" s="56" t="n">
        <x:v>11</x:v>
      </x:c>
      <x:c r="H1074" s="56" t="str">
        <x:v>病例特异得分项</x:v>
      </x:c>
      <x:c r="I1074" s="56" t="str">
        <x:v>否</x:v>
      </x:c>
      <x:c r="J1074" s="56" t="str">
        <x:v>否</x:v>
      </x:c>
      <x:c r="K1074" s="56" t="str">
        <x:v>否</x:v>
      </x:c>
      <x:c r="L1074" s="56" t="str">
        <x:v>按结构化事件证据给予0/部分/满分；不能由总结反推已完成</x:v>
      </x:c>
      <x:c r="M1074" s="56" t="str"/>
      <x:c r="N1074" s="56" t="n">
        <x:f>SUMIFS($G$4:$G$1673,$A$4:$A$1673,A1074)</x:f>
        <x:v>360</x:v>
      </x:c>
      <x:c r="O1074" s="56" t="str">
        <x:f>IF(N1074=360,"通过","失败")</x:f>
        <x:v>通过</x:v>
      </x:c>
      <x:c r="P1074" s="56" t="str"/>
      <x:c r="Q1074" s="59" t="str">
        <x:v>待确认</x:v>
      </x:c>
    </x:row>
    <x:row r="1075">
      <x:c r="A1075" s="56" t="str">
        <x:v>P027</x:v>
      </x:c>
      <x:c r="B1075" s="56" t="str">
        <x:v>HX-ADD-015</x:v>
      </x:c>
      <x:c r="C1075" s="56" t="str">
        <x:v>orders</x:v>
      </x:c>
      <x:c r="D1075" s="56" t="n">
        <x:v>55</x:v>
      </x:c>
      <x:c r="E1075" s="56" t="str">
        <x:v>orders.LAB-UR-002</x:v>
      </x:c>
      <x:c r="F1075" s="56" t="str">
        <x:v>LAB-UR-002</x:v>
      </x:c>
      <x:c r="G1075" s="56" t="n">
        <x:v>11</x:v>
      </x:c>
      <x:c r="H1075" s="56" t="str">
        <x:v>病例特异得分项</x:v>
      </x:c>
      <x:c r="I1075" s="56" t="str">
        <x:v>否</x:v>
      </x:c>
      <x:c r="J1075" s="56" t="str">
        <x:v>否</x:v>
      </x:c>
      <x:c r="K1075" s="56" t="str">
        <x:v>否</x:v>
      </x:c>
      <x:c r="L1075" s="56" t="str">
        <x:v>按结构化事件证据给予0/部分/满分；不能由总结反推已完成</x:v>
      </x:c>
      <x:c r="M1075" s="56" t="str"/>
      <x:c r="N1075" s="56" t="n">
        <x:f>SUMIFS($G$4:$G$1673,$A$4:$A$1673,A1075)</x:f>
        <x:v>360</x:v>
      </x:c>
      <x:c r="O1075" s="56" t="str">
        <x:f>IF(N1075=360,"通过","失败")</x:f>
        <x:v>通过</x:v>
      </x:c>
      <x:c r="P1075" s="56" t="str"/>
      <x:c r="Q1075" s="59" t="str">
        <x:v>待确认</x:v>
      </x:c>
    </x:row>
    <x:row r="1076">
      <x:c r="A1076" s="56" t="str">
        <x:v>P027</x:v>
      </x:c>
      <x:c r="B1076" s="56" t="str">
        <x:v>HX-ADD-015</x:v>
      </x:c>
      <x:c r="C1076" s="56" t="str">
        <x:v>orders</x:v>
      </x:c>
      <x:c r="D1076" s="56" t="n">
        <x:v>55</x:v>
      </x:c>
      <x:c r="E1076" s="56" t="str">
        <x:v>orders.LAB-BL-003</x:v>
      </x:c>
      <x:c r="F1076" s="56" t="str">
        <x:v>LAB-BL-003</x:v>
      </x:c>
      <x:c r="G1076" s="56" t="n">
        <x:v>11</x:v>
      </x:c>
      <x:c r="H1076" s="56" t="str">
        <x:v>病例特异得分项</x:v>
      </x:c>
      <x:c r="I1076" s="56" t="str">
        <x:v>否</x:v>
      </x:c>
      <x:c r="J1076" s="56" t="str">
        <x:v>否</x:v>
      </x:c>
      <x:c r="K1076" s="56" t="str">
        <x:v>否</x:v>
      </x:c>
      <x:c r="L1076" s="56" t="str">
        <x:v>按结构化事件证据给予0/部分/满分；不能由总结反推已完成</x:v>
      </x:c>
      <x:c r="M1076" s="56" t="str"/>
      <x:c r="N1076" s="56" t="n">
        <x:f>SUMIFS($G$4:$G$1673,$A$4:$A$1673,A1076)</x:f>
        <x:v>360</x:v>
      </x:c>
      <x:c r="O1076" s="56" t="str">
        <x:f>IF(N1076=360,"通过","失败")</x:f>
        <x:v>通过</x:v>
      </x:c>
      <x:c r="P1076" s="56" t="str"/>
      <x:c r="Q1076" s="59" t="str">
        <x:v>待确认</x:v>
      </x:c>
    </x:row>
    <x:row r="1077">
      <x:c r="A1077" s="56" t="str">
        <x:v>P027</x:v>
      </x:c>
      <x:c r="B1077" s="56" t="str">
        <x:v>HX-ADD-015</x:v>
      </x:c>
      <x:c r="C1077" s="56" t="str">
        <x:v>orders</x:v>
      </x:c>
      <x:c r="D1077" s="56" t="n">
        <x:v>55</x:v>
      </x:c>
      <x:c r="E1077" s="56" t="str">
        <x:v>orders.IMG-CT-001</x:v>
      </x:c>
      <x:c r="F1077" s="56" t="str">
        <x:v>IMG-CT-001</x:v>
      </x:c>
      <x:c r="G1077" s="56" t="n">
        <x:v>11</x:v>
      </x:c>
      <x:c r="H1077" s="56" t="str">
        <x:v>病例特异得分项</x:v>
      </x:c>
      <x:c r="I1077" s="56" t="str">
        <x:v>否</x:v>
      </x:c>
      <x:c r="J1077" s="56" t="str">
        <x:v>否</x:v>
      </x:c>
      <x:c r="K1077" s="56" t="str">
        <x:v>否</x:v>
      </x:c>
      <x:c r="L1077" s="56" t="str">
        <x:v>按结构化事件证据给予0/部分/满分；不能由总结反推已完成</x:v>
      </x:c>
      <x:c r="M1077" s="56" t="str"/>
      <x:c r="N1077" s="56" t="n">
        <x:f>SUMIFS($G$4:$G$1673,$A$4:$A$1673,A1077)</x:f>
        <x:v>360</x:v>
      </x:c>
      <x:c r="O1077" s="56" t="str">
        <x:f>IF(N1077=360,"通过","失败")</x:f>
        <x:v>通过</x:v>
      </x:c>
      <x:c r="P1077" s="56" t="str"/>
      <x:c r="Q1077" s="59" t="str">
        <x:v>待确认</x:v>
      </x:c>
    </x:row>
    <x:row r="1078">
      <x:c r="A1078" s="56" t="str">
        <x:v>P027</x:v>
      </x:c>
      <x:c r="B1078" s="56" t="str">
        <x:v>HX-ADD-015</x:v>
      </x:c>
      <x:c r="C1078" s="56" t="str">
        <x:v>orders</x:v>
      </x:c>
      <x:c r="D1078" s="56" t="n">
        <x:v>55</x:v>
      </x:c>
      <x:c r="E1078" s="56" t="str">
        <x:v>orders.IMG-US-001</x:v>
      </x:c>
      <x:c r="F1078" s="56" t="str">
        <x:v>IMG-US-001</x:v>
      </x:c>
      <x:c r="G1078" s="56" t="n">
        <x:v>11</x:v>
      </x:c>
      <x:c r="H1078" s="56" t="str">
        <x:v>病例特异得分项</x:v>
      </x:c>
      <x:c r="I1078" s="56" t="str">
        <x:v>否</x:v>
      </x:c>
      <x:c r="J1078" s="56" t="str">
        <x:v>否</x:v>
      </x:c>
      <x:c r="K1078" s="56" t="str">
        <x:v>否</x:v>
      </x:c>
      <x:c r="L1078" s="56" t="str">
        <x:v>按结构化事件证据给予0/部分/满分；不能由总结反推已完成</x:v>
      </x:c>
      <x:c r="M1078" s="56" t="str"/>
      <x:c r="N1078" s="56" t="n">
        <x:f>SUMIFS($G$4:$G$1673,$A$4:$A$1673,A1078)</x:f>
        <x:v>360</x:v>
      </x:c>
      <x:c r="O1078" s="56" t="str">
        <x:f>IF(N1078=360,"通过","失败")</x:f>
        <x:v>通过</x:v>
      </x:c>
      <x:c r="P1078" s="56" t="str"/>
      <x:c r="Q1078" s="59" t="str">
        <x:v>待确认</x:v>
      </x:c>
    </x:row>
    <x:row r="1079">
      <x:c r="A1079" s="56" t="str">
        <x:v>P027</x:v>
      </x:c>
      <x:c r="B1079" s="56" t="str">
        <x:v>HX-ADD-015</x:v>
      </x:c>
      <x:c r="C1079" s="56" t="str">
        <x:v>mdt</x:v>
      </x:c>
      <x:c r="D1079" s="56" t="n">
        <x:v>45</x:v>
      </x:c>
      <x:c r="E1079" s="56" t="str">
        <x:v>mdt.department</x:v>
      </x:c>
      <x:c r="F1079" s="56" t="str">
        <x:v>department</x:v>
      </x:c>
      <x:c r="G1079" s="56" t="n">
        <x:v>12</x:v>
      </x:c>
      <x:c r="H1079" s="56" t="str">
        <x:v>病例特异得分项</x:v>
      </x:c>
      <x:c r="I1079" s="56" t="str">
        <x:v>否</x:v>
      </x:c>
      <x:c r="J1079" s="56" t="str">
        <x:v>否</x:v>
      </x:c>
      <x:c r="K1079" s="56" t="str">
        <x:v>否</x:v>
      </x:c>
      <x:c r="L1079" s="56" t="str">
        <x:v>按结构化事件证据给予0/部分/满分；不能由总结反推已完成</x:v>
      </x:c>
      <x:c r="M1079" s="56" t="str"/>
      <x:c r="N1079" s="56" t="n">
        <x:f>SUMIFS($G$4:$G$1673,$A$4:$A$1673,A1079)</x:f>
        <x:v>360</x:v>
      </x:c>
      <x:c r="O1079" s="56" t="str">
        <x:f>IF(N1079=360,"通过","失败")</x:f>
        <x:v>通过</x:v>
      </x:c>
      <x:c r="P1079" s="56" t="str"/>
      <x:c r="Q1079" s="59" t="str">
        <x:v>待确认</x:v>
      </x:c>
    </x:row>
    <x:row r="1080">
      <x:c r="A1080" s="56" t="str">
        <x:v>P027</x:v>
      </x:c>
      <x:c r="B1080" s="56" t="str">
        <x:v>HX-ADD-015</x:v>
      </x:c>
      <x:c r="C1080" s="56" t="str">
        <x:v>mdt</x:v>
      </x:c>
      <x:c r="D1080" s="56" t="n">
        <x:v>45</x:v>
      </x:c>
      <x:c r="E1080" s="56" t="str">
        <x:v>mdt.trigger</x:v>
      </x:c>
      <x:c r="F1080" s="56" t="str">
        <x:v>trigger</x:v>
      </x:c>
      <x:c r="G1080" s="56" t="n">
        <x:v>11</x:v>
      </x:c>
      <x:c r="H1080" s="56" t="str">
        <x:v>病例特异得分项</x:v>
      </x:c>
      <x:c r="I1080" s="56" t="str">
        <x:v>否</x:v>
      </x:c>
      <x:c r="J1080" s="56" t="str">
        <x:v>否</x:v>
      </x:c>
      <x:c r="K1080" s="56" t="str">
        <x:v>否</x:v>
      </x:c>
      <x:c r="L1080" s="56" t="str">
        <x:v>按结构化事件证据给予0/部分/满分；不能由总结反推已完成</x:v>
      </x:c>
      <x:c r="M1080" s="56" t="str"/>
      <x:c r="N1080" s="56" t="n">
        <x:f>SUMIFS($G$4:$G$1673,$A$4:$A$1673,A1080)</x:f>
        <x:v>360</x:v>
      </x:c>
      <x:c r="O1080" s="56" t="str">
        <x:f>IF(N1080=360,"通过","失败")</x:f>
        <x:v>通过</x:v>
      </x:c>
      <x:c r="P1080" s="56" t="str"/>
      <x:c r="Q1080" s="59" t="str">
        <x:v>待确认</x:v>
      </x:c>
    </x:row>
    <x:row r="1081">
      <x:c r="A1081" s="56" t="str">
        <x:v>P027</x:v>
      </x:c>
      <x:c r="B1081" s="56" t="str">
        <x:v>HX-ADD-015</x:v>
      </x:c>
      <x:c r="C1081" s="56" t="str">
        <x:v>mdt</x:v>
      </x:c>
      <x:c r="D1081" s="56" t="n">
        <x:v>45</x:v>
      </x:c>
      <x:c r="E1081" s="56" t="str">
        <x:v>mdt.question</x:v>
      </x:c>
      <x:c r="F1081" s="56" t="str">
        <x:v>question</x:v>
      </x:c>
      <x:c r="G1081" s="56" t="n">
        <x:v>11</x:v>
      </x:c>
      <x:c r="H1081" s="56" t="str">
        <x:v>病例特异得分项</x:v>
      </x:c>
      <x:c r="I1081" s="56" t="str">
        <x:v>否</x:v>
      </x:c>
      <x:c r="J1081" s="56" t="str">
        <x:v>否</x:v>
      </x:c>
      <x:c r="K1081" s="56" t="str">
        <x:v>否</x:v>
      </x:c>
      <x:c r="L1081" s="56" t="str">
        <x:v>按结构化事件证据给予0/部分/满分；不能由总结反推已完成</x:v>
      </x:c>
      <x:c r="M1081" s="56" t="str"/>
      <x:c r="N1081" s="56" t="n">
        <x:f>SUMIFS($G$4:$G$1673,$A$4:$A$1673,A1081)</x:f>
        <x:v>360</x:v>
      </x:c>
      <x:c r="O1081" s="56" t="str">
        <x:f>IF(N1081=360,"通过","失败")</x:f>
        <x:v>通过</x:v>
      </x:c>
      <x:c r="P1081" s="56" t="str"/>
      <x:c r="Q1081" s="59" t="str">
        <x:v>待确认</x:v>
      </x:c>
    </x:row>
    <x:row r="1082">
      <x:c r="A1082" s="56" t="str">
        <x:v>P027</x:v>
      </x:c>
      <x:c r="B1082" s="56" t="str">
        <x:v>HX-ADD-015</x:v>
      </x:c>
      <x:c r="C1082" s="56" t="str">
        <x:v>mdt</x:v>
      </x:c>
      <x:c r="D1082" s="56" t="n">
        <x:v>45</x:v>
      </x:c>
      <x:c r="E1082" s="56" t="str">
        <x:v>mdt.evidence</x:v>
      </x:c>
      <x:c r="F1082" s="56" t="str">
        <x:v>evidence</x:v>
      </x:c>
      <x:c r="G1082" s="56" t="n">
        <x:v>11</x:v>
      </x:c>
      <x:c r="H1082" s="56" t="str">
        <x:v>病例特异得分项</x:v>
      </x:c>
      <x:c r="I1082" s="56" t="str">
        <x:v>否</x:v>
      </x:c>
      <x:c r="J1082" s="56" t="str">
        <x:v>否</x:v>
      </x:c>
      <x:c r="K1082" s="56" t="str">
        <x:v>否</x:v>
      </x:c>
      <x:c r="L1082" s="56" t="str">
        <x:v>按结构化事件证据给予0/部分/满分；不能由总结反推已完成</x:v>
      </x:c>
      <x:c r="M1082" s="56" t="str"/>
      <x:c r="N1082" s="56" t="n">
        <x:f>SUMIFS($G$4:$G$1673,$A$4:$A$1673,A1082)</x:f>
        <x:v>360</x:v>
      </x:c>
      <x:c r="O1082" s="56" t="str">
        <x:f>IF(N1082=360,"通过","失败")</x:f>
        <x:v>通过</x:v>
      </x:c>
      <x:c r="P1082" s="56" t="str"/>
      <x:c r="Q1082" s="59" t="str">
        <x:v>待确认</x:v>
      </x:c>
    </x:row>
    <x:row r="1083">
      <x:c r="A1083" s="56" t="str">
        <x:v>P027</x:v>
      </x:c>
      <x:c r="B1083" s="56" t="str">
        <x:v>HX-ADD-015</x:v>
      </x:c>
      <x:c r="C1083" s="56" t="str">
        <x:v>treatment</x:v>
      </x:c>
      <x:c r="D1083" s="56" t="n">
        <x:v>50</x:v>
      </x:c>
      <x:c r="E1083" s="56" t="str">
        <x:v>treatment.immediate</x:v>
      </x:c>
      <x:c r="F1083" s="56" t="str">
        <x:v>immediate</x:v>
      </x:c>
      <x:c r="G1083" s="56" t="n">
        <x:v>13</x:v>
      </x:c>
      <x:c r="H1083" s="56" t="str">
        <x:v>病例特异得分项</x:v>
      </x:c>
      <x:c r="I1083" s="56" t="str">
        <x:v>否</x:v>
      </x:c>
      <x:c r="J1083" s="56" t="str">
        <x:v>否</x:v>
      </x:c>
      <x:c r="K1083" s="56" t="str">
        <x:v>否</x:v>
      </x:c>
      <x:c r="L1083" s="56" t="str">
        <x:v>按结构化事件证据给予0/部分/满分；不能由总结反推已完成</x:v>
      </x:c>
      <x:c r="M1083" s="56" t="str"/>
      <x:c r="N1083" s="56" t="n">
        <x:f>SUMIFS($G$4:$G$1673,$A$4:$A$1673,A1083)</x:f>
        <x:v>360</x:v>
      </x:c>
      <x:c r="O1083" s="56" t="str">
        <x:f>IF(N1083=360,"通过","失败")</x:f>
        <x:v>通过</x:v>
      </x:c>
      <x:c r="P1083" s="56" t="str"/>
      <x:c r="Q1083" s="59" t="str">
        <x:v>待确认</x:v>
      </x:c>
    </x:row>
    <x:row r="1084">
      <x:c r="A1084" s="56" t="str">
        <x:v>P027</x:v>
      </x:c>
      <x:c r="B1084" s="56" t="str">
        <x:v>HX-ADD-015</x:v>
      </x:c>
      <x:c r="C1084" s="56" t="str">
        <x:v>treatment</x:v>
      </x:c>
      <x:c r="D1084" s="56" t="n">
        <x:v>50</x:v>
      </x:c>
      <x:c r="E1084" s="56" t="str">
        <x:v>treatment.etiologic</x:v>
      </x:c>
      <x:c r="F1084" s="56" t="str">
        <x:v>etiologic</x:v>
      </x:c>
      <x:c r="G1084" s="56" t="n">
        <x:v>13</x:v>
      </x:c>
      <x:c r="H1084" s="56" t="str">
        <x:v>病例特异得分项</x:v>
      </x:c>
      <x:c r="I1084" s="56" t="str">
        <x:v>否</x:v>
      </x:c>
      <x:c r="J1084" s="56" t="str">
        <x:v>否</x:v>
      </x:c>
      <x:c r="K1084" s="56" t="str">
        <x:v>否</x:v>
      </x:c>
      <x:c r="L1084" s="56" t="str">
        <x:v>按结构化事件证据给予0/部分/满分；不能由总结反推已完成</x:v>
      </x:c>
      <x:c r="M1084" s="56" t="str"/>
      <x:c r="N1084" s="56" t="n">
        <x:f>SUMIFS($G$4:$G$1673,$A$4:$A$1673,A1084)</x:f>
        <x:v>360</x:v>
      </x:c>
      <x:c r="O1084" s="56" t="str">
        <x:f>IF(N1084=360,"通过","失败")</x:f>
        <x:v>通过</x:v>
      </x:c>
      <x:c r="P1084" s="56" t="str"/>
      <x:c r="Q1084" s="59" t="str">
        <x:v>待确认</x:v>
      </x:c>
    </x:row>
    <x:row r="1085">
      <x:c r="A1085" s="56" t="str">
        <x:v>P027</x:v>
      </x:c>
      <x:c r="B1085" s="56" t="str">
        <x:v>HX-ADD-015</x:v>
      </x:c>
      <x:c r="C1085" s="56" t="str">
        <x:v>treatment</x:v>
      </x:c>
      <x:c r="D1085" s="56" t="n">
        <x:v>50</x:v>
      </x:c>
      <x:c r="E1085" s="56" t="str">
        <x:v>treatment.definitive</x:v>
      </x:c>
      <x:c r="F1085" s="56" t="str">
        <x:v>definitive</x:v>
      </x:c>
      <x:c r="G1085" s="56" t="n">
        <x:v>12</x:v>
      </x:c>
      <x:c r="H1085" s="56" t="str">
        <x:v>病例特异得分项</x:v>
      </x:c>
      <x:c r="I1085" s="56" t="str">
        <x:v>否</x:v>
      </x:c>
      <x:c r="J1085" s="56" t="str">
        <x:v>否</x:v>
      </x:c>
      <x:c r="K1085" s="56" t="str">
        <x:v>否</x:v>
      </x:c>
      <x:c r="L1085" s="56" t="str">
        <x:v>按结构化事件证据给予0/部分/满分；不能由总结反推已完成</x:v>
      </x:c>
      <x:c r="M1085" s="56" t="str"/>
      <x:c r="N1085" s="56" t="n">
        <x:f>SUMIFS($G$4:$G$1673,$A$4:$A$1673,A1085)</x:f>
        <x:v>360</x:v>
      </x:c>
      <x:c r="O1085" s="56" t="str">
        <x:f>IF(N1085=360,"通过","失败")</x:f>
        <x:v>通过</x:v>
      </x:c>
      <x:c r="P1085" s="56" t="str"/>
      <x:c r="Q1085" s="59" t="str">
        <x:v>待确认</x:v>
      </x:c>
    </x:row>
    <x:row r="1086">
      <x:c r="A1086" s="56" t="str">
        <x:v>P027</x:v>
      </x:c>
      <x:c r="B1086" s="56" t="str">
        <x:v>HX-ADD-015</x:v>
      </x:c>
      <x:c r="C1086" s="56" t="str">
        <x:v>treatment</x:v>
      </x:c>
      <x:c r="D1086" s="56" t="n">
        <x:v>50</x:v>
      </x:c>
      <x:c r="E1086" s="56" t="str">
        <x:v>treatment.perioperative</x:v>
      </x:c>
      <x:c r="F1086" s="56" t="str">
        <x:v>perioperative</x:v>
      </x:c>
      <x:c r="G1086" s="56" t="n">
        <x:v>12</x:v>
      </x:c>
      <x:c r="H1086" s="56" t="str">
        <x:v>病例特异得分项</x:v>
      </x:c>
      <x:c r="I1086" s="56" t="str">
        <x:v>否</x:v>
      </x:c>
      <x:c r="J1086" s="56" t="str">
        <x:v>否</x:v>
      </x:c>
      <x:c r="K1086" s="56" t="str">
        <x:v>否</x:v>
      </x:c>
      <x:c r="L1086" s="56" t="str">
        <x:v>按结构化事件证据给予0/部分/满分；不能由总结反推已完成</x:v>
      </x:c>
      <x:c r="M1086" s="56" t="str"/>
      <x:c r="N1086" s="56" t="n">
        <x:f>SUMIFS($G$4:$G$1673,$A$4:$A$1673,A1086)</x:f>
        <x:v>360</x:v>
      </x:c>
      <x:c r="O1086" s="56" t="str">
        <x:f>IF(N1086=360,"通过","失败")</x:f>
        <x:v>通过</x:v>
      </x:c>
      <x:c r="P1086" s="56" t="str"/>
      <x:c r="Q1086" s="59" t="str">
        <x:v>待确认</x:v>
      </x:c>
    </x:row>
    <x:row r="1087">
      <x:c r="A1087" s="56" t="str">
        <x:v>P027</x:v>
      </x:c>
      <x:c r="B1087" s="56" t="str">
        <x:v>HX-ADD-015</x:v>
      </x:c>
      <x:c r="C1087" s="56" t="str">
        <x:v>followup</x:v>
      </x:c>
      <x:c r="D1087" s="56" t="n">
        <x:v>40</x:v>
      </x:c>
      <x:c r="E1087" s="56" t="str">
        <x:v>followup.plan</x:v>
      </x:c>
      <x:c r="F1087" s="56" t="str">
        <x:v>随访复查</x:v>
      </x:c>
      <x:c r="G1087" s="56" t="n">
        <x:v>10</x:v>
      </x:c>
      <x:c r="H1087" s="56" t="str">
        <x:v>普通得分项</x:v>
      </x:c>
      <x:c r="I1087" s="56" t="str">
        <x:v>否</x:v>
      </x:c>
      <x:c r="J1087" s="56" t="str">
        <x:v>否</x:v>
      </x:c>
      <x:c r="K1087" s="56" t="str">
        <x:v>否</x:v>
      </x:c>
      <x:c r="L1087" s="56" t="str">
        <x:v>按结构化事件证据给予0/部分/满分；不能由总结反推已完成</x:v>
      </x:c>
      <x:c r="M1087" s="56" t="str"/>
      <x:c r="N1087" s="56" t="n">
        <x:f>SUMIFS($G$4:$G$1673,$A$4:$A$1673,A1087)</x:f>
        <x:v>360</x:v>
      </x:c>
      <x:c r="O1087" s="56" t="str">
        <x:f>IF(N1087=360,"通过","失败")</x:f>
        <x:v>通过</x:v>
      </x:c>
      <x:c r="P1087" s="56" t="str"/>
      <x:c r="Q1087" s="59" t="str">
        <x:v>待确认</x:v>
      </x:c>
    </x:row>
    <x:row r="1088">
      <x:c r="A1088" s="56" t="str">
        <x:v>P027</x:v>
      </x:c>
      <x:c r="B1088" s="56" t="str">
        <x:v>HX-ADD-015</x:v>
      </x:c>
      <x:c r="C1088" s="56" t="str">
        <x:v>followup</x:v>
      </x:c>
      <x:c r="D1088" s="56" t="n">
        <x:v>40</x:v>
      </x:c>
      <x:c r="E1088" s="56" t="str">
        <x:v>followup.education</x:v>
      </x:c>
      <x:c r="F1088" s="56" t="str">
        <x:v>患者教育</x:v>
      </x:c>
      <x:c r="G1088" s="56" t="n">
        <x:v>10</x:v>
      </x:c>
      <x:c r="H1088" s="56" t="str">
        <x:v>普通得分项</x:v>
      </x:c>
      <x:c r="I1088" s="56" t="str">
        <x:v>否</x:v>
      </x:c>
      <x:c r="J1088" s="56" t="str">
        <x:v>否</x:v>
      </x:c>
      <x:c r="K1088" s="56" t="str">
        <x:v>否</x:v>
      </x:c>
      <x:c r="L1088" s="56" t="str">
        <x:v>按结构化事件证据给予0/部分/满分；不能由总结反推已完成</x:v>
      </x:c>
      <x:c r="M1088" s="56" t="str"/>
      <x:c r="N1088" s="56" t="n">
        <x:f>SUMIFS($G$4:$G$1673,$A$4:$A$1673,A1088)</x:f>
        <x:v>360</x:v>
      </x:c>
      <x:c r="O1088" s="56" t="str">
        <x:f>IF(N1088=360,"通过","失败")</x:f>
        <x:v>通过</x:v>
      </x:c>
      <x:c r="P1088" s="56" t="str"/>
      <x:c r="Q1088" s="59" t="str">
        <x:v>待确认</x:v>
      </x:c>
    </x:row>
    <x:row r="1089">
      <x:c r="A1089" s="56" t="str">
        <x:v>P027</x:v>
      </x:c>
      <x:c r="B1089" s="56" t="str">
        <x:v>HX-ADD-015</x:v>
      </x:c>
      <x:c r="C1089" s="56" t="str">
        <x:v>followup</x:v>
      </x:c>
      <x:c r="D1089" s="56" t="n">
        <x:v>40</x:v>
      </x:c>
      <x:c r="E1089" s="56" t="str">
        <x:v>followup.reflection</x:v>
      </x:c>
      <x:c r="F1089" s="56" t="str">
        <x:v>学习反思质量</x:v>
      </x:c>
      <x:c r="G1089" s="56" t="n">
        <x:v>10</x:v>
      </x:c>
      <x:c r="H1089" s="56" t="str">
        <x:v>普通得分项</x:v>
      </x:c>
      <x:c r="I1089" s="56" t="str">
        <x:v>否</x:v>
      </x:c>
      <x:c r="J1089" s="56" t="str">
        <x:v>否</x:v>
      </x:c>
      <x:c r="K1089" s="56" t="str">
        <x:v>否</x:v>
      </x:c>
      <x:c r="L1089" s="56" t="str">
        <x:v>按结构化事件证据给予0/部分/满分；不能由总结反推已完成</x:v>
      </x:c>
      <x:c r="M1089" s="56" t="str"/>
      <x:c r="N1089" s="56" t="n">
        <x:f>SUMIFS($G$4:$G$1673,$A$4:$A$1673,A1089)</x:f>
        <x:v>360</x:v>
      </x:c>
      <x:c r="O1089" s="56" t="str">
        <x:f>IF(N1089=360,"通过","失败")</x:f>
        <x:v>通过</x:v>
      </x:c>
      <x:c r="P1089" s="56" t="str"/>
      <x:c r="Q1089" s="59" t="str">
        <x:v>待确认</x:v>
      </x:c>
    </x:row>
    <x:row r="1090">
      <x:c r="A1090" s="56" t="str">
        <x:v>P027</x:v>
      </x:c>
      <x:c r="B1090" s="56" t="str">
        <x:v>HX-ADD-015</x:v>
      </x:c>
      <x:c r="C1090" s="56" t="str">
        <x:v>followup</x:v>
      </x:c>
      <x:c r="D1090" s="56" t="n">
        <x:v>40</x:v>
      </x:c>
      <x:c r="E1090" s="56" t="str">
        <x:v>followup.efficiency</x:v>
      </x:c>
      <x:c r="F1090" s="56" t="str">
        <x:v>操作效率</x:v>
      </x:c>
      <x:c r="G1090" s="56" t="n">
        <x:v>10</x:v>
      </x:c>
      <x:c r="H1090" s="56" t="str">
        <x:v>普通得分项</x:v>
      </x:c>
      <x:c r="I1090" s="56" t="str">
        <x:v>否</x:v>
      </x:c>
      <x:c r="J1090" s="56" t="str">
        <x:v>否</x:v>
      </x:c>
      <x:c r="K1090" s="56" t="str">
        <x:v>否</x:v>
      </x:c>
      <x:c r="L1090" s="56" t="str">
        <x:v>按结构化事件证据给予0/部分/满分；不能由总结反推已完成</x:v>
      </x:c>
      <x:c r="M1090" s="56" t="str"/>
      <x:c r="N1090" s="56" t="n">
        <x:f>SUMIFS($G$4:$G$1673,$A$4:$A$1673,A1090)</x:f>
        <x:v>360</x:v>
      </x:c>
      <x:c r="O1090" s="56" t="str">
        <x:f>IF(N1090=360,"通过","失败")</x:f>
        <x:v>通过</x:v>
      </x:c>
      <x:c r="P1090" s="56" t="str"/>
      <x:c r="Q1090" s="59" t="str">
        <x:v>待确认</x:v>
      </x:c>
    </x:row>
    <x:row r="1091">
      <x:c r="A1091" s="56" t="str">
        <x:v>P028</x:v>
      </x:c>
      <x:c r="B1091" s="56" t="str">
        <x:v>HX-ADD-016</x:v>
      </x:c>
      <x:c r="C1091" s="56" t="str">
        <x:v>history</x:v>
      </x:c>
      <x:c r="D1091" s="56" t="n">
        <x:v>50</x:v>
      </x:c>
      <x:c r="E1091" s="56" t="str">
        <x:v>history.hematuria_visibility</x:v>
      </x:c>
      <x:c r="F1091" s="56" t="str">
        <x:v>hematuria_visibility</x:v>
      </x:c>
      <x:c r="G1091" s="56" t="n">
        <x:v>5</x:v>
      </x:c>
      <x:c r="H1091" s="56" t="str">
        <x:v>普通得分项</x:v>
      </x:c>
      <x:c r="I1091" s="56" t="str">
        <x:v>否</x:v>
      </x:c>
      <x:c r="J1091" s="56" t="str">
        <x:v>否</x:v>
      </x:c>
      <x:c r="K1091" s="56" t="str">
        <x:v>否</x:v>
      </x:c>
      <x:c r="L1091" s="56" t="str">
        <x:v>按结构化事件证据给予0/部分/满分；不能由总结反推已完成</x:v>
      </x:c>
      <x:c r="M1091" s="56" t="str"/>
      <x:c r="N1091" s="56" t="n">
        <x:f>SUMIFS($G$4:$G$1673,$A$4:$A$1673,A1091)</x:f>
        <x:v>360</x:v>
      </x:c>
      <x:c r="O1091" s="56" t="str">
        <x:f>IF(N1091=360,"通过","失败")</x:f>
        <x:v>通过</x:v>
      </x:c>
      <x:c r="P1091" s="56" t="str"/>
      <x:c r="Q1091" s="59" t="str">
        <x:v>待确认</x:v>
      </x:c>
    </x:row>
    <x:row r="1092">
      <x:c r="A1092" s="56" t="str">
        <x:v>P028</x:v>
      </x:c>
      <x:c r="B1092" s="56" t="str">
        <x:v>HX-ADD-016</x:v>
      </x:c>
      <x:c r="C1092" s="56" t="str">
        <x:v>history</x:v>
      </x:c>
      <x:c r="D1092" s="56" t="n">
        <x:v>50</x:v>
      </x:c>
      <x:c r="E1092" s="56" t="str">
        <x:v>history.hematuria_onset</x:v>
      </x:c>
      <x:c r="F1092" s="56" t="str">
        <x:v>hematuria_onset</x:v>
      </x:c>
      <x:c r="G1092" s="56" t="n">
        <x:v>5</x:v>
      </x:c>
      <x:c r="H1092" s="56" t="str">
        <x:v>普通得分项</x:v>
      </x:c>
      <x:c r="I1092" s="56" t="str">
        <x:v>否</x:v>
      </x:c>
      <x:c r="J1092" s="56" t="str">
        <x:v>否</x:v>
      </x:c>
      <x:c r="K1092" s="56" t="str">
        <x:v>否</x:v>
      </x:c>
      <x:c r="L1092" s="56" t="str">
        <x:v>按结构化事件证据给予0/部分/满分；不能由总结反推已完成</x:v>
      </x:c>
      <x:c r="M1092" s="56" t="str"/>
      <x:c r="N1092" s="56" t="n">
        <x:f>SUMIFS($G$4:$G$1673,$A$4:$A$1673,A1092)</x:f>
        <x:v>360</x:v>
      </x:c>
      <x:c r="O1092" s="56" t="str">
        <x:f>IF(N1092=360,"通过","失败")</x:f>
        <x:v>通过</x:v>
      </x:c>
      <x:c r="P1092" s="56" t="str"/>
      <x:c r="Q1092" s="59" t="str">
        <x:v>待确认</x:v>
      </x:c>
    </x:row>
    <x:row r="1093">
      <x:c r="A1093" s="56" t="str">
        <x:v>P028</x:v>
      </x:c>
      <x:c r="B1093" s="56" t="str">
        <x:v>HX-ADD-016</x:v>
      </x:c>
      <x:c r="C1093" s="56" t="str">
        <x:v>history</x:v>
      </x:c>
      <x:c r="D1093" s="56" t="n">
        <x:v>50</x:v>
      </x:c>
      <x:c r="E1093" s="56" t="str">
        <x:v>history.hematuria_frequency</x:v>
      </x:c>
      <x:c r="F1093" s="56" t="str">
        <x:v>hematuria_frequency</x:v>
      </x:c>
      <x:c r="G1093" s="56" t="n">
        <x:v>4</x:v>
      </x:c>
      <x:c r="H1093" s="56" t="str">
        <x:v>普通得分项</x:v>
      </x:c>
      <x:c r="I1093" s="56" t="str">
        <x:v>否</x:v>
      </x:c>
      <x:c r="J1093" s="56" t="str">
        <x:v>否</x:v>
      </x:c>
      <x:c r="K1093" s="56" t="str">
        <x:v>否</x:v>
      </x:c>
      <x:c r="L1093" s="56" t="str">
        <x:v>按结构化事件证据给予0/部分/满分；不能由总结反推已完成</x:v>
      </x:c>
      <x:c r="M1093" s="56" t="str"/>
      <x:c r="N1093" s="56" t="n">
        <x:f>SUMIFS($G$4:$G$1673,$A$4:$A$1673,A1093)</x:f>
        <x:v>360</x:v>
      </x:c>
      <x:c r="O1093" s="56" t="str">
        <x:f>IF(N1093=360,"通过","失败")</x:f>
        <x:v>通过</x:v>
      </x:c>
      <x:c r="P1093" s="56" t="str"/>
      <x:c r="Q1093" s="59" t="str">
        <x:v>待确认</x:v>
      </x:c>
    </x:row>
    <x:row r="1094">
      <x:c r="A1094" s="56" t="str">
        <x:v>P028</x:v>
      </x:c>
      <x:c r="B1094" s="56" t="str">
        <x:v>HX-ADD-016</x:v>
      </x:c>
      <x:c r="C1094" s="56" t="str">
        <x:v>history</x:v>
      </x:c>
      <x:c r="D1094" s="56" t="n">
        <x:v>50</x:v>
      </x:c>
      <x:c r="E1094" s="56" t="str">
        <x:v>history.hematuria_phase</x:v>
      </x:c>
      <x:c r="F1094" s="56" t="str">
        <x:v>hematuria_phase</x:v>
      </x:c>
      <x:c r="G1094" s="56" t="n">
        <x:v>4</x:v>
      </x:c>
      <x:c r="H1094" s="56" t="str">
        <x:v>普通得分项</x:v>
      </x:c>
      <x:c r="I1094" s="56" t="str">
        <x:v>否</x:v>
      </x:c>
      <x:c r="J1094" s="56" t="str">
        <x:v>否</x:v>
      </x:c>
      <x:c r="K1094" s="56" t="str">
        <x:v>否</x:v>
      </x:c>
      <x:c r="L1094" s="56" t="str">
        <x:v>按结构化事件证据给予0/部分/满分；不能由总结反推已完成</x:v>
      </x:c>
      <x:c r="M1094" s="56" t="str"/>
      <x:c r="N1094" s="56" t="n">
        <x:f>SUMIFS($G$4:$G$1673,$A$4:$A$1673,A1094)</x:f>
        <x:v>360</x:v>
      </x:c>
      <x:c r="O1094" s="56" t="str">
        <x:f>IF(N1094=360,"通过","失败")</x:f>
        <x:v>通过</x:v>
      </x:c>
      <x:c r="P1094" s="56" t="str"/>
      <x:c r="Q1094" s="59" t="str">
        <x:v>待确认</x:v>
      </x:c>
    </x:row>
    <x:row r="1095">
      <x:c r="A1095" s="56" t="str">
        <x:v>P028</x:v>
      </x:c>
      <x:c r="B1095" s="56" t="str">
        <x:v>HX-ADD-016</x:v>
      </x:c>
      <x:c r="C1095" s="56" t="str">
        <x:v>history</x:v>
      </x:c>
      <x:c r="D1095" s="56" t="n">
        <x:v>50</x:v>
      </x:c>
      <x:c r="E1095" s="56" t="str">
        <x:v>history.urine_color</x:v>
      </x:c>
      <x:c r="F1095" s="56" t="str">
        <x:v>urine_color</x:v>
      </x:c>
      <x:c r="G1095" s="56" t="n">
        <x:v>4</x:v>
      </x:c>
      <x:c r="H1095" s="56" t="str">
        <x:v>普通得分项</x:v>
      </x:c>
      <x:c r="I1095" s="56" t="str">
        <x:v>否</x:v>
      </x:c>
      <x:c r="J1095" s="56" t="str">
        <x:v>否</x:v>
      </x:c>
      <x:c r="K1095" s="56" t="str">
        <x:v>否</x:v>
      </x:c>
      <x:c r="L1095" s="56" t="str">
        <x:v>按结构化事件证据给予0/部分/满分；不能由总结反推已完成</x:v>
      </x:c>
      <x:c r="M1095" s="56" t="str"/>
      <x:c r="N1095" s="56" t="n">
        <x:f>SUMIFS($G$4:$G$1673,$A$4:$A$1673,A1095)</x:f>
        <x:v>360</x:v>
      </x:c>
      <x:c r="O1095" s="56" t="str">
        <x:f>IF(N1095=360,"通过","失败")</x:f>
        <x:v>通过</x:v>
      </x:c>
      <x:c r="P1095" s="56" t="str"/>
      <x:c r="Q1095" s="59" t="str">
        <x:v>待确认</x:v>
      </x:c>
    </x:row>
    <x:row r="1096">
      <x:c r="A1096" s="56" t="str">
        <x:v>P028</x:v>
      </x:c>
      <x:c r="B1096" s="56" t="str">
        <x:v>HX-ADD-016</x:v>
      </x:c>
      <x:c r="C1096" s="56" t="str">
        <x:v>history</x:v>
      </x:c>
      <x:c r="D1096" s="56" t="n">
        <x:v>50</x:v>
      </x:c>
      <x:c r="E1096" s="56" t="str">
        <x:v>history.clots</x:v>
      </x:c>
      <x:c r="F1096" s="56" t="str">
        <x:v>clots</x:v>
      </x:c>
      <x:c r="G1096" s="56" t="n">
        <x:v>4</x:v>
      </x:c>
      <x:c r="H1096" s="56" t="str">
        <x:v>普通得分项</x:v>
      </x:c>
      <x:c r="I1096" s="56" t="str">
        <x:v>否</x:v>
      </x:c>
      <x:c r="J1096" s="56" t="str">
        <x:v>否</x:v>
      </x:c>
      <x:c r="K1096" s="56" t="str">
        <x:v>否</x:v>
      </x:c>
      <x:c r="L1096" s="56" t="str">
        <x:v>按结构化事件证据给予0/部分/满分；不能由总结反推已完成</x:v>
      </x:c>
      <x:c r="M1096" s="56" t="str"/>
      <x:c r="N1096" s="56" t="n">
        <x:f>SUMIFS($G$4:$G$1673,$A$4:$A$1673,A1096)</x:f>
        <x:v>360</x:v>
      </x:c>
      <x:c r="O1096" s="56" t="str">
        <x:f>IF(N1096=360,"通过","失败")</x:f>
        <x:v>通过</x:v>
      </x:c>
      <x:c r="P1096" s="56" t="str"/>
      <x:c r="Q1096" s="59" t="str">
        <x:v>待确认</x:v>
      </x:c>
    </x:row>
    <x:row r="1097">
      <x:c r="A1097" s="56" t="str">
        <x:v>P028</x:v>
      </x:c>
      <x:c r="B1097" s="56" t="str">
        <x:v>HX-ADD-016</x:v>
      </x:c>
      <x:c r="C1097" s="56" t="str">
        <x:v>history</x:v>
      </x:c>
      <x:c r="D1097" s="56" t="n">
        <x:v>50</x:v>
      </x:c>
      <x:c r="E1097" s="56" t="str">
        <x:v>history.pain</x:v>
      </x:c>
      <x:c r="F1097" s="56" t="str">
        <x:v>pain</x:v>
      </x:c>
      <x:c r="G1097" s="56" t="n">
        <x:v>4</x:v>
      </x:c>
      <x:c r="H1097" s="56" t="str">
        <x:v>普通得分项</x:v>
      </x:c>
      <x:c r="I1097" s="56" t="str">
        <x:v>否</x:v>
      </x:c>
      <x:c r="J1097" s="56" t="str">
        <x:v>否</x:v>
      </x:c>
      <x:c r="K1097" s="56" t="str">
        <x:v>否</x:v>
      </x:c>
      <x:c r="L1097" s="56" t="str">
        <x:v>按结构化事件证据给予0/部分/满分；不能由总结反推已完成</x:v>
      </x:c>
      <x:c r="M1097" s="56" t="str"/>
      <x:c r="N1097" s="56" t="n">
        <x:f>SUMIFS($G$4:$G$1673,$A$4:$A$1673,A1097)</x:f>
        <x:v>360</x:v>
      </x:c>
      <x:c r="O1097" s="56" t="str">
        <x:f>IF(N1097=360,"通过","失败")</x:f>
        <x:v>通过</x:v>
      </x:c>
      <x:c r="P1097" s="56" t="str"/>
      <x:c r="Q1097" s="59" t="str">
        <x:v>待确认</x:v>
      </x:c>
    </x:row>
    <x:row r="1098">
      <x:c r="A1098" s="56" t="str">
        <x:v>P028</x:v>
      </x:c>
      <x:c r="B1098" s="56" t="str">
        <x:v>HX-ADD-016</x:v>
      </x:c>
      <x:c r="C1098" s="56" t="str">
        <x:v>history</x:v>
      </x:c>
      <x:c r="D1098" s="56" t="n">
        <x:v>50</x:v>
      </x:c>
      <x:c r="E1098" s="56" t="str">
        <x:v>history.dysuria</x:v>
      </x:c>
      <x:c r="F1098" s="56" t="str">
        <x:v>dysuria</x:v>
      </x:c>
      <x:c r="G1098" s="56" t="n">
        <x:v>4</x:v>
      </x:c>
      <x:c r="H1098" s="56" t="str">
        <x:v>普通得分项</x:v>
      </x:c>
      <x:c r="I1098" s="56" t="str">
        <x:v>否</x:v>
      </x:c>
      <x:c r="J1098" s="56" t="str">
        <x:v>否</x:v>
      </x:c>
      <x:c r="K1098" s="56" t="str">
        <x:v>否</x:v>
      </x:c>
      <x:c r="L1098" s="56" t="str">
        <x:v>按结构化事件证据给予0/部分/满分；不能由总结反推已完成</x:v>
      </x:c>
      <x:c r="M1098" s="56" t="str"/>
      <x:c r="N1098" s="56" t="n">
        <x:f>SUMIFS($G$4:$G$1673,$A$4:$A$1673,A1098)</x:f>
        <x:v>360</x:v>
      </x:c>
      <x:c r="O1098" s="56" t="str">
        <x:f>IF(N1098=360,"通过","失败")</x:f>
        <x:v>通过</x:v>
      </x:c>
      <x:c r="P1098" s="56" t="str"/>
      <x:c r="Q1098" s="59" t="str">
        <x:v>待确认</x:v>
      </x:c>
    </x:row>
    <x:row r="1099">
      <x:c r="A1099" s="56" t="str">
        <x:v>P028</x:v>
      </x:c>
      <x:c r="B1099" s="56" t="str">
        <x:v>HX-ADD-016</x:v>
      </x:c>
      <x:c r="C1099" s="56" t="str">
        <x:v>history</x:v>
      </x:c>
      <x:c r="D1099" s="56" t="n">
        <x:v>50</x:v>
      </x:c>
      <x:c r="E1099" s="56" t="str">
        <x:v>history.urinary_frequency</x:v>
      </x:c>
      <x:c r="F1099" s="56" t="str">
        <x:v>urinary_frequency</x:v>
      </x:c>
      <x:c r="G1099" s="56" t="n">
        <x:v>4</x:v>
      </x:c>
      <x:c r="H1099" s="56" t="str">
        <x:v>普通得分项</x:v>
      </x:c>
      <x:c r="I1099" s="56" t="str">
        <x:v>否</x:v>
      </x:c>
      <x:c r="J1099" s="56" t="str">
        <x:v>否</x:v>
      </x:c>
      <x:c r="K1099" s="56" t="str">
        <x:v>否</x:v>
      </x:c>
      <x:c r="L1099" s="56" t="str">
        <x:v>按结构化事件证据给予0/部分/满分；不能由总结反推已完成</x:v>
      </x:c>
      <x:c r="M1099" s="56" t="str"/>
      <x:c r="N1099" s="56" t="n">
        <x:f>SUMIFS($G$4:$G$1673,$A$4:$A$1673,A1099)</x:f>
        <x:v>360</x:v>
      </x:c>
      <x:c r="O1099" s="56" t="str">
        <x:f>IF(N1099=360,"通过","失败")</x:f>
        <x:v>通过</x:v>
      </x:c>
      <x:c r="P1099" s="56" t="str"/>
      <x:c r="Q1099" s="59" t="str">
        <x:v>待确认</x:v>
      </x:c>
    </x:row>
    <x:row r="1100">
      <x:c r="A1100" s="56" t="str">
        <x:v>P028</x:v>
      </x:c>
      <x:c r="B1100" s="56" t="str">
        <x:v>HX-ADD-016</x:v>
      </x:c>
      <x:c r="C1100" s="56" t="str">
        <x:v>history</x:v>
      </x:c>
      <x:c r="D1100" s="56" t="n">
        <x:v>50</x:v>
      </x:c>
      <x:c r="E1100" s="56" t="str">
        <x:v>history.urinary_urgency</x:v>
      </x:c>
      <x:c r="F1100" s="56" t="str">
        <x:v>urinary_urgency</x:v>
      </x:c>
      <x:c r="G1100" s="56" t="n">
        <x:v>4</x:v>
      </x:c>
      <x:c r="H1100" s="56" t="str">
        <x:v>普通得分项</x:v>
      </x:c>
      <x:c r="I1100" s="56" t="str">
        <x:v>否</x:v>
      </x:c>
      <x:c r="J1100" s="56" t="str">
        <x:v>否</x:v>
      </x:c>
      <x:c r="K1100" s="56" t="str">
        <x:v>否</x:v>
      </x:c>
      <x:c r="L1100" s="56" t="str">
        <x:v>按结构化事件证据给予0/部分/满分；不能由总结反推已完成</x:v>
      </x:c>
      <x:c r="M1100" s="56" t="str"/>
      <x:c r="N1100" s="56" t="n">
        <x:f>SUMIFS($G$4:$G$1673,$A$4:$A$1673,A1100)</x:f>
        <x:v>360</x:v>
      </x:c>
      <x:c r="O1100" s="56" t="str">
        <x:f>IF(N1100=360,"通过","失败")</x:f>
        <x:v>通过</x:v>
      </x:c>
      <x:c r="P1100" s="56" t="str"/>
      <x:c r="Q1100" s="59" t="str">
        <x:v>待确认</x:v>
      </x:c>
    </x:row>
    <x:row r="1101">
      <x:c r="A1101" s="56" t="str">
        <x:v>P028</x:v>
      </x:c>
      <x:c r="B1101" s="56" t="str">
        <x:v>HX-ADD-016</x:v>
      </x:c>
      <x:c r="C1101" s="56" t="str">
        <x:v>history</x:v>
      </x:c>
      <x:c r="D1101" s="56" t="n">
        <x:v>50</x:v>
      </x:c>
      <x:c r="E1101" s="56" t="str">
        <x:v>history.flank_pain</x:v>
      </x:c>
      <x:c r="F1101" s="56" t="str">
        <x:v>flank_pain</x:v>
      </x:c>
      <x:c r="G1101" s="56" t="n">
        <x:v>4</x:v>
      </x:c>
      <x:c r="H1101" s="56" t="str">
        <x:v>普通得分项</x:v>
      </x:c>
      <x:c r="I1101" s="56" t="str">
        <x:v>否</x:v>
      </x:c>
      <x:c r="J1101" s="56" t="str">
        <x:v>否</x:v>
      </x:c>
      <x:c r="K1101" s="56" t="str">
        <x:v>否</x:v>
      </x:c>
      <x:c r="L1101" s="56" t="str">
        <x:v>按结构化事件证据给予0/部分/满分；不能由总结反推已完成</x:v>
      </x:c>
      <x:c r="M1101" s="56" t="str"/>
      <x:c r="N1101" s="56" t="n">
        <x:f>SUMIFS($G$4:$G$1673,$A$4:$A$1673,A1101)</x:f>
        <x:v>360</x:v>
      </x:c>
      <x:c r="O1101" s="56" t="str">
        <x:f>IF(N1101=360,"通过","失败")</x:f>
        <x:v>通过</x:v>
      </x:c>
      <x:c r="P1101" s="56" t="str"/>
      <x:c r="Q1101" s="59" t="str">
        <x:v>待确认</x:v>
      </x:c>
    </x:row>
    <x:row r="1102">
      <x:c r="A1102" s="56" t="str">
        <x:v>P028</x:v>
      </x:c>
      <x:c r="B1102" s="56" t="str">
        <x:v>HX-ADD-016</x:v>
      </x:c>
      <x:c r="C1102" s="56" t="str">
        <x:v>history</x:v>
      </x:c>
      <x:c r="D1102" s="56" t="n">
        <x:v>50</x:v>
      </x:c>
      <x:c r="E1102" s="56" t="str">
        <x:v>history.fever_chills</x:v>
      </x:c>
      <x:c r="F1102" s="56" t="str">
        <x:v>fever_chills</x:v>
      </x:c>
      <x:c r="G1102" s="56" t="n">
        <x:v>4</x:v>
      </x:c>
      <x:c r="H1102" s="56" t="str">
        <x:v>普通得分项</x:v>
      </x:c>
      <x:c r="I1102" s="56" t="str">
        <x:v>否</x:v>
      </x:c>
      <x:c r="J1102" s="56" t="str">
        <x:v>否</x:v>
      </x:c>
      <x:c r="K1102" s="56" t="str">
        <x:v>否</x:v>
      </x:c>
      <x:c r="L1102" s="56" t="str">
        <x:v>按结构化事件证据给予0/部分/满分；不能由总结反推已完成</x:v>
      </x:c>
      <x:c r="M1102" s="56" t="str"/>
      <x:c r="N1102" s="56" t="n">
        <x:f>SUMIFS($G$4:$G$1673,$A$4:$A$1673,A1102)</x:f>
        <x:v>360</x:v>
      </x:c>
      <x:c r="O1102" s="56" t="str">
        <x:f>IF(N1102=360,"通过","失败")</x:f>
        <x:v>通过</x:v>
      </x:c>
      <x:c r="P1102" s="56" t="str"/>
      <x:c r="Q1102" s="59" t="str">
        <x:v>待确认</x:v>
      </x:c>
    </x:row>
    <x:row r="1103">
      <x:c r="A1103" s="56" t="str">
        <x:v>P028</x:v>
      </x:c>
      <x:c r="B1103" s="56" t="str">
        <x:v>HX-ADD-016</x:v>
      </x:c>
      <x:c r="C1103" s="56" t="str">
        <x:v>risk</x:v>
      </x:c>
      <x:c r="D1103" s="56" t="n">
        <x:v>40</x:v>
      </x:c>
      <x:c r="E1103" s="56" t="str">
        <x:v>risk.voiding_difficulty</x:v>
      </x:c>
      <x:c r="F1103" s="56" t="str">
        <x:v>voiding_difficulty</x:v>
      </x:c>
      <x:c r="G1103" s="56" t="n">
        <x:v>10</x:v>
      </x:c>
      <x:c r="H1103" s="56" t="str">
        <x:v>普通得分项</x:v>
      </x:c>
      <x:c r="I1103" s="56" t="str">
        <x:v>否</x:v>
      </x:c>
      <x:c r="J1103" s="56" t="str">
        <x:v>否</x:v>
      </x:c>
      <x:c r="K1103" s="56" t="str">
        <x:v>否</x:v>
      </x:c>
      <x:c r="L1103" s="56" t="str">
        <x:v>按结构化事件证据给予0/部分/满分；不能由总结反推已完成</x:v>
      </x:c>
      <x:c r="M1103" s="56" t="str"/>
      <x:c r="N1103" s="56" t="n">
        <x:f>SUMIFS($G$4:$G$1673,$A$4:$A$1673,A1103)</x:f>
        <x:v>360</x:v>
      </x:c>
      <x:c r="O1103" s="56" t="str">
        <x:f>IF(N1103=360,"通过","失败")</x:f>
        <x:v>通过</x:v>
      </x:c>
      <x:c r="P1103" s="56" t="str"/>
      <x:c r="Q1103" s="59" t="str">
        <x:v>待确认</x:v>
      </x:c>
    </x:row>
    <x:row r="1104">
      <x:c r="A1104" s="56" t="str">
        <x:v>P028</x:v>
      </x:c>
      <x:c r="B1104" s="56" t="str">
        <x:v>HX-ADD-016</x:v>
      </x:c>
      <x:c r="C1104" s="56" t="str">
        <x:v>risk</x:v>
      </x:c>
      <x:c r="D1104" s="56" t="n">
        <x:v>40</x:v>
      </x:c>
      <x:c r="E1104" s="56" t="str">
        <x:v>risk.retention</x:v>
      </x:c>
      <x:c r="F1104" s="56" t="str">
        <x:v>retention</x:v>
      </x:c>
      <x:c r="G1104" s="56" t="n">
        <x:v>10</x:v>
      </x:c>
      <x:c r="H1104" s="56" t="str">
        <x:v>普通得分项</x:v>
      </x:c>
      <x:c r="I1104" s="56" t="str">
        <x:v>否</x:v>
      </x:c>
      <x:c r="J1104" s="56" t="str">
        <x:v>否</x:v>
      </x:c>
      <x:c r="K1104" s="56" t="str">
        <x:v>否</x:v>
      </x:c>
      <x:c r="L1104" s="56" t="str">
        <x:v>按结构化事件证据给予0/部分/满分；不能由总结反推已完成</x:v>
      </x:c>
      <x:c r="M1104" s="56" t="str"/>
      <x:c r="N1104" s="56" t="n">
        <x:f>SUMIFS($G$4:$G$1673,$A$4:$A$1673,A1104)</x:f>
        <x:v>360</x:v>
      </x:c>
      <x:c r="O1104" s="56" t="str">
        <x:f>IF(N1104=360,"通过","失败")</x:f>
        <x:v>通过</x:v>
      </x:c>
      <x:c r="P1104" s="56" t="str"/>
      <x:c r="Q1104" s="59" t="str">
        <x:v>待确认</x:v>
      </x:c>
    </x:row>
    <x:row r="1105">
      <x:c r="A1105" s="56" t="str">
        <x:v>P028</x:v>
      </x:c>
      <x:c r="B1105" s="56" t="str">
        <x:v>HX-ADD-016</x:v>
      </x:c>
      <x:c r="C1105" s="56" t="str">
        <x:v>risk</x:v>
      </x:c>
      <x:c r="D1105" s="56" t="n">
        <x:v>40</x:v>
      </x:c>
      <x:c r="E1105" s="56" t="str">
        <x:v>risk.medications</x:v>
      </x:c>
      <x:c r="F1105" s="56" t="str">
        <x:v>medications</x:v>
      </x:c>
      <x:c r="G1105" s="56" t="n">
        <x:v>10</x:v>
      </x:c>
      <x:c r="H1105" s="56" t="str">
        <x:v>普通得分项</x:v>
      </x:c>
      <x:c r="I1105" s="56" t="str">
        <x:v>否</x:v>
      </x:c>
      <x:c r="J1105" s="56" t="str">
        <x:v>否</x:v>
      </x:c>
      <x:c r="K1105" s="56" t="str">
        <x:v>否</x:v>
      </x:c>
      <x:c r="L1105" s="56" t="str">
        <x:v>按结构化事件证据给予0/部分/满分；不能由总结反推已完成</x:v>
      </x:c>
      <x:c r="M1105" s="56" t="str"/>
      <x:c r="N1105" s="56" t="n">
        <x:f>SUMIFS($G$4:$G$1673,$A$4:$A$1673,A1105)</x:f>
        <x:v>360</x:v>
      </x:c>
      <x:c r="O1105" s="56" t="str">
        <x:f>IF(N1105=360,"通过","失败")</x:f>
        <x:v>通过</x:v>
      </x:c>
      <x:c r="P1105" s="56" t="str"/>
      <x:c r="Q1105" s="59" t="str">
        <x:v>待确认</x:v>
      </x:c>
    </x:row>
    <x:row r="1106">
      <x:c r="A1106" s="56" t="str">
        <x:v>P028</x:v>
      </x:c>
      <x:c r="B1106" s="56" t="str">
        <x:v>HX-ADD-016</x:v>
      </x:c>
      <x:c r="C1106" s="56" t="str">
        <x:v>risk</x:v>
      </x:c>
      <x:c r="D1106" s="56" t="n">
        <x:v>40</x:v>
      </x:c>
      <x:c r="E1106" s="56" t="str">
        <x:v>risk.surgery_history</x:v>
      </x:c>
      <x:c r="F1106" s="56" t="str">
        <x:v>surgery_history</x:v>
      </x:c>
      <x:c r="G1106" s="56" t="n">
        <x:v>10</x:v>
      </x:c>
      <x:c r="H1106" s="56" t="str">
        <x:v>普通得分项</x:v>
      </x:c>
      <x:c r="I1106" s="56" t="str">
        <x:v>否</x:v>
      </x:c>
      <x:c r="J1106" s="56" t="str">
        <x:v>否</x:v>
      </x:c>
      <x:c r="K1106" s="56" t="str">
        <x:v>否</x:v>
      </x:c>
      <x:c r="L1106" s="56" t="str">
        <x:v>按结构化事件证据给予0/部分/满分；不能由总结反推已完成</x:v>
      </x:c>
      <x:c r="M1106" s="56" t="str"/>
      <x:c r="N1106" s="56" t="n">
        <x:f>SUMIFS($G$4:$G$1673,$A$4:$A$1673,A1106)</x:f>
        <x:v>360</x:v>
      </x:c>
      <x:c r="O1106" s="56" t="str">
        <x:f>IF(N1106=360,"通过","失败")</x:f>
        <x:v>通过</x:v>
      </x:c>
      <x:c r="P1106" s="56" t="str"/>
      <x:c r="Q1106" s="59" t="str">
        <x:v>待确认</x:v>
      </x:c>
    </x:row>
    <x:row r="1107">
      <x:c r="A1107" s="56" t="str">
        <x:v>P028</x:v>
      </x:c>
      <x:c r="B1107" s="56" t="str">
        <x:v>HX-ADD-016</x:v>
      </x:c>
      <x:c r="C1107" s="56" t="str">
        <x:v>exam</x:v>
      </x:c>
      <x:c r="D1107" s="56" t="n">
        <x:v>35</x:v>
      </x:c>
      <x:c r="E1107" s="56" t="str">
        <x:v>exam.temperature</x:v>
      </x:c>
      <x:c r="F1107" s="56" t="str">
        <x:v>体温</x:v>
      </x:c>
      <x:c r="G1107" s="56" t="n">
        <x:v>12</x:v>
      </x:c>
      <x:c r="H1107" s="56" t="str">
        <x:v>普通得分项</x:v>
      </x:c>
      <x:c r="I1107" s="56" t="str">
        <x:v>否</x:v>
      </x:c>
      <x:c r="J1107" s="56" t="str">
        <x:v>否</x:v>
      </x:c>
      <x:c r="K1107" s="56" t="str">
        <x:v>否</x:v>
      </x:c>
      <x:c r="L1107" s="56" t="str">
        <x:v>按结构化事件证据给予0/部分/满分；不能由总结反推已完成</x:v>
      </x:c>
      <x:c r="M1107" s="56" t="str"/>
      <x:c r="N1107" s="56" t="n">
        <x:f>SUMIFS($G$4:$G$1673,$A$4:$A$1673,A1107)</x:f>
        <x:v>360</x:v>
      </x:c>
      <x:c r="O1107" s="56" t="str">
        <x:f>IF(N1107=360,"通过","失败")</x:f>
        <x:v>通过</x:v>
      </x:c>
      <x:c r="P1107" s="56" t="str"/>
      <x:c r="Q1107" s="59" t="str">
        <x:v>待确认</x:v>
      </x:c>
    </x:row>
    <x:row r="1108">
      <x:c r="A1108" s="56" t="str">
        <x:v>P028</x:v>
      </x:c>
      <x:c r="B1108" s="56" t="str">
        <x:v>HX-ADD-016</x:v>
      </x:c>
      <x:c r="C1108" s="56" t="str">
        <x:v>exam</x:v>
      </x:c>
      <x:c r="D1108" s="56" t="n">
        <x:v>35</x:v>
      </x:c>
      <x:c r="E1108" s="56" t="str">
        <x:v>exam.blood_pressure</x:v>
      </x:c>
      <x:c r="F1108" s="56" t="str">
        <x:v>血压</x:v>
      </x:c>
      <x:c r="G1108" s="56" t="n">
        <x:v>12</x:v>
      </x:c>
      <x:c r="H1108" s="56" t="str">
        <x:v>普通得分项</x:v>
      </x:c>
      <x:c r="I1108" s="56" t="str">
        <x:v>否</x:v>
      </x:c>
      <x:c r="J1108" s="56" t="str">
        <x:v>否</x:v>
      </x:c>
      <x:c r="K1108" s="56" t="str">
        <x:v>否</x:v>
      </x:c>
      <x:c r="L1108" s="56" t="str">
        <x:v>按结构化事件证据给予0/部分/满分；不能由总结反推已完成</x:v>
      </x:c>
      <x:c r="M1108" s="56" t="str"/>
      <x:c r="N1108" s="56" t="n">
        <x:f>SUMIFS($G$4:$G$1673,$A$4:$A$1673,A1108)</x:f>
        <x:v>360</x:v>
      </x:c>
      <x:c r="O1108" s="56" t="str">
        <x:f>IF(N1108=360,"通过","失败")</x:f>
        <x:v>通过</x:v>
      </x:c>
      <x:c r="P1108" s="56" t="str"/>
      <x:c r="Q1108" s="59" t="str">
        <x:v>待确认</x:v>
      </x:c>
    </x:row>
    <x:row r="1109">
      <x:c r="A1109" s="56" t="str">
        <x:v>P028</x:v>
      </x:c>
      <x:c r="B1109" s="56" t="str">
        <x:v>HX-ADD-016</x:v>
      </x:c>
      <x:c r="C1109" s="56" t="str">
        <x:v>exam</x:v>
      </x:c>
      <x:c r="D1109" s="56" t="n">
        <x:v>35</x:v>
      </x:c>
      <x:c r="E1109" s="56" t="str">
        <x:v>exam.targeted</x:v>
      </x:c>
      <x:c r="F1109" s="56" t="str">
        <x:v>病例针对性查体</x:v>
      </x:c>
      <x:c r="G1109" s="56" t="n">
        <x:v>11</x:v>
      </x:c>
      <x:c r="H1109" s="56" t="str">
        <x:v>普通得分项</x:v>
      </x:c>
      <x:c r="I1109" s="56" t="str">
        <x:v>否</x:v>
      </x:c>
      <x:c r="J1109" s="56" t="str">
        <x:v>否</x:v>
      </x:c>
      <x:c r="K1109" s="56" t="str">
        <x:v>否</x:v>
      </x:c>
      <x:c r="L1109" s="56" t="str">
        <x:v>按结构化事件证据给予0/部分/满分；不能由总结反推已完成</x:v>
      </x:c>
      <x:c r="M1109" s="56" t="str"/>
      <x:c r="N1109" s="56" t="n">
        <x:f>SUMIFS($G$4:$G$1673,$A$4:$A$1673,A1109)</x:f>
        <x:v>360</x:v>
      </x:c>
      <x:c r="O1109" s="56" t="str">
        <x:f>IF(N1109=360,"通过","失败")</x:f>
        <x:v>通过</x:v>
      </x:c>
      <x:c r="P1109" s="56" t="str"/>
      <x:c r="Q1109" s="59" t="str">
        <x:v>待确认</x:v>
      </x:c>
    </x:row>
    <x:row r="1110">
      <x:c r="A1110" s="56" t="str">
        <x:v>P028</x:v>
      </x:c>
      <x:c r="B1110" s="56" t="str">
        <x:v>HX-ADD-016</x:v>
      </x:c>
      <x:c r="C1110" s="56" t="str">
        <x:v>diagnosis</x:v>
      </x:c>
      <x:c r="D1110" s="56" t="n">
        <x:v>45</x:v>
      </x:c>
      <x:c r="E1110" s="56" t="str">
        <x:v>diagnosis.primary</x:v>
      </x:c>
      <x:c r="F1110" s="56" t="str">
        <x:v>最可能诊断及依据</x:v>
      </x:c>
      <x:c r="G1110" s="56" t="n">
        <x:v>15</x:v>
      </x:c>
      <x:c r="H1110" s="56" t="str">
        <x:v>普通得分项</x:v>
      </x:c>
      <x:c r="I1110" s="56" t="str">
        <x:v>否</x:v>
      </x:c>
      <x:c r="J1110" s="56" t="str">
        <x:v>否</x:v>
      </x:c>
      <x:c r="K1110" s="56" t="str">
        <x:v>否</x:v>
      </x:c>
      <x:c r="L1110" s="56" t="str">
        <x:v>按结构化事件证据给予0/部分/满分；不能由总结反推已完成</x:v>
      </x:c>
      <x:c r="M1110" s="56" t="str"/>
      <x:c r="N1110" s="56" t="n">
        <x:f>SUMIFS($G$4:$G$1673,$A$4:$A$1673,A1110)</x:f>
        <x:v>360</x:v>
      </x:c>
      <x:c r="O1110" s="56" t="str">
        <x:f>IF(N1110=360,"通过","失败")</x:f>
        <x:v>通过</x:v>
      </x:c>
      <x:c r="P1110" s="56" t="str"/>
      <x:c r="Q1110" s="59" t="str">
        <x:v>待确认</x:v>
      </x:c>
    </x:row>
    <x:row r="1111">
      <x:c r="A1111" s="56" t="str">
        <x:v>P028</x:v>
      </x:c>
      <x:c r="B1111" s="56" t="str">
        <x:v>HX-ADD-016</x:v>
      </x:c>
      <x:c r="C1111" s="56" t="str">
        <x:v>diagnosis</x:v>
      </x:c>
      <x:c r="D1111" s="56" t="n">
        <x:v>45</x:v>
      </x:c>
      <x:c r="E1111" s="56" t="str">
        <x:v>diagnosis.differentials</x:v>
      </x:c>
      <x:c r="F1111" s="56" t="str">
        <x:v>至少3项鉴别及支持/反对点</x:v>
      </x:c>
      <x:c r="G1111" s="56" t="n">
        <x:v>15</x:v>
      </x:c>
      <x:c r="H1111" s="56" t="str">
        <x:v>普通得分项</x:v>
      </x:c>
      <x:c r="I1111" s="56" t="str">
        <x:v>否</x:v>
      </x:c>
      <x:c r="J1111" s="56" t="str">
        <x:v>否</x:v>
      </x:c>
      <x:c r="K1111" s="56" t="str">
        <x:v>否</x:v>
      </x:c>
      <x:c r="L1111" s="56" t="str">
        <x:v>按结构化事件证据给予0/部分/满分；不能由总结反推已完成</x:v>
      </x:c>
      <x:c r="M1111" s="56" t="str"/>
      <x:c r="N1111" s="56" t="n">
        <x:f>SUMIFS($G$4:$G$1673,$A$4:$A$1673,A1111)</x:f>
        <x:v>360</x:v>
      </x:c>
      <x:c r="O1111" s="56" t="str">
        <x:f>IF(N1111=360,"通过","失败")</x:f>
        <x:v>通过</x:v>
      </x:c>
      <x:c r="P1111" s="56" t="str"/>
      <x:c r="Q1111" s="59" t="str">
        <x:v>待确认</x:v>
      </x:c>
    </x:row>
    <x:row r="1112">
      <x:c r="A1112" s="56" t="str">
        <x:v>P028</x:v>
      </x:c>
      <x:c r="B1112" s="56" t="str">
        <x:v>HX-ADD-016</x:v>
      </x:c>
      <x:c r="C1112" s="56" t="str">
        <x:v>diagnosis</x:v>
      </x:c>
      <x:c r="D1112" s="56" t="n">
        <x:v>45</x:v>
      </x:c>
      <x:c r="E1112" s="56" t="str">
        <x:v>diagnosis.confirmation</x:v>
      </x:c>
      <x:c r="F1112" s="56" t="str">
        <x:v>确认计划</x:v>
      </x:c>
      <x:c r="G1112" s="56" t="n">
        <x:v>15</x:v>
      </x:c>
      <x:c r="H1112" s="56" t="str">
        <x:v>普通得分项</x:v>
      </x:c>
      <x:c r="I1112" s="56" t="str">
        <x:v>否</x:v>
      </x:c>
      <x:c r="J1112" s="56" t="str">
        <x:v>否</x:v>
      </x:c>
      <x:c r="K1112" s="56" t="str">
        <x:v>否</x:v>
      </x:c>
      <x:c r="L1112" s="56" t="str">
        <x:v>按结构化事件证据给予0/部分/满分；不能由总结反推已完成</x:v>
      </x:c>
      <x:c r="M1112" s="56" t="str"/>
      <x:c r="N1112" s="56" t="n">
        <x:f>SUMIFS($G$4:$G$1673,$A$4:$A$1673,A1112)</x:f>
        <x:v>360</x:v>
      </x:c>
      <x:c r="O1112" s="56" t="str">
        <x:f>IF(N1112=360,"通过","失败")</x:f>
        <x:v>通过</x:v>
      </x:c>
      <x:c r="P1112" s="56" t="str"/>
      <x:c r="Q1112" s="59" t="str">
        <x:v>待确认</x:v>
      </x:c>
    </x:row>
    <x:row r="1113">
      <x:c r="A1113" s="56" t="str">
        <x:v>P028</x:v>
      </x:c>
      <x:c r="B1113" s="56" t="str">
        <x:v>HX-ADD-016</x:v>
      </x:c>
      <x:c r="C1113" s="56" t="str">
        <x:v>orders</x:v>
      </x:c>
      <x:c r="D1113" s="56" t="n">
        <x:v>55</x:v>
      </x:c>
      <x:c r="E1113" s="56" t="str">
        <x:v>orders.LAB-UR-001</x:v>
      </x:c>
      <x:c r="F1113" s="56" t="str">
        <x:v>LAB-UR-001</x:v>
      </x:c>
      <x:c r="G1113" s="56" t="n">
        <x:v>11</x:v>
      </x:c>
      <x:c r="H1113" s="56" t="str">
        <x:v>病例特异得分项</x:v>
      </x:c>
      <x:c r="I1113" s="56" t="str">
        <x:v>否</x:v>
      </x:c>
      <x:c r="J1113" s="56" t="str">
        <x:v>否</x:v>
      </x:c>
      <x:c r="K1113" s="56" t="str">
        <x:v>否</x:v>
      </x:c>
      <x:c r="L1113" s="56" t="str">
        <x:v>按结构化事件证据给予0/部分/满分；不能由总结反推已完成</x:v>
      </x:c>
      <x:c r="M1113" s="56" t="str"/>
      <x:c r="N1113" s="56" t="n">
        <x:f>SUMIFS($G$4:$G$1673,$A$4:$A$1673,A1113)</x:f>
        <x:v>360</x:v>
      </x:c>
      <x:c r="O1113" s="56" t="str">
        <x:f>IF(N1113=360,"通过","失败")</x:f>
        <x:v>通过</x:v>
      </x:c>
      <x:c r="P1113" s="56" t="str"/>
      <x:c r="Q1113" s="59" t="str">
        <x:v>待确认</x:v>
      </x:c>
    </x:row>
    <x:row r="1114">
      <x:c r="A1114" s="56" t="str">
        <x:v>P028</x:v>
      </x:c>
      <x:c r="B1114" s="56" t="str">
        <x:v>HX-ADD-016</x:v>
      </x:c>
      <x:c r="C1114" s="56" t="str">
        <x:v>orders</x:v>
      </x:c>
      <x:c r="D1114" s="56" t="n">
        <x:v>55</x:v>
      </x:c>
      <x:c r="E1114" s="56" t="str">
        <x:v>orders.LAB-BL-003</x:v>
      </x:c>
      <x:c r="F1114" s="56" t="str">
        <x:v>LAB-BL-003</x:v>
      </x:c>
      <x:c r="G1114" s="56" t="n">
        <x:v>11</x:v>
      </x:c>
      <x:c r="H1114" s="56" t="str">
        <x:v>病例特异得分项</x:v>
      </x:c>
      <x:c r="I1114" s="56" t="str">
        <x:v>否</x:v>
      </x:c>
      <x:c r="J1114" s="56" t="str">
        <x:v>否</x:v>
      </x:c>
      <x:c r="K1114" s="56" t="str">
        <x:v>否</x:v>
      </x:c>
      <x:c r="L1114" s="56" t="str">
        <x:v>按结构化事件证据给予0/部分/满分；不能由总结反推已完成</x:v>
      </x:c>
      <x:c r="M1114" s="56" t="str"/>
      <x:c r="N1114" s="56" t="n">
        <x:f>SUMIFS($G$4:$G$1673,$A$4:$A$1673,A1114)</x:f>
        <x:v>360</x:v>
      </x:c>
      <x:c r="O1114" s="56" t="str">
        <x:f>IF(N1114=360,"通过","失败")</x:f>
        <x:v>通过</x:v>
      </x:c>
      <x:c r="P1114" s="56" t="str"/>
      <x:c r="Q1114" s="59" t="str">
        <x:v>待确认</x:v>
      </x:c>
    </x:row>
    <x:row r="1115">
      <x:c r="A1115" s="56" t="str">
        <x:v>P028</x:v>
      </x:c>
      <x:c r="B1115" s="56" t="str">
        <x:v>HX-ADD-016</x:v>
      </x:c>
      <x:c r="C1115" s="56" t="str">
        <x:v>orders</x:v>
      </x:c>
      <x:c r="D1115" s="56" t="n">
        <x:v>55</x:v>
      </x:c>
      <x:c r="E1115" s="56" t="str">
        <x:v>orders.IMG-US-001</x:v>
      </x:c>
      <x:c r="F1115" s="56" t="str">
        <x:v>IMG-US-001</x:v>
      </x:c>
      <x:c r="G1115" s="56" t="n">
        <x:v>11</x:v>
      </x:c>
      <x:c r="H1115" s="56" t="str">
        <x:v>病例特异得分项</x:v>
      </x:c>
      <x:c r="I1115" s="56" t="str">
        <x:v>否</x:v>
      </x:c>
      <x:c r="J1115" s="56" t="str">
        <x:v>否</x:v>
      </x:c>
      <x:c r="K1115" s="56" t="str">
        <x:v>否</x:v>
      </x:c>
      <x:c r="L1115" s="56" t="str">
        <x:v>按结构化事件证据给予0/部分/满分；不能由总结反推已完成</x:v>
      </x:c>
      <x:c r="M1115" s="56" t="str"/>
      <x:c r="N1115" s="56" t="n">
        <x:f>SUMIFS($G$4:$G$1673,$A$4:$A$1673,A1115)</x:f>
        <x:v>360</x:v>
      </x:c>
      <x:c r="O1115" s="56" t="str">
        <x:f>IF(N1115=360,"通过","失败")</x:f>
        <x:v>通过</x:v>
      </x:c>
      <x:c r="P1115" s="56" t="str"/>
      <x:c r="Q1115" s="59" t="str">
        <x:v>待确认</x:v>
      </x:c>
    </x:row>
    <x:row r="1116">
      <x:c r="A1116" s="56" t="str">
        <x:v>P028</x:v>
      </x:c>
      <x:c r="B1116" s="56" t="str">
        <x:v>HX-ADD-016</x:v>
      </x:c>
      <x:c r="C1116" s="56" t="str">
        <x:v>orders</x:v>
      </x:c>
      <x:c r="D1116" s="56" t="n">
        <x:v>55</x:v>
      </x:c>
      <x:c r="E1116" s="56" t="str">
        <x:v>orders.FUNC-001</x:v>
      </x:c>
      <x:c r="F1116" s="56" t="str">
        <x:v>FUNC-001</x:v>
      </x:c>
      <x:c r="G1116" s="56" t="n">
        <x:v>11</x:v>
      </x:c>
      <x:c r="H1116" s="56" t="str">
        <x:v>病例特异得分项</x:v>
      </x:c>
      <x:c r="I1116" s="56" t="str">
        <x:v>否</x:v>
      </x:c>
      <x:c r="J1116" s="56" t="str">
        <x:v>否</x:v>
      </x:c>
      <x:c r="K1116" s="56" t="str">
        <x:v>否</x:v>
      </x:c>
      <x:c r="L1116" s="56" t="str">
        <x:v>按结构化事件证据给予0/部分/满分；不能由总结反推已完成</x:v>
      </x:c>
      <x:c r="M1116" s="56" t="str"/>
      <x:c r="N1116" s="56" t="n">
        <x:f>SUMIFS($G$4:$G$1673,$A$4:$A$1673,A1116)</x:f>
        <x:v>360</x:v>
      </x:c>
      <x:c r="O1116" s="56" t="str">
        <x:f>IF(N1116=360,"通过","失败")</x:f>
        <x:v>通过</x:v>
      </x:c>
      <x:c r="P1116" s="56" t="str"/>
      <x:c r="Q1116" s="59" t="str">
        <x:v>待确认</x:v>
      </x:c>
    </x:row>
    <x:row r="1117">
      <x:c r="A1117" s="56" t="str">
        <x:v>P028</x:v>
      </x:c>
      <x:c r="B1117" s="56" t="str">
        <x:v>HX-ADD-016</x:v>
      </x:c>
      <x:c r="C1117" s="56" t="str">
        <x:v>orders</x:v>
      </x:c>
      <x:c r="D1117" s="56" t="n">
        <x:v>55</x:v>
      </x:c>
      <x:c r="E1117" s="56" t="str">
        <x:v>orders.LAB-BL-015</x:v>
      </x:c>
      <x:c r="F1117" s="56" t="str">
        <x:v>LAB-BL-015</x:v>
      </x:c>
      <x:c r="G1117" s="56" t="n">
        <x:v>11</x:v>
      </x:c>
      <x:c r="H1117" s="56" t="str">
        <x:v>病例特异得分项</x:v>
      </x:c>
      <x:c r="I1117" s="56" t="str">
        <x:v>否</x:v>
      </x:c>
      <x:c r="J1117" s="56" t="str">
        <x:v>否</x:v>
      </x:c>
      <x:c r="K1117" s="56" t="str">
        <x:v>否</x:v>
      </x:c>
      <x:c r="L1117" s="56" t="str">
        <x:v>按结构化事件证据给予0/部分/满分；不能由总结反推已完成</x:v>
      </x:c>
      <x:c r="M1117" s="56" t="str"/>
      <x:c r="N1117" s="56" t="n">
        <x:f>SUMIFS($G$4:$G$1673,$A$4:$A$1673,A1117)</x:f>
        <x:v>360</x:v>
      </x:c>
      <x:c r="O1117" s="56" t="str">
        <x:f>IF(N1117=360,"通过","失败")</x:f>
        <x:v>通过</x:v>
      </x:c>
      <x:c r="P1117" s="56" t="str"/>
      <x:c r="Q1117" s="59" t="str">
        <x:v>待确认</x:v>
      </x:c>
    </x:row>
    <x:row r="1118">
      <x:c r="A1118" s="56" t="str">
        <x:v>P028</x:v>
      </x:c>
      <x:c r="B1118" s="56" t="str">
        <x:v>HX-ADD-016</x:v>
      </x:c>
      <x:c r="C1118" s="56" t="str">
        <x:v>mdt</x:v>
      </x:c>
      <x:c r="D1118" s="56" t="n">
        <x:v>45</x:v>
      </x:c>
      <x:c r="E1118" s="56" t="str">
        <x:v>mdt.department</x:v>
      </x:c>
      <x:c r="F1118" s="56" t="str">
        <x:v>department</x:v>
      </x:c>
      <x:c r="G1118" s="56" t="n">
        <x:v>12</x:v>
      </x:c>
      <x:c r="H1118" s="56" t="str">
        <x:v>病例特异得分项</x:v>
      </x:c>
      <x:c r="I1118" s="56" t="str">
        <x:v>否</x:v>
      </x:c>
      <x:c r="J1118" s="56" t="str">
        <x:v>否</x:v>
      </x:c>
      <x:c r="K1118" s="56" t="str">
        <x:v>否</x:v>
      </x:c>
      <x:c r="L1118" s="56" t="str">
        <x:v>按结构化事件证据给予0/部分/满分；不能由总结反推已完成</x:v>
      </x:c>
      <x:c r="M1118" s="56" t="str"/>
      <x:c r="N1118" s="56" t="n">
        <x:f>SUMIFS($G$4:$G$1673,$A$4:$A$1673,A1118)</x:f>
        <x:v>360</x:v>
      </x:c>
      <x:c r="O1118" s="56" t="str">
        <x:f>IF(N1118=360,"通过","失败")</x:f>
        <x:v>通过</x:v>
      </x:c>
      <x:c r="P1118" s="56" t="str"/>
      <x:c r="Q1118" s="59" t="str">
        <x:v>待确认</x:v>
      </x:c>
    </x:row>
    <x:row r="1119">
      <x:c r="A1119" s="56" t="str">
        <x:v>P028</x:v>
      </x:c>
      <x:c r="B1119" s="56" t="str">
        <x:v>HX-ADD-016</x:v>
      </x:c>
      <x:c r="C1119" s="56" t="str">
        <x:v>mdt</x:v>
      </x:c>
      <x:c r="D1119" s="56" t="n">
        <x:v>45</x:v>
      </x:c>
      <x:c r="E1119" s="56" t="str">
        <x:v>mdt.trigger</x:v>
      </x:c>
      <x:c r="F1119" s="56" t="str">
        <x:v>trigger</x:v>
      </x:c>
      <x:c r="G1119" s="56" t="n">
        <x:v>11</x:v>
      </x:c>
      <x:c r="H1119" s="56" t="str">
        <x:v>病例特异得分项</x:v>
      </x:c>
      <x:c r="I1119" s="56" t="str">
        <x:v>否</x:v>
      </x:c>
      <x:c r="J1119" s="56" t="str">
        <x:v>否</x:v>
      </x:c>
      <x:c r="K1119" s="56" t="str">
        <x:v>否</x:v>
      </x:c>
      <x:c r="L1119" s="56" t="str">
        <x:v>按结构化事件证据给予0/部分/满分；不能由总结反推已完成</x:v>
      </x:c>
      <x:c r="M1119" s="56" t="str"/>
      <x:c r="N1119" s="56" t="n">
        <x:f>SUMIFS($G$4:$G$1673,$A$4:$A$1673,A1119)</x:f>
        <x:v>360</x:v>
      </x:c>
      <x:c r="O1119" s="56" t="str">
        <x:f>IF(N1119=360,"通过","失败")</x:f>
        <x:v>通过</x:v>
      </x:c>
      <x:c r="P1119" s="56" t="str"/>
      <x:c r="Q1119" s="59" t="str">
        <x:v>待确认</x:v>
      </x:c>
    </x:row>
    <x:row r="1120">
      <x:c r="A1120" s="56" t="str">
        <x:v>P028</x:v>
      </x:c>
      <x:c r="B1120" s="56" t="str">
        <x:v>HX-ADD-016</x:v>
      </x:c>
      <x:c r="C1120" s="56" t="str">
        <x:v>mdt</x:v>
      </x:c>
      <x:c r="D1120" s="56" t="n">
        <x:v>45</x:v>
      </x:c>
      <x:c r="E1120" s="56" t="str">
        <x:v>mdt.question</x:v>
      </x:c>
      <x:c r="F1120" s="56" t="str">
        <x:v>question</x:v>
      </x:c>
      <x:c r="G1120" s="56" t="n">
        <x:v>11</x:v>
      </x:c>
      <x:c r="H1120" s="56" t="str">
        <x:v>病例特异得分项</x:v>
      </x:c>
      <x:c r="I1120" s="56" t="str">
        <x:v>否</x:v>
      </x:c>
      <x:c r="J1120" s="56" t="str">
        <x:v>否</x:v>
      </x:c>
      <x:c r="K1120" s="56" t="str">
        <x:v>否</x:v>
      </x:c>
      <x:c r="L1120" s="56" t="str">
        <x:v>按结构化事件证据给予0/部分/满分；不能由总结反推已完成</x:v>
      </x:c>
      <x:c r="M1120" s="56" t="str"/>
      <x:c r="N1120" s="56" t="n">
        <x:f>SUMIFS($G$4:$G$1673,$A$4:$A$1673,A1120)</x:f>
        <x:v>360</x:v>
      </x:c>
      <x:c r="O1120" s="56" t="str">
        <x:f>IF(N1120=360,"通过","失败")</x:f>
        <x:v>通过</x:v>
      </x:c>
      <x:c r="P1120" s="56" t="str"/>
      <x:c r="Q1120" s="59" t="str">
        <x:v>待确认</x:v>
      </x:c>
    </x:row>
    <x:row r="1121">
      <x:c r="A1121" s="56" t="str">
        <x:v>P028</x:v>
      </x:c>
      <x:c r="B1121" s="56" t="str">
        <x:v>HX-ADD-016</x:v>
      </x:c>
      <x:c r="C1121" s="56" t="str">
        <x:v>mdt</x:v>
      </x:c>
      <x:c r="D1121" s="56" t="n">
        <x:v>45</x:v>
      </x:c>
      <x:c r="E1121" s="56" t="str">
        <x:v>mdt.evidence</x:v>
      </x:c>
      <x:c r="F1121" s="56" t="str">
        <x:v>evidence</x:v>
      </x:c>
      <x:c r="G1121" s="56" t="n">
        <x:v>11</x:v>
      </x:c>
      <x:c r="H1121" s="56" t="str">
        <x:v>病例特异得分项</x:v>
      </x:c>
      <x:c r="I1121" s="56" t="str">
        <x:v>否</x:v>
      </x:c>
      <x:c r="J1121" s="56" t="str">
        <x:v>否</x:v>
      </x:c>
      <x:c r="K1121" s="56" t="str">
        <x:v>否</x:v>
      </x:c>
      <x:c r="L1121" s="56" t="str">
        <x:v>按结构化事件证据给予0/部分/满分；不能由总结反推已完成</x:v>
      </x:c>
      <x:c r="M1121" s="56" t="str"/>
      <x:c r="N1121" s="56" t="n">
        <x:f>SUMIFS($G$4:$G$1673,$A$4:$A$1673,A1121)</x:f>
        <x:v>360</x:v>
      </x:c>
      <x:c r="O1121" s="56" t="str">
        <x:f>IF(N1121=360,"通过","失败")</x:f>
        <x:v>通过</x:v>
      </x:c>
      <x:c r="P1121" s="56" t="str"/>
      <x:c r="Q1121" s="59" t="str">
        <x:v>待确认</x:v>
      </x:c>
    </x:row>
    <x:row r="1122">
      <x:c r="A1122" s="56" t="str">
        <x:v>P028</x:v>
      </x:c>
      <x:c r="B1122" s="56" t="str">
        <x:v>HX-ADD-016</x:v>
      </x:c>
      <x:c r="C1122" s="56" t="str">
        <x:v>treatment</x:v>
      </x:c>
      <x:c r="D1122" s="56" t="n">
        <x:v>50</x:v>
      </x:c>
      <x:c r="E1122" s="56" t="str">
        <x:v>treatment.immediate</x:v>
      </x:c>
      <x:c r="F1122" s="56" t="str">
        <x:v>immediate</x:v>
      </x:c>
      <x:c r="G1122" s="56" t="n">
        <x:v>13</x:v>
      </x:c>
      <x:c r="H1122" s="56" t="str">
        <x:v>病例特异得分项</x:v>
      </x:c>
      <x:c r="I1122" s="56" t="str">
        <x:v>否</x:v>
      </x:c>
      <x:c r="J1122" s="56" t="str">
        <x:v>否</x:v>
      </x:c>
      <x:c r="K1122" s="56" t="str">
        <x:v>否</x:v>
      </x:c>
      <x:c r="L1122" s="56" t="str">
        <x:v>按结构化事件证据给予0/部分/满分；不能由总结反推已完成</x:v>
      </x:c>
      <x:c r="M1122" s="56" t="str"/>
      <x:c r="N1122" s="56" t="n">
        <x:f>SUMIFS($G$4:$G$1673,$A$4:$A$1673,A1122)</x:f>
        <x:v>360</x:v>
      </x:c>
      <x:c r="O1122" s="56" t="str">
        <x:f>IF(N1122=360,"通过","失败")</x:f>
        <x:v>通过</x:v>
      </x:c>
      <x:c r="P1122" s="56" t="str"/>
      <x:c r="Q1122" s="59" t="str">
        <x:v>待确认</x:v>
      </x:c>
    </x:row>
    <x:row r="1123">
      <x:c r="A1123" s="56" t="str">
        <x:v>P028</x:v>
      </x:c>
      <x:c r="B1123" s="56" t="str">
        <x:v>HX-ADD-016</x:v>
      </x:c>
      <x:c r="C1123" s="56" t="str">
        <x:v>treatment</x:v>
      </x:c>
      <x:c r="D1123" s="56" t="n">
        <x:v>50</x:v>
      </x:c>
      <x:c r="E1123" s="56" t="str">
        <x:v>treatment.etiologic</x:v>
      </x:c>
      <x:c r="F1123" s="56" t="str">
        <x:v>etiologic</x:v>
      </x:c>
      <x:c r="G1123" s="56" t="n">
        <x:v>13</x:v>
      </x:c>
      <x:c r="H1123" s="56" t="str">
        <x:v>病例特异得分项</x:v>
      </x:c>
      <x:c r="I1123" s="56" t="str">
        <x:v>否</x:v>
      </x:c>
      <x:c r="J1123" s="56" t="str">
        <x:v>否</x:v>
      </x:c>
      <x:c r="K1123" s="56" t="str">
        <x:v>否</x:v>
      </x:c>
      <x:c r="L1123" s="56" t="str">
        <x:v>按结构化事件证据给予0/部分/满分；不能由总结反推已完成</x:v>
      </x:c>
      <x:c r="M1123" s="56" t="str"/>
      <x:c r="N1123" s="56" t="n">
        <x:f>SUMIFS($G$4:$G$1673,$A$4:$A$1673,A1123)</x:f>
        <x:v>360</x:v>
      </x:c>
      <x:c r="O1123" s="56" t="str">
        <x:f>IF(N1123=360,"通过","失败")</x:f>
        <x:v>通过</x:v>
      </x:c>
      <x:c r="P1123" s="56" t="str"/>
      <x:c r="Q1123" s="59" t="str">
        <x:v>待确认</x:v>
      </x:c>
    </x:row>
    <x:row r="1124">
      <x:c r="A1124" s="56" t="str">
        <x:v>P028</x:v>
      </x:c>
      <x:c r="B1124" s="56" t="str">
        <x:v>HX-ADD-016</x:v>
      </x:c>
      <x:c r="C1124" s="56" t="str">
        <x:v>treatment</x:v>
      </x:c>
      <x:c r="D1124" s="56" t="n">
        <x:v>50</x:v>
      </x:c>
      <x:c r="E1124" s="56" t="str">
        <x:v>treatment.definitive</x:v>
      </x:c>
      <x:c r="F1124" s="56" t="str">
        <x:v>definitive</x:v>
      </x:c>
      <x:c r="G1124" s="56" t="n">
        <x:v>12</x:v>
      </x:c>
      <x:c r="H1124" s="56" t="str">
        <x:v>病例特异得分项</x:v>
      </x:c>
      <x:c r="I1124" s="56" t="str">
        <x:v>否</x:v>
      </x:c>
      <x:c r="J1124" s="56" t="str">
        <x:v>否</x:v>
      </x:c>
      <x:c r="K1124" s="56" t="str">
        <x:v>否</x:v>
      </x:c>
      <x:c r="L1124" s="56" t="str">
        <x:v>按结构化事件证据给予0/部分/满分；不能由总结反推已完成</x:v>
      </x:c>
      <x:c r="M1124" s="56" t="str"/>
      <x:c r="N1124" s="56" t="n">
        <x:f>SUMIFS($G$4:$G$1673,$A$4:$A$1673,A1124)</x:f>
        <x:v>360</x:v>
      </x:c>
      <x:c r="O1124" s="56" t="str">
        <x:f>IF(N1124=360,"通过","失败")</x:f>
        <x:v>通过</x:v>
      </x:c>
      <x:c r="P1124" s="56" t="str"/>
      <x:c r="Q1124" s="59" t="str">
        <x:v>待确认</x:v>
      </x:c>
    </x:row>
    <x:row r="1125">
      <x:c r="A1125" s="56" t="str">
        <x:v>P028</x:v>
      </x:c>
      <x:c r="B1125" s="56" t="str">
        <x:v>HX-ADD-016</x:v>
      </x:c>
      <x:c r="C1125" s="56" t="str">
        <x:v>treatment</x:v>
      </x:c>
      <x:c r="D1125" s="56" t="n">
        <x:v>50</x:v>
      </x:c>
      <x:c r="E1125" s="56" t="str">
        <x:v>treatment.perioperative</x:v>
      </x:c>
      <x:c r="F1125" s="56" t="str">
        <x:v>perioperative</x:v>
      </x:c>
      <x:c r="G1125" s="56" t="n">
        <x:v>12</x:v>
      </x:c>
      <x:c r="H1125" s="56" t="str">
        <x:v>病例特异得分项</x:v>
      </x:c>
      <x:c r="I1125" s="56" t="str">
        <x:v>否</x:v>
      </x:c>
      <x:c r="J1125" s="56" t="str">
        <x:v>否</x:v>
      </x:c>
      <x:c r="K1125" s="56" t="str">
        <x:v>否</x:v>
      </x:c>
      <x:c r="L1125" s="56" t="str">
        <x:v>按结构化事件证据给予0/部分/满分；不能由总结反推已完成</x:v>
      </x:c>
      <x:c r="M1125" s="56" t="str"/>
      <x:c r="N1125" s="56" t="n">
        <x:f>SUMIFS($G$4:$G$1673,$A$4:$A$1673,A1125)</x:f>
        <x:v>360</x:v>
      </x:c>
      <x:c r="O1125" s="56" t="str">
        <x:f>IF(N1125=360,"通过","失败")</x:f>
        <x:v>通过</x:v>
      </x:c>
      <x:c r="P1125" s="56" t="str"/>
      <x:c r="Q1125" s="59" t="str">
        <x:v>待确认</x:v>
      </x:c>
    </x:row>
    <x:row r="1126">
      <x:c r="A1126" s="56" t="str">
        <x:v>P028</x:v>
      </x:c>
      <x:c r="B1126" s="56" t="str">
        <x:v>HX-ADD-016</x:v>
      </x:c>
      <x:c r="C1126" s="56" t="str">
        <x:v>followup</x:v>
      </x:c>
      <x:c r="D1126" s="56" t="n">
        <x:v>40</x:v>
      </x:c>
      <x:c r="E1126" s="56" t="str">
        <x:v>followup.plan</x:v>
      </x:c>
      <x:c r="F1126" s="56" t="str">
        <x:v>随访复查</x:v>
      </x:c>
      <x:c r="G1126" s="56" t="n">
        <x:v>10</x:v>
      </x:c>
      <x:c r="H1126" s="56" t="str">
        <x:v>普通得分项</x:v>
      </x:c>
      <x:c r="I1126" s="56" t="str">
        <x:v>否</x:v>
      </x:c>
      <x:c r="J1126" s="56" t="str">
        <x:v>否</x:v>
      </x:c>
      <x:c r="K1126" s="56" t="str">
        <x:v>否</x:v>
      </x:c>
      <x:c r="L1126" s="56" t="str">
        <x:v>按结构化事件证据给予0/部分/满分；不能由总结反推已完成</x:v>
      </x:c>
      <x:c r="M1126" s="56" t="str"/>
      <x:c r="N1126" s="56" t="n">
        <x:f>SUMIFS($G$4:$G$1673,$A$4:$A$1673,A1126)</x:f>
        <x:v>360</x:v>
      </x:c>
      <x:c r="O1126" s="56" t="str">
        <x:f>IF(N1126=360,"通过","失败")</x:f>
        <x:v>通过</x:v>
      </x:c>
      <x:c r="P1126" s="56" t="str"/>
      <x:c r="Q1126" s="59" t="str">
        <x:v>待确认</x:v>
      </x:c>
    </x:row>
    <x:row r="1127">
      <x:c r="A1127" s="56" t="str">
        <x:v>P028</x:v>
      </x:c>
      <x:c r="B1127" s="56" t="str">
        <x:v>HX-ADD-016</x:v>
      </x:c>
      <x:c r="C1127" s="56" t="str">
        <x:v>followup</x:v>
      </x:c>
      <x:c r="D1127" s="56" t="n">
        <x:v>40</x:v>
      </x:c>
      <x:c r="E1127" s="56" t="str">
        <x:v>followup.education</x:v>
      </x:c>
      <x:c r="F1127" s="56" t="str">
        <x:v>患者教育</x:v>
      </x:c>
      <x:c r="G1127" s="56" t="n">
        <x:v>10</x:v>
      </x:c>
      <x:c r="H1127" s="56" t="str">
        <x:v>普通得分项</x:v>
      </x:c>
      <x:c r="I1127" s="56" t="str">
        <x:v>否</x:v>
      </x:c>
      <x:c r="J1127" s="56" t="str">
        <x:v>否</x:v>
      </x:c>
      <x:c r="K1127" s="56" t="str">
        <x:v>否</x:v>
      </x:c>
      <x:c r="L1127" s="56" t="str">
        <x:v>按结构化事件证据给予0/部分/满分；不能由总结反推已完成</x:v>
      </x:c>
      <x:c r="M1127" s="56" t="str"/>
      <x:c r="N1127" s="56" t="n">
        <x:f>SUMIFS($G$4:$G$1673,$A$4:$A$1673,A1127)</x:f>
        <x:v>360</x:v>
      </x:c>
      <x:c r="O1127" s="56" t="str">
        <x:f>IF(N1127=360,"通过","失败")</x:f>
        <x:v>通过</x:v>
      </x:c>
      <x:c r="P1127" s="56" t="str"/>
      <x:c r="Q1127" s="59" t="str">
        <x:v>待确认</x:v>
      </x:c>
    </x:row>
    <x:row r="1128">
      <x:c r="A1128" s="56" t="str">
        <x:v>P028</x:v>
      </x:c>
      <x:c r="B1128" s="56" t="str">
        <x:v>HX-ADD-016</x:v>
      </x:c>
      <x:c r="C1128" s="56" t="str">
        <x:v>followup</x:v>
      </x:c>
      <x:c r="D1128" s="56" t="n">
        <x:v>40</x:v>
      </x:c>
      <x:c r="E1128" s="56" t="str">
        <x:v>followup.reflection</x:v>
      </x:c>
      <x:c r="F1128" s="56" t="str">
        <x:v>学习反思质量</x:v>
      </x:c>
      <x:c r="G1128" s="56" t="n">
        <x:v>10</x:v>
      </x:c>
      <x:c r="H1128" s="56" t="str">
        <x:v>普通得分项</x:v>
      </x:c>
      <x:c r="I1128" s="56" t="str">
        <x:v>否</x:v>
      </x:c>
      <x:c r="J1128" s="56" t="str">
        <x:v>否</x:v>
      </x:c>
      <x:c r="K1128" s="56" t="str">
        <x:v>否</x:v>
      </x:c>
      <x:c r="L1128" s="56" t="str">
        <x:v>按结构化事件证据给予0/部分/满分；不能由总结反推已完成</x:v>
      </x:c>
      <x:c r="M1128" s="56" t="str"/>
      <x:c r="N1128" s="56" t="n">
        <x:f>SUMIFS($G$4:$G$1673,$A$4:$A$1673,A1128)</x:f>
        <x:v>360</x:v>
      </x:c>
      <x:c r="O1128" s="56" t="str">
        <x:f>IF(N1128=360,"通过","失败")</x:f>
        <x:v>通过</x:v>
      </x:c>
      <x:c r="P1128" s="56" t="str"/>
      <x:c r="Q1128" s="59" t="str">
        <x:v>待确认</x:v>
      </x:c>
    </x:row>
    <x:row r="1129">
      <x:c r="A1129" s="56" t="str">
        <x:v>P028</x:v>
      </x:c>
      <x:c r="B1129" s="56" t="str">
        <x:v>HX-ADD-016</x:v>
      </x:c>
      <x:c r="C1129" s="56" t="str">
        <x:v>followup</x:v>
      </x:c>
      <x:c r="D1129" s="56" t="n">
        <x:v>40</x:v>
      </x:c>
      <x:c r="E1129" s="56" t="str">
        <x:v>followup.efficiency</x:v>
      </x:c>
      <x:c r="F1129" s="56" t="str">
        <x:v>操作效率</x:v>
      </x:c>
      <x:c r="G1129" s="56" t="n">
        <x:v>10</x:v>
      </x:c>
      <x:c r="H1129" s="56" t="str">
        <x:v>普通得分项</x:v>
      </x:c>
      <x:c r="I1129" s="56" t="str">
        <x:v>否</x:v>
      </x:c>
      <x:c r="J1129" s="56" t="str">
        <x:v>否</x:v>
      </x:c>
      <x:c r="K1129" s="56" t="str">
        <x:v>否</x:v>
      </x:c>
      <x:c r="L1129" s="56" t="str">
        <x:v>按结构化事件证据给予0/部分/满分；不能由总结反推已完成</x:v>
      </x:c>
      <x:c r="M1129" s="56" t="str"/>
      <x:c r="N1129" s="56" t="n">
        <x:f>SUMIFS($G$4:$G$1673,$A$4:$A$1673,A1129)</x:f>
        <x:v>360</x:v>
      </x:c>
      <x:c r="O1129" s="56" t="str">
        <x:f>IF(N1129=360,"通过","失败")</x:f>
        <x:v>通过</x:v>
      </x:c>
      <x:c r="P1129" s="56" t="str"/>
      <x:c r="Q1129" s="59" t="str">
        <x:v>待确认</x:v>
      </x:c>
    </x:row>
    <x:row r="1130">
      <x:c r="A1130" s="56" t="str">
        <x:v>P029</x:v>
      </x:c>
      <x:c r="B1130" s="56" t="str">
        <x:v>HX-ADD-017</x:v>
      </x:c>
      <x:c r="C1130" s="56" t="str">
        <x:v>history</x:v>
      </x:c>
      <x:c r="D1130" s="56" t="n">
        <x:v>50</x:v>
      </x:c>
      <x:c r="E1130" s="56" t="str">
        <x:v>history.hematuria_visibility</x:v>
      </x:c>
      <x:c r="F1130" s="56" t="str">
        <x:v>hematuria_visibility</x:v>
      </x:c>
      <x:c r="G1130" s="56" t="n">
        <x:v>5</x:v>
      </x:c>
      <x:c r="H1130" s="56" t="str">
        <x:v>普通得分项</x:v>
      </x:c>
      <x:c r="I1130" s="56" t="str">
        <x:v>否</x:v>
      </x:c>
      <x:c r="J1130" s="56" t="str">
        <x:v>否</x:v>
      </x:c>
      <x:c r="K1130" s="56" t="str">
        <x:v>否</x:v>
      </x:c>
      <x:c r="L1130" s="56" t="str">
        <x:v>按结构化事件证据给予0/部分/满分；不能由总结反推已完成</x:v>
      </x:c>
      <x:c r="M1130" s="56" t="str"/>
      <x:c r="N1130" s="56" t="n">
        <x:f>SUMIFS($G$4:$G$1673,$A$4:$A$1673,A1130)</x:f>
        <x:v>360</x:v>
      </x:c>
      <x:c r="O1130" s="56" t="str">
        <x:f>IF(N1130=360,"通过","失败")</x:f>
        <x:v>通过</x:v>
      </x:c>
      <x:c r="P1130" s="56" t="str"/>
      <x:c r="Q1130" s="59" t="str">
        <x:v>待确认</x:v>
      </x:c>
    </x:row>
    <x:row r="1131">
      <x:c r="A1131" s="56" t="str">
        <x:v>P029</x:v>
      </x:c>
      <x:c r="B1131" s="56" t="str">
        <x:v>HX-ADD-017</x:v>
      </x:c>
      <x:c r="C1131" s="56" t="str">
        <x:v>history</x:v>
      </x:c>
      <x:c r="D1131" s="56" t="n">
        <x:v>50</x:v>
      </x:c>
      <x:c r="E1131" s="56" t="str">
        <x:v>history.hematuria_onset</x:v>
      </x:c>
      <x:c r="F1131" s="56" t="str">
        <x:v>hematuria_onset</x:v>
      </x:c>
      <x:c r="G1131" s="56" t="n">
        <x:v>5</x:v>
      </x:c>
      <x:c r="H1131" s="56" t="str">
        <x:v>普通得分项</x:v>
      </x:c>
      <x:c r="I1131" s="56" t="str">
        <x:v>否</x:v>
      </x:c>
      <x:c r="J1131" s="56" t="str">
        <x:v>否</x:v>
      </x:c>
      <x:c r="K1131" s="56" t="str">
        <x:v>否</x:v>
      </x:c>
      <x:c r="L1131" s="56" t="str">
        <x:v>按结构化事件证据给予0/部分/满分；不能由总结反推已完成</x:v>
      </x:c>
      <x:c r="M1131" s="56" t="str"/>
      <x:c r="N1131" s="56" t="n">
        <x:f>SUMIFS($G$4:$G$1673,$A$4:$A$1673,A1131)</x:f>
        <x:v>360</x:v>
      </x:c>
      <x:c r="O1131" s="56" t="str">
        <x:f>IF(N1131=360,"通过","失败")</x:f>
        <x:v>通过</x:v>
      </x:c>
      <x:c r="P1131" s="56" t="str"/>
      <x:c r="Q1131" s="59" t="str">
        <x:v>待确认</x:v>
      </x:c>
    </x:row>
    <x:row r="1132">
      <x:c r="A1132" s="56" t="str">
        <x:v>P029</x:v>
      </x:c>
      <x:c r="B1132" s="56" t="str">
        <x:v>HX-ADD-017</x:v>
      </x:c>
      <x:c r="C1132" s="56" t="str">
        <x:v>history</x:v>
      </x:c>
      <x:c r="D1132" s="56" t="n">
        <x:v>50</x:v>
      </x:c>
      <x:c r="E1132" s="56" t="str">
        <x:v>history.hematuria_frequency</x:v>
      </x:c>
      <x:c r="F1132" s="56" t="str">
        <x:v>hematuria_frequency</x:v>
      </x:c>
      <x:c r="G1132" s="56" t="n">
        <x:v>4</x:v>
      </x:c>
      <x:c r="H1132" s="56" t="str">
        <x:v>普通得分项</x:v>
      </x:c>
      <x:c r="I1132" s="56" t="str">
        <x:v>否</x:v>
      </x:c>
      <x:c r="J1132" s="56" t="str">
        <x:v>否</x:v>
      </x:c>
      <x:c r="K1132" s="56" t="str">
        <x:v>否</x:v>
      </x:c>
      <x:c r="L1132" s="56" t="str">
        <x:v>按结构化事件证据给予0/部分/满分；不能由总结反推已完成</x:v>
      </x:c>
      <x:c r="M1132" s="56" t="str"/>
      <x:c r="N1132" s="56" t="n">
        <x:f>SUMIFS($G$4:$G$1673,$A$4:$A$1673,A1132)</x:f>
        <x:v>360</x:v>
      </x:c>
      <x:c r="O1132" s="56" t="str">
        <x:f>IF(N1132=360,"通过","失败")</x:f>
        <x:v>通过</x:v>
      </x:c>
      <x:c r="P1132" s="56" t="str"/>
      <x:c r="Q1132" s="59" t="str">
        <x:v>待确认</x:v>
      </x:c>
    </x:row>
    <x:row r="1133">
      <x:c r="A1133" s="56" t="str">
        <x:v>P029</x:v>
      </x:c>
      <x:c r="B1133" s="56" t="str">
        <x:v>HX-ADD-017</x:v>
      </x:c>
      <x:c r="C1133" s="56" t="str">
        <x:v>history</x:v>
      </x:c>
      <x:c r="D1133" s="56" t="n">
        <x:v>50</x:v>
      </x:c>
      <x:c r="E1133" s="56" t="str">
        <x:v>history.hematuria_phase</x:v>
      </x:c>
      <x:c r="F1133" s="56" t="str">
        <x:v>hematuria_phase</x:v>
      </x:c>
      <x:c r="G1133" s="56" t="n">
        <x:v>4</x:v>
      </x:c>
      <x:c r="H1133" s="56" t="str">
        <x:v>普通得分项</x:v>
      </x:c>
      <x:c r="I1133" s="56" t="str">
        <x:v>否</x:v>
      </x:c>
      <x:c r="J1133" s="56" t="str">
        <x:v>否</x:v>
      </x:c>
      <x:c r="K1133" s="56" t="str">
        <x:v>否</x:v>
      </x:c>
      <x:c r="L1133" s="56" t="str">
        <x:v>按结构化事件证据给予0/部分/满分；不能由总结反推已完成</x:v>
      </x:c>
      <x:c r="M1133" s="56" t="str"/>
      <x:c r="N1133" s="56" t="n">
        <x:f>SUMIFS($G$4:$G$1673,$A$4:$A$1673,A1133)</x:f>
        <x:v>360</x:v>
      </x:c>
      <x:c r="O1133" s="56" t="str">
        <x:f>IF(N1133=360,"通过","失败")</x:f>
        <x:v>通过</x:v>
      </x:c>
      <x:c r="P1133" s="56" t="str"/>
      <x:c r="Q1133" s="59" t="str">
        <x:v>待确认</x:v>
      </x:c>
    </x:row>
    <x:row r="1134">
      <x:c r="A1134" s="56" t="str">
        <x:v>P029</x:v>
      </x:c>
      <x:c r="B1134" s="56" t="str">
        <x:v>HX-ADD-017</x:v>
      </x:c>
      <x:c r="C1134" s="56" t="str">
        <x:v>history</x:v>
      </x:c>
      <x:c r="D1134" s="56" t="n">
        <x:v>50</x:v>
      </x:c>
      <x:c r="E1134" s="56" t="str">
        <x:v>history.urine_color</x:v>
      </x:c>
      <x:c r="F1134" s="56" t="str">
        <x:v>urine_color</x:v>
      </x:c>
      <x:c r="G1134" s="56" t="n">
        <x:v>4</x:v>
      </x:c>
      <x:c r="H1134" s="56" t="str">
        <x:v>普通得分项</x:v>
      </x:c>
      <x:c r="I1134" s="56" t="str">
        <x:v>否</x:v>
      </x:c>
      <x:c r="J1134" s="56" t="str">
        <x:v>否</x:v>
      </x:c>
      <x:c r="K1134" s="56" t="str">
        <x:v>否</x:v>
      </x:c>
      <x:c r="L1134" s="56" t="str">
        <x:v>按结构化事件证据给予0/部分/满分；不能由总结反推已完成</x:v>
      </x:c>
      <x:c r="M1134" s="56" t="str"/>
      <x:c r="N1134" s="56" t="n">
        <x:f>SUMIFS($G$4:$G$1673,$A$4:$A$1673,A1134)</x:f>
        <x:v>360</x:v>
      </x:c>
      <x:c r="O1134" s="56" t="str">
        <x:f>IF(N1134=360,"通过","失败")</x:f>
        <x:v>通过</x:v>
      </x:c>
      <x:c r="P1134" s="56" t="str"/>
      <x:c r="Q1134" s="59" t="str">
        <x:v>待确认</x:v>
      </x:c>
    </x:row>
    <x:row r="1135">
      <x:c r="A1135" s="56" t="str">
        <x:v>P029</x:v>
      </x:c>
      <x:c r="B1135" s="56" t="str">
        <x:v>HX-ADD-017</x:v>
      </x:c>
      <x:c r="C1135" s="56" t="str">
        <x:v>history</x:v>
      </x:c>
      <x:c r="D1135" s="56" t="n">
        <x:v>50</x:v>
      </x:c>
      <x:c r="E1135" s="56" t="str">
        <x:v>history.clots</x:v>
      </x:c>
      <x:c r="F1135" s="56" t="str">
        <x:v>clots</x:v>
      </x:c>
      <x:c r="G1135" s="56" t="n">
        <x:v>4</x:v>
      </x:c>
      <x:c r="H1135" s="56" t="str">
        <x:v>普通得分项</x:v>
      </x:c>
      <x:c r="I1135" s="56" t="str">
        <x:v>否</x:v>
      </x:c>
      <x:c r="J1135" s="56" t="str">
        <x:v>否</x:v>
      </x:c>
      <x:c r="K1135" s="56" t="str">
        <x:v>否</x:v>
      </x:c>
      <x:c r="L1135" s="56" t="str">
        <x:v>按结构化事件证据给予0/部分/满分；不能由总结反推已完成</x:v>
      </x:c>
      <x:c r="M1135" s="56" t="str"/>
      <x:c r="N1135" s="56" t="n">
        <x:f>SUMIFS($G$4:$G$1673,$A$4:$A$1673,A1135)</x:f>
        <x:v>360</x:v>
      </x:c>
      <x:c r="O1135" s="56" t="str">
        <x:f>IF(N1135=360,"通过","失败")</x:f>
        <x:v>通过</x:v>
      </x:c>
      <x:c r="P1135" s="56" t="str"/>
      <x:c r="Q1135" s="59" t="str">
        <x:v>待确认</x:v>
      </x:c>
    </x:row>
    <x:row r="1136">
      <x:c r="A1136" s="56" t="str">
        <x:v>P029</x:v>
      </x:c>
      <x:c r="B1136" s="56" t="str">
        <x:v>HX-ADD-017</x:v>
      </x:c>
      <x:c r="C1136" s="56" t="str">
        <x:v>history</x:v>
      </x:c>
      <x:c r="D1136" s="56" t="n">
        <x:v>50</x:v>
      </x:c>
      <x:c r="E1136" s="56" t="str">
        <x:v>history.pain</x:v>
      </x:c>
      <x:c r="F1136" s="56" t="str">
        <x:v>pain</x:v>
      </x:c>
      <x:c r="G1136" s="56" t="n">
        <x:v>4</x:v>
      </x:c>
      <x:c r="H1136" s="56" t="str">
        <x:v>普通得分项</x:v>
      </x:c>
      <x:c r="I1136" s="56" t="str">
        <x:v>否</x:v>
      </x:c>
      <x:c r="J1136" s="56" t="str">
        <x:v>否</x:v>
      </x:c>
      <x:c r="K1136" s="56" t="str">
        <x:v>否</x:v>
      </x:c>
      <x:c r="L1136" s="56" t="str">
        <x:v>按结构化事件证据给予0/部分/满分；不能由总结反推已完成</x:v>
      </x:c>
      <x:c r="M1136" s="56" t="str"/>
      <x:c r="N1136" s="56" t="n">
        <x:f>SUMIFS($G$4:$G$1673,$A$4:$A$1673,A1136)</x:f>
        <x:v>360</x:v>
      </x:c>
      <x:c r="O1136" s="56" t="str">
        <x:f>IF(N1136=360,"通过","失败")</x:f>
        <x:v>通过</x:v>
      </x:c>
      <x:c r="P1136" s="56" t="str"/>
      <x:c r="Q1136" s="59" t="str">
        <x:v>待确认</x:v>
      </x:c>
    </x:row>
    <x:row r="1137">
      <x:c r="A1137" s="56" t="str">
        <x:v>P029</x:v>
      </x:c>
      <x:c r="B1137" s="56" t="str">
        <x:v>HX-ADD-017</x:v>
      </x:c>
      <x:c r="C1137" s="56" t="str">
        <x:v>history</x:v>
      </x:c>
      <x:c r="D1137" s="56" t="n">
        <x:v>50</x:v>
      </x:c>
      <x:c r="E1137" s="56" t="str">
        <x:v>history.dysuria</x:v>
      </x:c>
      <x:c r="F1137" s="56" t="str">
        <x:v>dysuria</x:v>
      </x:c>
      <x:c r="G1137" s="56" t="n">
        <x:v>4</x:v>
      </x:c>
      <x:c r="H1137" s="56" t="str">
        <x:v>普通得分项</x:v>
      </x:c>
      <x:c r="I1137" s="56" t="str">
        <x:v>否</x:v>
      </x:c>
      <x:c r="J1137" s="56" t="str">
        <x:v>否</x:v>
      </x:c>
      <x:c r="K1137" s="56" t="str">
        <x:v>否</x:v>
      </x:c>
      <x:c r="L1137" s="56" t="str">
        <x:v>按结构化事件证据给予0/部分/满分；不能由总结反推已完成</x:v>
      </x:c>
      <x:c r="M1137" s="56" t="str"/>
      <x:c r="N1137" s="56" t="n">
        <x:f>SUMIFS($G$4:$G$1673,$A$4:$A$1673,A1137)</x:f>
        <x:v>360</x:v>
      </x:c>
      <x:c r="O1137" s="56" t="str">
        <x:f>IF(N1137=360,"通过","失败")</x:f>
        <x:v>通过</x:v>
      </x:c>
      <x:c r="P1137" s="56" t="str"/>
      <x:c r="Q1137" s="59" t="str">
        <x:v>待确认</x:v>
      </x:c>
    </x:row>
    <x:row r="1138">
      <x:c r="A1138" s="56" t="str">
        <x:v>P029</x:v>
      </x:c>
      <x:c r="B1138" s="56" t="str">
        <x:v>HX-ADD-017</x:v>
      </x:c>
      <x:c r="C1138" s="56" t="str">
        <x:v>history</x:v>
      </x:c>
      <x:c r="D1138" s="56" t="n">
        <x:v>50</x:v>
      </x:c>
      <x:c r="E1138" s="56" t="str">
        <x:v>history.urinary_frequency</x:v>
      </x:c>
      <x:c r="F1138" s="56" t="str">
        <x:v>urinary_frequency</x:v>
      </x:c>
      <x:c r="G1138" s="56" t="n">
        <x:v>4</x:v>
      </x:c>
      <x:c r="H1138" s="56" t="str">
        <x:v>普通得分项</x:v>
      </x:c>
      <x:c r="I1138" s="56" t="str">
        <x:v>否</x:v>
      </x:c>
      <x:c r="J1138" s="56" t="str">
        <x:v>否</x:v>
      </x:c>
      <x:c r="K1138" s="56" t="str">
        <x:v>否</x:v>
      </x:c>
      <x:c r="L1138" s="56" t="str">
        <x:v>按结构化事件证据给予0/部分/满分；不能由总结反推已完成</x:v>
      </x:c>
      <x:c r="M1138" s="56" t="str"/>
      <x:c r="N1138" s="56" t="n">
        <x:f>SUMIFS($G$4:$G$1673,$A$4:$A$1673,A1138)</x:f>
        <x:v>360</x:v>
      </x:c>
      <x:c r="O1138" s="56" t="str">
        <x:f>IF(N1138=360,"通过","失败")</x:f>
        <x:v>通过</x:v>
      </x:c>
      <x:c r="P1138" s="56" t="str"/>
      <x:c r="Q1138" s="59" t="str">
        <x:v>待确认</x:v>
      </x:c>
    </x:row>
    <x:row r="1139">
      <x:c r="A1139" s="56" t="str">
        <x:v>P029</x:v>
      </x:c>
      <x:c r="B1139" s="56" t="str">
        <x:v>HX-ADD-017</x:v>
      </x:c>
      <x:c r="C1139" s="56" t="str">
        <x:v>history</x:v>
      </x:c>
      <x:c r="D1139" s="56" t="n">
        <x:v>50</x:v>
      </x:c>
      <x:c r="E1139" s="56" t="str">
        <x:v>history.urinary_urgency</x:v>
      </x:c>
      <x:c r="F1139" s="56" t="str">
        <x:v>urinary_urgency</x:v>
      </x:c>
      <x:c r="G1139" s="56" t="n">
        <x:v>4</x:v>
      </x:c>
      <x:c r="H1139" s="56" t="str">
        <x:v>普通得分项</x:v>
      </x:c>
      <x:c r="I1139" s="56" t="str">
        <x:v>否</x:v>
      </x:c>
      <x:c r="J1139" s="56" t="str">
        <x:v>否</x:v>
      </x:c>
      <x:c r="K1139" s="56" t="str">
        <x:v>否</x:v>
      </x:c>
      <x:c r="L1139" s="56" t="str">
        <x:v>按结构化事件证据给予0/部分/满分；不能由总结反推已完成</x:v>
      </x:c>
      <x:c r="M1139" s="56" t="str"/>
      <x:c r="N1139" s="56" t="n">
        <x:f>SUMIFS($G$4:$G$1673,$A$4:$A$1673,A1139)</x:f>
        <x:v>360</x:v>
      </x:c>
      <x:c r="O1139" s="56" t="str">
        <x:f>IF(N1139=360,"通过","失败")</x:f>
        <x:v>通过</x:v>
      </x:c>
      <x:c r="P1139" s="56" t="str"/>
      <x:c r="Q1139" s="59" t="str">
        <x:v>待确认</x:v>
      </x:c>
    </x:row>
    <x:row r="1140">
      <x:c r="A1140" s="56" t="str">
        <x:v>P029</x:v>
      </x:c>
      <x:c r="B1140" s="56" t="str">
        <x:v>HX-ADD-017</x:v>
      </x:c>
      <x:c r="C1140" s="56" t="str">
        <x:v>history</x:v>
      </x:c>
      <x:c r="D1140" s="56" t="n">
        <x:v>50</x:v>
      </x:c>
      <x:c r="E1140" s="56" t="str">
        <x:v>history.flank_pain</x:v>
      </x:c>
      <x:c r="F1140" s="56" t="str">
        <x:v>flank_pain</x:v>
      </x:c>
      <x:c r="G1140" s="56" t="n">
        <x:v>4</x:v>
      </x:c>
      <x:c r="H1140" s="56" t="str">
        <x:v>普通得分项</x:v>
      </x:c>
      <x:c r="I1140" s="56" t="str">
        <x:v>否</x:v>
      </x:c>
      <x:c r="J1140" s="56" t="str">
        <x:v>否</x:v>
      </x:c>
      <x:c r="K1140" s="56" t="str">
        <x:v>否</x:v>
      </x:c>
      <x:c r="L1140" s="56" t="str">
        <x:v>按结构化事件证据给予0/部分/满分；不能由总结反推已完成</x:v>
      </x:c>
      <x:c r="M1140" s="56" t="str"/>
      <x:c r="N1140" s="56" t="n">
        <x:f>SUMIFS($G$4:$G$1673,$A$4:$A$1673,A1140)</x:f>
        <x:v>360</x:v>
      </x:c>
      <x:c r="O1140" s="56" t="str">
        <x:f>IF(N1140=360,"通过","失败")</x:f>
        <x:v>通过</x:v>
      </x:c>
      <x:c r="P1140" s="56" t="str"/>
      <x:c r="Q1140" s="59" t="str">
        <x:v>待确认</x:v>
      </x:c>
    </x:row>
    <x:row r="1141">
      <x:c r="A1141" s="56" t="str">
        <x:v>P029</x:v>
      </x:c>
      <x:c r="B1141" s="56" t="str">
        <x:v>HX-ADD-017</x:v>
      </x:c>
      <x:c r="C1141" s="56" t="str">
        <x:v>history</x:v>
      </x:c>
      <x:c r="D1141" s="56" t="n">
        <x:v>50</x:v>
      </x:c>
      <x:c r="E1141" s="56" t="str">
        <x:v>history.fever_chills</x:v>
      </x:c>
      <x:c r="F1141" s="56" t="str">
        <x:v>fever_chills</x:v>
      </x:c>
      <x:c r="G1141" s="56" t="n">
        <x:v>4</x:v>
      </x:c>
      <x:c r="H1141" s="56" t="str">
        <x:v>普通得分项</x:v>
      </x:c>
      <x:c r="I1141" s="56" t="str">
        <x:v>否</x:v>
      </x:c>
      <x:c r="J1141" s="56" t="str">
        <x:v>否</x:v>
      </x:c>
      <x:c r="K1141" s="56" t="str">
        <x:v>否</x:v>
      </x:c>
      <x:c r="L1141" s="56" t="str">
        <x:v>按结构化事件证据给予0/部分/满分；不能由总结反推已完成</x:v>
      </x:c>
      <x:c r="M1141" s="56" t="str"/>
      <x:c r="N1141" s="56" t="n">
        <x:f>SUMIFS($G$4:$G$1673,$A$4:$A$1673,A1141)</x:f>
        <x:v>360</x:v>
      </x:c>
      <x:c r="O1141" s="56" t="str">
        <x:f>IF(N1141=360,"通过","失败")</x:f>
        <x:v>通过</x:v>
      </x:c>
      <x:c r="P1141" s="56" t="str"/>
      <x:c r="Q1141" s="59" t="str">
        <x:v>待确认</x:v>
      </x:c>
    </x:row>
    <x:row r="1142">
      <x:c r="A1142" s="56" t="str">
        <x:v>P029</x:v>
      </x:c>
      <x:c r="B1142" s="56" t="str">
        <x:v>HX-ADD-017</x:v>
      </x:c>
      <x:c r="C1142" s="56" t="str">
        <x:v>risk</x:v>
      </x:c>
      <x:c r="D1142" s="56" t="n">
        <x:v>40</x:v>
      </x:c>
      <x:c r="E1142" s="56" t="str">
        <x:v>risk.voiding_difficulty</x:v>
      </x:c>
      <x:c r="F1142" s="56" t="str">
        <x:v>voiding_difficulty</x:v>
      </x:c>
      <x:c r="G1142" s="56" t="n">
        <x:v>10</x:v>
      </x:c>
      <x:c r="H1142" s="56" t="str">
        <x:v>普通得分项</x:v>
      </x:c>
      <x:c r="I1142" s="56" t="str">
        <x:v>否</x:v>
      </x:c>
      <x:c r="J1142" s="56" t="str">
        <x:v>否</x:v>
      </x:c>
      <x:c r="K1142" s="56" t="str">
        <x:v>否</x:v>
      </x:c>
      <x:c r="L1142" s="56" t="str">
        <x:v>按结构化事件证据给予0/部分/满分；不能由总结反推已完成</x:v>
      </x:c>
      <x:c r="M1142" s="56" t="str"/>
      <x:c r="N1142" s="56" t="n">
        <x:f>SUMIFS($G$4:$G$1673,$A$4:$A$1673,A1142)</x:f>
        <x:v>360</x:v>
      </x:c>
      <x:c r="O1142" s="56" t="str">
        <x:f>IF(N1142=360,"通过","失败")</x:f>
        <x:v>通过</x:v>
      </x:c>
      <x:c r="P1142" s="56" t="str"/>
      <x:c r="Q1142" s="59" t="str">
        <x:v>待确认</x:v>
      </x:c>
    </x:row>
    <x:row r="1143">
      <x:c r="A1143" s="56" t="str">
        <x:v>P029</x:v>
      </x:c>
      <x:c r="B1143" s="56" t="str">
        <x:v>HX-ADD-017</x:v>
      </x:c>
      <x:c r="C1143" s="56" t="str">
        <x:v>risk</x:v>
      </x:c>
      <x:c r="D1143" s="56" t="n">
        <x:v>40</x:v>
      </x:c>
      <x:c r="E1143" s="56" t="str">
        <x:v>risk.retention</x:v>
      </x:c>
      <x:c r="F1143" s="56" t="str">
        <x:v>retention</x:v>
      </x:c>
      <x:c r="G1143" s="56" t="n">
        <x:v>10</x:v>
      </x:c>
      <x:c r="H1143" s="56" t="str">
        <x:v>普通得分项</x:v>
      </x:c>
      <x:c r="I1143" s="56" t="str">
        <x:v>否</x:v>
      </x:c>
      <x:c r="J1143" s="56" t="str">
        <x:v>否</x:v>
      </x:c>
      <x:c r="K1143" s="56" t="str">
        <x:v>否</x:v>
      </x:c>
      <x:c r="L1143" s="56" t="str">
        <x:v>按结构化事件证据给予0/部分/满分；不能由总结反推已完成</x:v>
      </x:c>
      <x:c r="M1143" s="56" t="str"/>
      <x:c r="N1143" s="56" t="n">
        <x:f>SUMIFS($G$4:$G$1673,$A$4:$A$1673,A1143)</x:f>
        <x:v>360</x:v>
      </x:c>
      <x:c r="O1143" s="56" t="str">
        <x:f>IF(N1143=360,"通过","失败")</x:f>
        <x:v>通过</x:v>
      </x:c>
      <x:c r="P1143" s="56" t="str"/>
      <x:c r="Q1143" s="59" t="str">
        <x:v>待确认</x:v>
      </x:c>
    </x:row>
    <x:row r="1144">
      <x:c r="A1144" s="56" t="str">
        <x:v>P029</x:v>
      </x:c>
      <x:c r="B1144" s="56" t="str">
        <x:v>HX-ADD-017</x:v>
      </x:c>
      <x:c r="C1144" s="56" t="str">
        <x:v>risk</x:v>
      </x:c>
      <x:c r="D1144" s="56" t="n">
        <x:v>40</x:v>
      </x:c>
      <x:c r="E1144" s="56" t="str">
        <x:v>risk.medications</x:v>
      </x:c>
      <x:c r="F1144" s="56" t="str">
        <x:v>medications</x:v>
      </x:c>
      <x:c r="G1144" s="56" t="n">
        <x:v>10</x:v>
      </x:c>
      <x:c r="H1144" s="56" t="str">
        <x:v>普通得分项</x:v>
      </x:c>
      <x:c r="I1144" s="56" t="str">
        <x:v>否</x:v>
      </x:c>
      <x:c r="J1144" s="56" t="str">
        <x:v>否</x:v>
      </x:c>
      <x:c r="K1144" s="56" t="str">
        <x:v>否</x:v>
      </x:c>
      <x:c r="L1144" s="56" t="str">
        <x:v>按结构化事件证据给予0/部分/满分；不能由总结反推已完成</x:v>
      </x:c>
      <x:c r="M1144" s="56" t="str"/>
      <x:c r="N1144" s="56" t="n">
        <x:f>SUMIFS($G$4:$G$1673,$A$4:$A$1673,A1144)</x:f>
        <x:v>360</x:v>
      </x:c>
      <x:c r="O1144" s="56" t="str">
        <x:f>IF(N1144=360,"通过","失败")</x:f>
        <x:v>通过</x:v>
      </x:c>
      <x:c r="P1144" s="56" t="str"/>
      <x:c r="Q1144" s="59" t="str">
        <x:v>待确认</x:v>
      </x:c>
    </x:row>
    <x:row r="1145">
      <x:c r="A1145" s="56" t="str">
        <x:v>P029</x:v>
      </x:c>
      <x:c r="B1145" s="56" t="str">
        <x:v>HX-ADD-017</x:v>
      </x:c>
      <x:c r="C1145" s="56" t="str">
        <x:v>risk</x:v>
      </x:c>
      <x:c r="D1145" s="56" t="n">
        <x:v>40</x:v>
      </x:c>
      <x:c r="E1145" s="56" t="str">
        <x:v>risk.surgery_history</x:v>
      </x:c>
      <x:c r="F1145" s="56" t="str">
        <x:v>surgery_history</x:v>
      </x:c>
      <x:c r="G1145" s="56" t="n">
        <x:v>10</x:v>
      </x:c>
      <x:c r="H1145" s="56" t="str">
        <x:v>普通得分项</x:v>
      </x:c>
      <x:c r="I1145" s="56" t="str">
        <x:v>否</x:v>
      </x:c>
      <x:c r="J1145" s="56" t="str">
        <x:v>否</x:v>
      </x:c>
      <x:c r="K1145" s="56" t="str">
        <x:v>否</x:v>
      </x:c>
      <x:c r="L1145" s="56" t="str">
        <x:v>按结构化事件证据给予0/部分/满分；不能由总结反推已完成</x:v>
      </x:c>
      <x:c r="M1145" s="56" t="str"/>
      <x:c r="N1145" s="56" t="n">
        <x:f>SUMIFS($G$4:$G$1673,$A$4:$A$1673,A1145)</x:f>
        <x:v>360</x:v>
      </x:c>
      <x:c r="O1145" s="56" t="str">
        <x:f>IF(N1145=360,"通过","失败")</x:f>
        <x:v>通过</x:v>
      </x:c>
      <x:c r="P1145" s="56" t="str"/>
      <x:c r="Q1145" s="59" t="str">
        <x:v>待确认</x:v>
      </x:c>
    </x:row>
    <x:row r="1146">
      <x:c r="A1146" s="56" t="str">
        <x:v>P029</x:v>
      </x:c>
      <x:c r="B1146" s="56" t="str">
        <x:v>HX-ADD-017</x:v>
      </x:c>
      <x:c r="C1146" s="56" t="str">
        <x:v>exam</x:v>
      </x:c>
      <x:c r="D1146" s="56" t="n">
        <x:v>35</x:v>
      </x:c>
      <x:c r="E1146" s="56" t="str">
        <x:v>exam.temperature</x:v>
      </x:c>
      <x:c r="F1146" s="56" t="str">
        <x:v>体温</x:v>
      </x:c>
      <x:c r="G1146" s="56" t="n">
        <x:v>12</x:v>
      </x:c>
      <x:c r="H1146" s="56" t="str">
        <x:v>普通得分项</x:v>
      </x:c>
      <x:c r="I1146" s="56" t="str">
        <x:v>否</x:v>
      </x:c>
      <x:c r="J1146" s="56" t="str">
        <x:v>否</x:v>
      </x:c>
      <x:c r="K1146" s="56" t="str">
        <x:v>否</x:v>
      </x:c>
      <x:c r="L1146" s="56" t="str">
        <x:v>按结构化事件证据给予0/部分/满分；不能由总结反推已完成</x:v>
      </x:c>
      <x:c r="M1146" s="56" t="str"/>
      <x:c r="N1146" s="56" t="n">
        <x:f>SUMIFS($G$4:$G$1673,$A$4:$A$1673,A1146)</x:f>
        <x:v>360</x:v>
      </x:c>
      <x:c r="O1146" s="56" t="str">
        <x:f>IF(N1146=360,"通过","失败")</x:f>
        <x:v>通过</x:v>
      </x:c>
      <x:c r="P1146" s="56" t="str"/>
      <x:c r="Q1146" s="59" t="str">
        <x:v>待确认</x:v>
      </x:c>
    </x:row>
    <x:row r="1147">
      <x:c r="A1147" s="56" t="str">
        <x:v>P029</x:v>
      </x:c>
      <x:c r="B1147" s="56" t="str">
        <x:v>HX-ADD-017</x:v>
      </x:c>
      <x:c r="C1147" s="56" t="str">
        <x:v>exam</x:v>
      </x:c>
      <x:c r="D1147" s="56" t="n">
        <x:v>35</x:v>
      </x:c>
      <x:c r="E1147" s="56" t="str">
        <x:v>exam.blood_pressure</x:v>
      </x:c>
      <x:c r="F1147" s="56" t="str">
        <x:v>血压</x:v>
      </x:c>
      <x:c r="G1147" s="56" t="n">
        <x:v>12</x:v>
      </x:c>
      <x:c r="H1147" s="56" t="str">
        <x:v>普通得分项</x:v>
      </x:c>
      <x:c r="I1147" s="56" t="str">
        <x:v>否</x:v>
      </x:c>
      <x:c r="J1147" s="56" t="str">
        <x:v>否</x:v>
      </x:c>
      <x:c r="K1147" s="56" t="str">
        <x:v>否</x:v>
      </x:c>
      <x:c r="L1147" s="56" t="str">
        <x:v>按结构化事件证据给予0/部分/满分；不能由总结反推已完成</x:v>
      </x:c>
      <x:c r="M1147" s="56" t="str"/>
      <x:c r="N1147" s="56" t="n">
        <x:f>SUMIFS($G$4:$G$1673,$A$4:$A$1673,A1147)</x:f>
        <x:v>360</x:v>
      </x:c>
      <x:c r="O1147" s="56" t="str">
        <x:f>IF(N1147=360,"通过","失败")</x:f>
        <x:v>通过</x:v>
      </x:c>
      <x:c r="P1147" s="56" t="str"/>
      <x:c r="Q1147" s="59" t="str">
        <x:v>待确认</x:v>
      </x:c>
    </x:row>
    <x:row r="1148">
      <x:c r="A1148" s="56" t="str">
        <x:v>P029</x:v>
      </x:c>
      <x:c r="B1148" s="56" t="str">
        <x:v>HX-ADD-017</x:v>
      </x:c>
      <x:c r="C1148" s="56" t="str">
        <x:v>exam</x:v>
      </x:c>
      <x:c r="D1148" s="56" t="n">
        <x:v>35</x:v>
      </x:c>
      <x:c r="E1148" s="56" t="str">
        <x:v>exam.targeted</x:v>
      </x:c>
      <x:c r="F1148" s="56" t="str">
        <x:v>病例针对性查体</x:v>
      </x:c>
      <x:c r="G1148" s="56" t="n">
        <x:v>11</x:v>
      </x:c>
      <x:c r="H1148" s="56" t="str">
        <x:v>普通得分项</x:v>
      </x:c>
      <x:c r="I1148" s="56" t="str">
        <x:v>否</x:v>
      </x:c>
      <x:c r="J1148" s="56" t="str">
        <x:v>否</x:v>
      </x:c>
      <x:c r="K1148" s="56" t="str">
        <x:v>否</x:v>
      </x:c>
      <x:c r="L1148" s="56" t="str">
        <x:v>按结构化事件证据给予0/部分/满分；不能由总结反推已完成</x:v>
      </x:c>
      <x:c r="M1148" s="56" t="str"/>
      <x:c r="N1148" s="56" t="n">
        <x:f>SUMIFS($G$4:$G$1673,$A$4:$A$1673,A1148)</x:f>
        <x:v>360</x:v>
      </x:c>
      <x:c r="O1148" s="56" t="str">
        <x:f>IF(N1148=360,"通过","失败")</x:f>
        <x:v>通过</x:v>
      </x:c>
      <x:c r="P1148" s="56" t="str"/>
      <x:c r="Q1148" s="59" t="str">
        <x:v>待确认</x:v>
      </x:c>
    </x:row>
    <x:row r="1149">
      <x:c r="A1149" s="56" t="str">
        <x:v>P029</x:v>
      </x:c>
      <x:c r="B1149" s="56" t="str">
        <x:v>HX-ADD-017</x:v>
      </x:c>
      <x:c r="C1149" s="56" t="str">
        <x:v>diagnosis</x:v>
      </x:c>
      <x:c r="D1149" s="56" t="n">
        <x:v>45</x:v>
      </x:c>
      <x:c r="E1149" s="56" t="str">
        <x:v>diagnosis.primary</x:v>
      </x:c>
      <x:c r="F1149" s="56" t="str">
        <x:v>最可能诊断及依据</x:v>
      </x:c>
      <x:c r="G1149" s="56" t="n">
        <x:v>15</x:v>
      </x:c>
      <x:c r="H1149" s="56" t="str">
        <x:v>普通得分项</x:v>
      </x:c>
      <x:c r="I1149" s="56" t="str">
        <x:v>否</x:v>
      </x:c>
      <x:c r="J1149" s="56" t="str">
        <x:v>否</x:v>
      </x:c>
      <x:c r="K1149" s="56" t="str">
        <x:v>否</x:v>
      </x:c>
      <x:c r="L1149" s="56" t="str">
        <x:v>按结构化事件证据给予0/部分/满分；不能由总结反推已完成</x:v>
      </x:c>
      <x:c r="M1149" s="56" t="str"/>
      <x:c r="N1149" s="56" t="n">
        <x:f>SUMIFS($G$4:$G$1673,$A$4:$A$1673,A1149)</x:f>
        <x:v>360</x:v>
      </x:c>
      <x:c r="O1149" s="56" t="str">
        <x:f>IF(N1149=360,"通过","失败")</x:f>
        <x:v>通过</x:v>
      </x:c>
      <x:c r="P1149" s="56" t="str"/>
      <x:c r="Q1149" s="59" t="str">
        <x:v>待确认</x:v>
      </x:c>
    </x:row>
    <x:row r="1150">
      <x:c r="A1150" s="56" t="str">
        <x:v>P029</x:v>
      </x:c>
      <x:c r="B1150" s="56" t="str">
        <x:v>HX-ADD-017</x:v>
      </x:c>
      <x:c r="C1150" s="56" t="str">
        <x:v>diagnosis</x:v>
      </x:c>
      <x:c r="D1150" s="56" t="n">
        <x:v>45</x:v>
      </x:c>
      <x:c r="E1150" s="56" t="str">
        <x:v>diagnosis.differentials</x:v>
      </x:c>
      <x:c r="F1150" s="56" t="str">
        <x:v>至少3项鉴别及支持/反对点</x:v>
      </x:c>
      <x:c r="G1150" s="56" t="n">
        <x:v>15</x:v>
      </x:c>
      <x:c r="H1150" s="56" t="str">
        <x:v>普通得分项</x:v>
      </x:c>
      <x:c r="I1150" s="56" t="str">
        <x:v>否</x:v>
      </x:c>
      <x:c r="J1150" s="56" t="str">
        <x:v>否</x:v>
      </x:c>
      <x:c r="K1150" s="56" t="str">
        <x:v>否</x:v>
      </x:c>
      <x:c r="L1150" s="56" t="str">
        <x:v>按结构化事件证据给予0/部分/满分；不能由总结反推已完成</x:v>
      </x:c>
      <x:c r="M1150" s="56" t="str"/>
      <x:c r="N1150" s="56" t="n">
        <x:f>SUMIFS($G$4:$G$1673,$A$4:$A$1673,A1150)</x:f>
        <x:v>360</x:v>
      </x:c>
      <x:c r="O1150" s="56" t="str">
        <x:f>IF(N1150=360,"通过","失败")</x:f>
        <x:v>通过</x:v>
      </x:c>
      <x:c r="P1150" s="56" t="str"/>
      <x:c r="Q1150" s="59" t="str">
        <x:v>待确认</x:v>
      </x:c>
    </x:row>
    <x:row r="1151">
      <x:c r="A1151" s="56" t="str">
        <x:v>P029</x:v>
      </x:c>
      <x:c r="B1151" s="56" t="str">
        <x:v>HX-ADD-017</x:v>
      </x:c>
      <x:c r="C1151" s="56" t="str">
        <x:v>diagnosis</x:v>
      </x:c>
      <x:c r="D1151" s="56" t="n">
        <x:v>45</x:v>
      </x:c>
      <x:c r="E1151" s="56" t="str">
        <x:v>diagnosis.confirmation</x:v>
      </x:c>
      <x:c r="F1151" s="56" t="str">
        <x:v>确认计划</x:v>
      </x:c>
      <x:c r="G1151" s="56" t="n">
        <x:v>15</x:v>
      </x:c>
      <x:c r="H1151" s="56" t="str">
        <x:v>普通得分项</x:v>
      </x:c>
      <x:c r="I1151" s="56" t="str">
        <x:v>否</x:v>
      </x:c>
      <x:c r="J1151" s="56" t="str">
        <x:v>否</x:v>
      </x:c>
      <x:c r="K1151" s="56" t="str">
        <x:v>否</x:v>
      </x:c>
      <x:c r="L1151" s="56" t="str">
        <x:v>按结构化事件证据给予0/部分/满分；不能由总结反推已完成</x:v>
      </x:c>
      <x:c r="M1151" s="56" t="str"/>
      <x:c r="N1151" s="56" t="n">
        <x:f>SUMIFS($G$4:$G$1673,$A$4:$A$1673,A1151)</x:f>
        <x:v>360</x:v>
      </x:c>
      <x:c r="O1151" s="56" t="str">
        <x:f>IF(N1151=360,"通过","失败")</x:f>
        <x:v>通过</x:v>
      </x:c>
      <x:c r="P1151" s="56" t="str"/>
      <x:c r="Q1151" s="59" t="str">
        <x:v>待确认</x:v>
      </x:c>
    </x:row>
    <x:row r="1152">
      <x:c r="A1152" s="56" t="str">
        <x:v>P029</x:v>
      </x:c>
      <x:c r="B1152" s="56" t="str">
        <x:v>HX-ADD-017</x:v>
      </x:c>
      <x:c r="C1152" s="56" t="str">
        <x:v>orders</x:v>
      </x:c>
      <x:c r="D1152" s="56" t="n">
        <x:v>55</x:v>
      </x:c>
      <x:c r="E1152" s="56" t="str">
        <x:v>orders.LAB-UR-001</x:v>
      </x:c>
      <x:c r="F1152" s="56" t="str">
        <x:v>LAB-UR-001</x:v>
      </x:c>
      <x:c r="G1152" s="56" t="n">
        <x:v>11</x:v>
      </x:c>
      <x:c r="H1152" s="56" t="str">
        <x:v>病例特异得分项</x:v>
      </x:c>
      <x:c r="I1152" s="56" t="str">
        <x:v>否</x:v>
      </x:c>
      <x:c r="J1152" s="56" t="str">
        <x:v>否</x:v>
      </x:c>
      <x:c r="K1152" s="56" t="str">
        <x:v>否</x:v>
      </x:c>
      <x:c r="L1152" s="56" t="str">
        <x:v>按结构化事件证据给予0/部分/满分；不能由总结反推已完成</x:v>
      </x:c>
      <x:c r="M1152" s="56" t="str"/>
      <x:c r="N1152" s="56" t="n">
        <x:f>SUMIFS($G$4:$G$1673,$A$4:$A$1673,A1152)</x:f>
        <x:v>360</x:v>
      </x:c>
      <x:c r="O1152" s="56" t="str">
        <x:f>IF(N1152=360,"通过","失败")</x:f>
        <x:v>通过</x:v>
      </x:c>
      <x:c r="P1152" s="56" t="str"/>
      <x:c r="Q1152" s="59" t="str">
        <x:v>待确认</x:v>
      </x:c>
    </x:row>
    <x:row r="1153">
      <x:c r="A1153" s="56" t="str">
        <x:v>P029</x:v>
      </x:c>
      <x:c r="B1153" s="56" t="str">
        <x:v>HX-ADD-017</x:v>
      </x:c>
      <x:c r="C1153" s="56" t="str">
        <x:v>orders</x:v>
      </x:c>
      <x:c r="D1153" s="56" t="n">
        <x:v>55</x:v>
      </x:c>
      <x:c r="E1153" s="56" t="str">
        <x:v>orders.LAB-BL-003</x:v>
      </x:c>
      <x:c r="F1153" s="56" t="str">
        <x:v>LAB-BL-003</x:v>
      </x:c>
      <x:c r="G1153" s="56" t="n">
        <x:v>11</x:v>
      </x:c>
      <x:c r="H1153" s="56" t="str">
        <x:v>病例特异得分项</x:v>
      </x:c>
      <x:c r="I1153" s="56" t="str">
        <x:v>否</x:v>
      </x:c>
      <x:c r="J1153" s="56" t="str">
        <x:v>否</x:v>
      </x:c>
      <x:c r="K1153" s="56" t="str">
        <x:v>否</x:v>
      </x:c>
      <x:c r="L1153" s="56" t="str">
        <x:v>按结构化事件证据给予0/部分/满分；不能由总结反推已完成</x:v>
      </x:c>
      <x:c r="M1153" s="56" t="str"/>
      <x:c r="N1153" s="56" t="n">
        <x:f>SUMIFS($G$4:$G$1673,$A$4:$A$1673,A1153)</x:f>
        <x:v>360</x:v>
      </x:c>
      <x:c r="O1153" s="56" t="str">
        <x:f>IF(N1153=360,"通过","失败")</x:f>
        <x:v>通过</x:v>
      </x:c>
      <x:c r="P1153" s="56" t="str"/>
      <x:c r="Q1153" s="59" t="str">
        <x:v>待确认</x:v>
      </x:c>
    </x:row>
    <x:row r="1154">
      <x:c r="A1154" s="56" t="str">
        <x:v>P029</x:v>
      </x:c>
      <x:c r="B1154" s="56" t="str">
        <x:v>HX-ADD-017</x:v>
      </x:c>
      <x:c r="C1154" s="56" t="str">
        <x:v>orders</x:v>
      </x:c>
      <x:c r="D1154" s="56" t="n">
        <x:v>55</x:v>
      </x:c>
      <x:c r="E1154" s="56" t="str">
        <x:v>orders.IMG-US-001</x:v>
      </x:c>
      <x:c r="F1154" s="56" t="str">
        <x:v>IMG-US-001</x:v>
      </x:c>
      <x:c r="G1154" s="56" t="n">
        <x:v>11</x:v>
      </x:c>
      <x:c r="H1154" s="56" t="str">
        <x:v>病例特异得分项</x:v>
      </x:c>
      <x:c r="I1154" s="56" t="str">
        <x:v>否</x:v>
      </x:c>
      <x:c r="J1154" s="56" t="str">
        <x:v>否</x:v>
      </x:c>
      <x:c r="K1154" s="56" t="str">
        <x:v>否</x:v>
      </x:c>
      <x:c r="L1154" s="56" t="str">
        <x:v>按结构化事件证据给予0/部分/满分；不能由总结反推已完成</x:v>
      </x:c>
      <x:c r="M1154" s="56" t="str"/>
      <x:c r="N1154" s="56" t="n">
        <x:f>SUMIFS($G$4:$G$1673,$A$4:$A$1673,A1154)</x:f>
        <x:v>360</x:v>
      </x:c>
      <x:c r="O1154" s="56" t="str">
        <x:f>IF(N1154=360,"通过","失败")</x:f>
        <x:v>通过</x:v>
      </x:c>
      <x:c r="P1154" s="56" t="str"/>
      <x:c r="Q1154" s="59" t="str">
        <x:v>待确认</x:v>
      </x:c>
    </x:row>
    <x:row r="1155">
      <x:c r="A1155" s="56" t="str">
        <x:v>P029</x:v>
      </x:c>
      <x:c r="B1155" s="56" t="str">
        <x:v>HX-ADD-017</x:v>
      </x:c>
      <x:c r="C1155" s="56" t="str">
        <x:v>orders</x:v>
      </x:c>
      <x:c r="D1155" s="56" t="n">
        <x:v>55</x:v>
      </x:c>
      <x:c r="E1155" s="56" t="str">
        <x:v>orders.FUNC-001</x:v>
      </x:c>
      <x:c r="F1155" s="56" t="str">
        <x:v>FUNC-001</x:v>
      </x:c>
      <x:c r="G1155" s="56" t="n">
        <x:v>11</x:v>
      </x:c>
      <x:c r="H1155" s="56" t="str">
        <x:v>病例特异得分项</x:v>
      </x:c>
      <x:c r="I1155" s="56" t="str">
        <x:v>否</x:v>
      </x:c>
      <x:c r="J1155" s="56" t="str">
        <x:v>否</x:v>
      </x:c>
      <x:c r="K1155" s="56" t="str">
        <x:v>否</x:v>
      </x:c>
      <x:c r="L1155" s="56" t="str">
        <x:v>按结构化事件证据给予0/部分/满分；不能由总结反推已完成</x:v>
      </x:c>
      <x:c r="M1155" s="56" t="str"/>
      <x:c r="N1155" s="56" t="n">
        <x:f>SUMIFS($G$4:$G$1673,$A$4:$A$1673,A1155)</x:f>
        <x:v>360</x:v>
      </x:c>
      <x:c r="O1155" s="56" t="str">
        <x:f>IF(N1155=360,"通过","失败")</x:f>
        <x:v>通过</x:v>
      </x:c>
      <x:c r="P1155" s="56" t="str"/>
      <x:c r="Q1155" s="59" t="str">
        <x:v>待确认</x:v>
      </x:c>
    </x:row>
    <x:row r="1156">
      <x:c r="A1156" s="56" t="str">
        <x:v>P029</x:v>
      </x:c>
      <x:c r="B1156" s="56" t="str">
        <x:v>HX-ADD-017</x:v>
      </x:c>
      <x:c r="C1156" s="56" t="str">
        <x:v>orders</x:v>
      </x:c>
      <x:c r="D1156" s="56" t="n">
        <x:v>55</x:v>
      </x:c>
      <x:c r="E1156" s="56" t="str">
        <x:v>orders.LAB-BL-015</x:v>
      </x:c>
      <x:c r="F1156" s="56" t="str">
        <x:v>LAB-BL-015</x:v>
      </x:c>
      <x:c r="G1156" s="56" t="n">
        <x:v>11</x:v>
      </x:c>
      <x:c r="H1156" s="56" t="str">
        <x:v>病例特异得分项</x:v>
      </x:c>
      <x:c r="I1156" s="56" t="str">
        <x:v>否</x:v>
      </x:c>
      <x:c r="J1156" s="56" t="str">
        <x:v>否</x:v>
      </x:c>
      <x:c r="K1156" s="56" t="str">
        <x:v>否</x:v>
      </x:c>
      <x:c r="L1156" s="56" t="str">
        <x:v>按结构化事件证据给予0/部分/满分；不能由总结反推已完成</x:v>
      </x:c>
      <x:c r="M1156" s="56" t="str"/>
      <x:c r="N1156" s="56" t="n">
        <x:f>SUMIFS($G$4:$G$1673,$A$4:$A$1673,A1156)</x:f>
        <x:v>360</x:v>
      </x:c>
      <x:c r="O1156" s="56" t="str">
        <x:f>IF(N1156=360,"通过","失败")</x:f>
        <x:v>通过</x:v>
      </x:c>
      <x:c r="P1156" s="56" t="str"/>
      <x:c r="Q1156" s="59" t="str">
        <x:v>待确认</x:v>
      </x:c>
    </x:row>
    <x:row r="1157">
      <x:c r="A1157" s="56" t="str">
        <x:v>P029</x:v>
      </x:c>
      <x:c r="B1157" s="56" t="str">
        <x:v>HX-ADD-017</x:v>
      </x:c>
      <x:c r="C1157" s="56" t="str">
        <x:v>mdt</x:v>
      </x:c>
      <x:c r="D1157" s="56" t="n">
        <x:v>45</x:v>
      </x:c>
      <x:c r="E1157" s="56" t="str">
        <x:v>mdt.department</x:v>
      </x:c>
      <x:c r="F1157" s="56" t="str">
        <x:v>department</x:v>
      </x:c>
      <x:c r="G1157" s="56" t="n">
        <x:v>12</x:v>
      </x:c>
      <x:c r="H1157" s="56" t="str">
        <x:v>病例特异得分项</x:v>
      </x:c>
      <x:c r="I1157" s="56" t="str">
        <x:v>否</x:v>
      </x:c>
      <x:c r="J1157" s="56" t="str">
        <x:v>否</x:v>
      </x:c>
      <x:c r="K1157" s="56" t="str">
        <x:v>否</x:v>
      </x:c>
      <x:c r="L1157" s="56" t="str">
        <x:v>按结构化事件证据给予0/部分/满分；不能由总结反推已完成</x:v>
      </x:c>
      <x:c r="M1157" s="56" t="str"/>
      <x:c r="N1157" s="56" t="n">
        <x:f>SUMIFS($G$4:$G$1673,$A$4:$A$1673,A1157)</x:f>
        <x:v>360</x:v>
      </x:c>
      <x:c r="O1157" s="56" t="str">
        <x:f>IF(N1157=360,"通过","失败")</x:f>
        <x:v>通过</x:v>
      </x:c>
      <x:c r="P1157" s="56" t="str"/>
      <x:c r="Q1157" s="59" t="str">
        <x:v>待确认</x:v>
      </x:c>
    </x:row>
    <x:row r="1158">
      <x:c r="A1158" s="56" t="str">
        <x:v>P029</x:v>
      </x:c>
      <x:c r="B1158" s="56" t="str">
        <x:v>HX-ADD-017</x:v>
      </x:c>
      <x:c r="C1158" s="56" t="str">
        <x:v>mdt</x:v>
      </x:c>
      <x:c r="D1158" s="56" t="n">
        <x:v>45</x:v>
      </x:c>
      <x:c r="E1158" s="56" t="str">
        <x:v>mdt.trigger</x:v>
      </x:c>
      <x:c r="F1158" s="56" t="str">
        <x:v>trigger</x:v>
      </x:c>
      <x:c r="G1158" s="56" t="n">
        <x:v>11</x:v>
      </x:c>
      <x:c r="H1158" s="56" t="str">
        <x:v>病例特异得分项</x:v>
      </x:c>
      <x:c r="I1158" s="56" t="str">
        <x:v>否</x:v>
      </x:c>
      <x:c r="J1158" s="56" t="str">
        <x:v>否</x:v>
      </x:c>
      <x:c r="K1158" s="56" t="str">
        <x:v>否</x:v>
      </x:c>
      <x:c r="L1158" s="56" t="str">
        <x:v>按结构化事件证据给予0/部分/满分；不能由总结反推已完成</x:v>
      </x:c>
      <x:c r="M1158" s="56" t="str"/>
      <x:c r="N1158" s="56" t="n">
        <x:f>SUMIFS($G$4:$G$1673,$A$4:$A$1673,A1158)</x:f>
        <x:v>360</x:v>
      </x:c>
      <x:c r="O1158" s="56" t="str">
        <x:f>IF(N1158=360,"通过","失败")</x:f>
        <x:v>通过</x:v>
      </x:c>
      <x:c r="P1158" s="56" t="str"/>
      <x:c r="Q1158" s="59" t="str">
        <x:v>待确认</x:v>
      </x:c>
    </x:row>
    <x:row r="1159">
      <x:c r="A1159" s="56" t="str">
        <x:v>P029</x:v>
      </x:c>
      <x:c r="B1159" s="56" t="str">
        <x:v>HX-ADD-017</x:v>
      </x:c>
      <x:c r="C1159" s="56" t="str">
        <x:v>mdt</x:v>
      </x:c>
      <x:c r="D1159" s="56" t="n">
        <x:v>45</x:v>
      </x:c>
      <x:c r="E1159" s="56" t="str">
        <x:v>mdt.question</x:v>
      </x:c>
      <x:c r="F1159" s="56" t="str">
        <x:v>question</x:v>
      </x:c>
      <x:c r="G1159" s="56" t="n">
        <x:v>11</x:v>
      </x:c>
      <x:c r="H1159" s="56" t="str">
        <x:v>病例特异得分项</x:v>
      </x:c>
      <x:c r="I1159" s="56" t="str">
        <x:v>否</x:v>
      </x:c>
      <x:c r="J1159" s="56" t="str">
        <x:v>否</x:v>
      </x:c>
      <x:c r="K1159" s="56" t="str">
        <x:v>否</x:v>
      </x:c>
      <x:c r="L1159" s="56" t="str">
        <x:v>按结构化事件证据给予0/部分/满分；不能由总结反推已完成</x:v>
      </x:c>
      <x:c r="M1159" s="56" t="str"/>
      <x:c r="N1159" s="56" t="n">
        <x:f>SUMIFS($G$4:$G$1673,$A$4:$A$1673,A1159)</x:f>
        <x:v>360</x:v>
      </x:c>
      <x:c r="O1159" s="56" t="str">
        <x:f>IF(N1159=360,"通过","失败")</x:f>
        <x:v>通过</x:v>
      </x:c>
      <x:c r="P1159" s="56" t="str"/>
      <x:c r="Q1159" s="59" t="str">
        <x:v>待确认</x:v>
      </x:c>
    </x:row>
    <x:row r="1160">
      <x:c r="A1160" s="56" t="str">
        <x:v>P029</x:v>
      </x:c>
      <x:c r="B1160" s="56" t="str">
        <x:v>HX-ADD-017</x:v>
      </x:c>
      <x:c r="C1160" s="56" t="str">
        <x:v>mdt</x:v>
      </x:c>
      <x:c r="D1160" s="56" t="n">
        <x:v>45</x:v>
      </x:c>
      <x:c r="E1160" s="56" t="str">
        <x:v>mdt.evidence</x:v>
      </x:c>
      <x:c r="F1160" s="56" t="str">
        <x:v>evidence</x:v>
      </x:c>
      <x:c r="G1160" s="56" t="n">
        <x:v>11</x:v>
      </x:c>
      <x:c r="H1160" s="56" t="str">
        <x:v>病例特异得分项</x:v>
      </x:c>
      <x:c r="I1160" s="56" t="str">
        <x:v>否</x:v>
      </x:c>
      <x:c r="J1160" s="56" t="str">
        <x:v>否</x:v>
      </x:c>
      <x:c r="K1160" s="56" t="str">
        <x:v>否</x:v>
      </x:c>
      <x:c r="L1160" s="56" t="str">
        <x:v>按结构化事件证据给予0/部分/满分；不能由总结反推已完成</x:v>
      </x:c>
      <x:c r="M1160" s="56" t="str"/>
      <x:c r="N1160" s="56" t="n">
        <x:f>SUMIFS($G$4:$G$1673,$A$4:$A$1673,A1160)</x:f>
        <x:v>360</x:v>
      </x:c>
      <x:c r="O1160" s="56" t="str">
        <x:f>IF(N1160=360,"通过","失败")</x:f>
        <x:v>通过</x:v>
      </x:c>
      <x:c r="P1160" s="56" t="str"/>
      <x:c r="Q1160" s="59" t="str">
        <x:v>待确认</x:v>
      </x:c>
    </x:row>
    <x:row r="1161">
      <x:c r="A1161" s="56" t="str">
        <x:v>P029</x:v>
      </x:c>
      <x:c r="B1161" s="56" t="str">
        <x:v>HX-ADD-017</x:v>
      </x:c>
      <x:c r="C1161" s="56" t="str">
        <x:v>treatment</x:v>
      </x:c>
      <x:c r="D1161" s="56" t="n">
        <x:v>50</x:v>
      </x:c>
      <x:c r="E1161" s="56" t="str">
        <x:v>treatment.immediate</x:v>
      </x:c>
      <x:c r="F1161" s="56" t="str">
        <x:v>immediate</x:v>
      </x:c>
      <x:c r="G1161" s="56" t="n">
        <x:v>13</x:v>
      </x:c>
      <x:c r="H1161" s="56" t="str">
        <x:v>病例特异得分项</x:v>
      </x:c>
      <x:c r="I1161" s="56" t="str">
        <x:v>否</x:v>
      </x:c>
      <x:c r="J1161" s="56" t="str">
        <x:v>否</x:v>
      </x:c>
      <x:c r="K1161" s="56" t="str">
        <x:v>否</x:v>
      </x:c>
      <x:c r="L1161" s="56" t="str">
        <x:v>按结构化事件证据给予0/部分/满分；不能由总结反推已完成</x:v>
      </x:c>
      <x:c r="M1161" s="56" t="str"/>
      <x:c r="N1161" s="56" t="n">
        <x:f>SUMIFS($G$4:$G$1673,$A$4:$A$1673,A1161)</x:f>
        <x:v>360</x:v>
      </x:c>
      <x:c r="O1161" s="56" t="str">
        <x:f>IF(N1161=360,"通过","失败")</x:f>
        <x:v>通过</x:v>
      </x:c>
      <x:c r="P1161" s="56" t="str"/>
      <x:c r="Q1161" s="59" t="str">
        <x:v>待确认</x:v>
      </x:c>
    </x:row>
    <x:row r="1162">
      <x:c r="A1162" s="56" t="str">
        <x:v>P029</x:v>
      </x:c>
      <x:c r="B1162" s="56" t="str">
        <x:v>HX-ADD-017</x:v>
      </x:c>
      <x:c r="C1162" s="56" t="str">
        <x:v>treatment</x:v>
      </x:c>
      <x:c r="D1162" s="56" t="n">
        <x:v>50</x:v>
      </x:c>
      <x:c r="E1162" s="56" t="str">
        <x:v>treatment.etiologic</x:v>
      </x:c>
      <x:c r="F1162" s="56" t="str">
        <x:v>etiologic</x:v>
      </x:c>
      <x:c r="G1162" s="56" t="n">
        <x:v>13</x:v>
      </x:c>
      <x:c r="H1162" s="56" t="str">
        <x:v>病例特异得分项</x:v>
      </x:c>
      <x:c r="I1162" s="56" t="str">
        <x:v>否</x:v>
      </x:c>
      <x:c r="J1162" s="56" t="str">
        <x:v>否</x:v>
      </x:c>
      <x:c r="K1162" s="56" t="str">
        <x:v>否</x:v>
      </x:c>
      <x:c r="L1162" s="56" t="str">
        <x:v>按结构化事件证据给予0/部分/满分；不能由总结反推已完成</x:v>
      </x:c>
      <x:c r="M1162" s="56" t="str"/>
      <x:c r="N1162" s="56" t="n">
        <x:f>SUMIFS($G$4:$G$1673,$A$4:$A$1673,A1162)</x:f>
        <x:v>360</x:v>
      </x:c>
      <x:c r="O1162" s="56" t="str">
        <x:f>IF(N1162=360,"通过","失败")</x:f>
        <x:v>通过</x:v>
      </x:c>
      <x:c r="P1162" s="56" t="str"/>
      <x:c r="Q1162" s="59" t="str">
        <x:v>待确认</x:v>
      </x:c>
    </x:row>
    <x:row r="1163">
      <x:c r="A1163" s="56" t="str">
        <x:v>P029</x:v>
      </x:c>
      <x:c r="B1163" s="56" t="str">
        <x:v>HX-ADD-017</x:v>
      </x:c>
      <x:c r="C1163" s="56" t="str">
        <x:v>treatment</x:v>
      </x:c>
      <x:c r="D1163" s="56" t="n">
        <x:v>50</x:v>
      </x:c>
      <x:c r="E1163" s="56" t="str">
        <x:v>treatment.definitive</x:v>
      </x:c>
      <x:c r="F1163" s="56" t="str">
        <x:v>definitive</x:v>
      </x:c>
      <x:c r="G1163" s="56" t="n">
        <x:v>12</x:v>
      </x:c>
      <x:c r="H1163" s="56" t="str">
        <x:v>病例特异得分项</x:v>
      </x:c>
      <x:c r="I1163" s="56" t="str">
        <x:v>否</x:v>
      </x:c>
      <x:c r="J1163" s="56" t="str">
        <x:v>否</x:v>
      </x:c>
      <x:c r="K1163" s="56" t="str">
        <x:v>否</x:v>
      </x:c>
      <x:c r="L1163" s="56" t="str">
        <x:v>按结构化事件证据给予0/部分/满分；不能由总结反推已完成</x:v>
      </x:c>
      <x:c r="M1163" s="56" t="str"/>
      <x:c r="N1163" s="56" t="n">
        <x:f>SUMIFS($G$4:$G$1673,$A$4:$A$1673,A1163)</x:f>
        <x:v>360</x:v>
      </x:c>
      <x:c r="O1163" s="56" t="str">
        <x:f>IF(N1163=360,"通过","失败")</x:f>
        <x:v>通过</x:v>
      </x:c>
      <x:c r="P1163" s="56" t="str"/>
      <x:c r="Q1163" s="59" t="str">
        <x:v>待确认</x:v>
      </x:c>
    </x:row>
    <x:row r="1164">
      <x:c r="A1164" s="56" t="str">
        <x:v>P029</x:v>
      </x:c>
      <x:c r="B1164" s="56" t="str">
        <x:v>HX-ADD-017</x:v>
      </x:c>
      <x:c r="C1164" s="56" t="str">
        <x:v>treatment</x:v>
      </x:c>
      <x:c r="D1164" s="56" t="n">
        <x:v>50</x:v>
      </x:c>
      <x:c r="E1164" s="56" t="str">
        <x:v>treatment.perioperative</x:v>
      </x:c>
      <x:c r="F1164" s="56" t="str">
        <x:v>perioperative</x:v>
      </x:c>
      <x:c r="G1164" s="56" t="n">
        <x:v>12</x:v>
      </x:c>
      <x:c r="H1164" s="56" t="str">
        <x:v>病例特异得分项</x:v>
      </x:c>
      <x:c r="I1164" s="56" t="str">
        <x:v>否</x:v>
      </x:c>
      <x:c r="J1164" s="56" t="str">
        <x:v>否</x:v>
      </x:c>
      <x:c r="K1164" s="56" t="str">
        <x:v>否</x:v>
      </x:c>
      <x:c r="L1164" s="56" t="str">
        <x:v>按结构化事件证据给予0/部分/满分；不能由总结反推已完成</x:v>
      </x:c>
      <x:c r="M1164" s="56" t="str"/>
      <x:c r="N1164" s="56" t="n">
        <x:f>SUMIFS($G$4:$G$1673,$A$4:$A$1673,A1164)</x:f>
        <x:v>360</x:v>
      </x:c>
      <x:c r="O1164" s="56" t="str">
        <x:f>IF(N1164=360,"通过","失败")</x:f>
        <x:v>通过</x:v>
      </x:c>
      <x:c r="P1164" s="56" t="str"/>
      <x:c r="Q1164" s="59" t="str">
        <x:v>待确认</x:v>
      </x:c>
    </x:row>
    <x:row r="1165">
      <x:c r="A1165" s="56" t="str">
        <x:v>P029</x:v>
      </x:c>
      <x:c r="B1165" s="56" t="str">
        <x:v>HX-ADD-017</x:v>
      </x:c>
      <x:c r="C1165" s="56" t="str">
        <x:v>followup</x:v>
      </x:c>
      <x:c r="D1165" s="56" t="n">
        <x:v>40</x:v>
      </x:c>
      <x:c r="E1165" s="56" t="str">
        <x:v>followup.plan</x:v>
      </x:c>
      <x:c r="F1165" s="56" t="str">
        <x:v>随访复查</x:v>
      </x:c>
      <x:c r="G1165" s="56" t="n">
        <x:v>10</x:v>
      </x:c>
      <x:c r="H1165" s="56" t="str">
        <x:v>普通得分项</x:v>
      </x:c>
      <x:c r="I1165" s="56" t="str">
        <x:v>否</x:v>
      </x:c>
      <x:c r="J1165" s="56" t="str">
        <x:v>否</x:v>
      </x:c>
      <x:c r="K1165" s="56" t="str">
        <x:v>否</x:v>
      </x:c>
      <x:c r="L1165" s="56" t="str">
        <x:v>按结构化事件证据给予0/部分/满分；不能由总结反推已完成</x:v>
      </x:c>
      <x:c r="M1165" s="56" t="str"/>
      <x:c r="N1165" s="56" t="n">
        <x:f>SUMIFS($G$4:$G$1673,$A$4:$A$1673,A1165)</x:f>
        <x:v>360</x:v>
      </x:c>
      <x:c r="O1165" s="56" t="str">
        <x:f>IF(N1165=360,"通过","失败")</x:f>
        <x:v>通过</x:v>
      </x:c>
      <x:c r="P1165" s="56" t="str"/>
      <x:c r="Q1165" s="59" t="str">
        <x:v>待确认</x:v>
      </x:c>
    </x:row>
    <x:row r="1166">
      <x:c r="A1166" s="56" t="str">
        <x:v>P029</x:v>
      </x:c>
      <x:c r="B1166" s="56" t="str">
        <x:v>HX-ADD-017</x:v>
      </x:c>
      <x:c r="C1166" s="56" t="str">
        <x:v>followup</x:v>
      </x:c>
      <x:c r="D1166" s="56" t="n">
        <x:v>40</x:v>
      </x:c>
      <x:c r="E1166" s="56" t="str">
        <x:v>followup.education</x:v>
      </x:c>
      <x:c r="F1166" s="56" t="str">
        <x:v>患者教育</x:v>
      </x:c>
      <x:c r="G1166" s="56" t="n">
        <x:v>10</x:v>
      </x:c>
      <x:c r="H1166" s="56" t="str">
        <x:v>普通得分项</x:v>
      </x:c>
      <x:c r="I1166" s="56" t="str">
        <x:v>否</x:v>
      </x:c>
      <x:c r="J1166" s="56" t="str">
        <x:v>否</x:v>
      </x:c>
      <x:c r="K1166" s="56" t="str">
        <x:v>否</x:v>
      </x:c>
      <x:c r="L1166" s="56" t="str">
        <x:v>按结构化事件证据给予0/部分/满分；不能由总结反推已完成</x:v>
      </x:c>
      <x:c r="M1166" s="56" t="str"/>
      <x:c r="N1166" s="56" t="n">
        <x:f>SUMIFS($G$4:$G$1673,$A$4:$A$1673,A1166)</x:f>
        <x:v>360</x:v>
      </x:c>
      <x:c r="O1166" s="56" t="str">
        <x:f>IF(N1166=360,"通过","失败")</x:f>
        <x:v>通过</x:v>
      </x:c>
      <x:c r="P1166" s="56" t="str"/>
      <x:c r="Q1166" s="59" t="str">
        <x:v>待确认</x:v>
      </x:c>
    </x:row>
    <x:row r="1167">
      <x:c r="A1167" s="56" t="str">
        <x:v>P029</x:v>
      </x:c>
      <x:c r="B1167" s="56" t="str">
        <x:v>HX-ADD-017</x:v>
      </x:c>
      <x:c r="C1167" s="56" t="str">
        <x:v>followup</x:v>
      </x:c>
      <x:c r="D1167" s="56" t="n">
        <x:v>40</x:v>
      </x:c>
      <x:c r="E1167" s="56" t="str">
        <x:v>followup.reflection</x:v>
      </x:c>
      <x:c r="F1167" s="56" t="str">
        <x:v>学习反思质量</x:v>
      </x:c>
      <x:c r="G1167" s="56" t="n">
        <x:v>10</x:v>
      </x:c>
      <x:c r="H1167" s="56" t="str">
        <x:v>普通得分项</x:v>
      </x:c>
      <x:c r="I1167" s="56" t="str">
        <x:v>否</x:v>
      </x:c>
      <x:c r="J1167" s="56" t="str">
        <x:v>否</x:v>
      </x:c>
      <x:c r="K1167" s="56" t="str">
        <x:v>否</x:v>
      </x:c>
      <x:c r="L1167" s="56" t="str">
        <x:v>按结构化事件证据给予0/部分/满分；不能由总结反推已完成</x:v>
      </x:c>
      <x:c r="M1167" s="56" t="str"/>
      <x:c r="N1167" s="56" t="n">
        <x:f>SUMIFS($G$4:$G$1673,$A$4:$A$1673,A1167)</x:f>
        <x:v>360</x:v>
      </x:c>
      <x:c r="O1167" s="56" t="str">
        <x:f>IF(N1167=360,"通过","失败")</x:f>
        <x:v>通过</x:v>
      </x:c>
      <x:c r="P1167" s="56" t="str"/>
      <x:c r="Q1167" s="59" t="str">
        <x:v>待确认</x:v>
      </x:c>
    </x:row>
    <x:row r="1168">
      <x:c r="A1168" s="56" t="str">
        <x:v>P029</x:v>
      </x:c>
      <x:c r="B1168" s="56" t="str">
        <x:v>HX-ADD-017</x:v>
      </x:c>
      <x:c r="C1168" s="56" t="str">
        <x:v>followup</x:v>
      </x:c>
      <x:c r="D1168" s="56" t="n">
        <x:v>40</x:v>
      </x:c>
      <x:c r="E1168" s="56" t="str">
        <x:v>followup.efficiency</x:v>
      </x:c>
      <x:c r="F1168" s="56" t="str">
        <x:v>操作效率</x:v>
      </x:c>
      <x:c r="G1168" s="56" t="n">
        <x:v>10</x:v>
      </x:c>
      <x:c r="H1168" s="56" t="str">
        <x:v>普通得分项</x:v>
      </x:c>
      <x:c r="I1168" s="56" t="str">
        <x:v>否</x:v>
      </x:c>
      <x:c r="J1168" s="56" t="str">
        <x:v>否</x:v>
      </x:c>
      <x:c r="K1168" s="56" t="str">
        <x:v>否</x:v>
      </x:c>
      <x:c r="L1168" s="56" t="str">
        <x:v>按结构化事件证据给予0/部分/满分；不能由总结反推已完成</x:v>
      </x:c>
      <x:c r="M1168" s="56" t="str"/>
      <x:c r="N1168" s="56" t="n">
        <x:f>SUMIFS($G$4:$G$1673,$A$4:$A$1673,A1168)</x:f>
        <x:v>360</x:v>
      </x:c>
      <x:c r="O1168" s="56" t="str">
        <x:f>IF(N1168=360,"通过","失败")</x:f>
        <x:v>通过</x:v>
      </x:c>
      <x:c r="P1168" s="56" t="str"/>
      <x:c r="Q1168" s="59" t="str">
        <x:v>待确认</x:v>
      </x:c>
    </x:row>
    <x:row r="1169">
      <x:c r="A1169" s="56" t="str">
        <x:v>P030</x:v>
      </x:c>
      <x:c r="B1169" s="56" t="str">
        <x:v>HX-ADD-018</x:v>
      </x:c>
      <x:c r="C1169" s="56" t="str">
        <x:v>history</x:v>
      </x:c>
      <x:c r="D1169" s="56" t="n">
        <x:v>50</x:v>
      </x:c>
      <x:c r="E1169" s="56" t="str">
        <x:v>history.hematuria_visibility</x:v>
      </x:c>
      <x:c r="F1169" s="56" t="str">
        <x:v>hematuria_visibility</x:v>
      </x:c>
      <x:c r="G1169" s="56" t="n">
        <x:v>5</x:v>
      </x:c>
      <x:c r="H1169" s="56" t="str">
        <x:v>普通得分项</x:v>
      </x:c>
      <x:c r="I1169" s="56" t="str">
        <x:v>否</x:v>
      </x:c>
      <x:c r="J1169" s="56" t="str">
        <x:v>否</x:v>
      </x:c>
      <x:c r="K1169" s="56" t="str">
        <x:v>否</x:v>
      </x:c>
      <x:c r="L1169" s="56" t="str">
        <x:v>按结构化事件证据给予0/部分/满分；不能由总结反推已完成</x:v>
      </x:c>
      <x:c r="M1169" s="56" t="str"/>
      <x:c r="N1169" s="56" t="n">
        <x:f>SUMIFS($G$4:$G$1673,$A$4:$A$1673,A1169)</x:f>
        <x:v>360</x:v>
      </x:c>
      <x:c r="O1169" s="56" t="str">
        <x:f>IF(N1169=360,"通过","失败")</x:f>
        <x:v>通过</x:v>
      </x:c>
      <x:c r="P1169" s="56" t="str"/>
      <x:c r="Q1169" s="59" t="str">
        <x:v>待确认</x:v>
      </x:c>
    </x:row>
    <x:row r="1170">
      <x:c r="A1170" s="56" t="str">
        <x:v>P030</x:v>
      </x:c>
      <x:c r="B1170" s="56" t="str">
        <x:v>HX-ADD-018</x:v>
      </x:c>
      <x:c r="C1170" s="56" t="str">
        <x:v>history</x:v>
      </x:c>
      <x:c r="D1170" s="56" t="n">
        <x:v>50</x:v>
      </x:c>
      <x:c r="E1170" s="56" t="str">
        <x:v>history.hematuria_onset</x:v>
      </x:c>
      <x:c r="F1170" s="56" t="str">
        <x:v>hematuria_onset</x:v>
      </x:c>
      <x:c r="G1170" s="56" t="n">
        <x:v>5</x:v>
      </x:c>
      <x:c r="H1170" s="56" t="str">
        <x:v>普通得分项</x:v>
      </x:c>
      <x:c r="I1170" s="56" t="str">
        <x:v>否</x:v>
      </x:c>
      <x:c r="J1170" s="56" t="str">
        <x:v>否</x:v>
      </x:c>
      <x:c r="K1170" s="56" t="str">
        <x:v>否</x:v>
      </x:c>
      <x:c r="L1170" s="56" t="str">
        <x:v>按结构化事件证据给予0/部分/满分；不能由总结反推已完成</x:v>
      </x:c>
      <x:c r="M1170" s="56" t="str"/>
      <x:c r="N1170" s="56" t="n">
        <x:f>SUMIFS($G$4:$G$1673,$A$4:$A$1673,A1170)</x:f>
        <x:v>360</x:v>
      </x:c>
      <x:c r="O1170" s="56" t="str">
        <x:f>IF(N1170=360,"通过","失败")</x:f>
        <x:v>通过</x:v>
      </x:c>
      <x:c r="P1170" s="56" t="str"/>
      <x:c r="Q1170" s="59" t="str">
        <x:v>待确认</x:v>
      </x:c>
    </x:row>
    <x:row r="1171">
      <x:c r="A1171" s="56" t="str">
        <x:v>P030</x:v>
      </x:c>
      <x:c r="B1171" s="56" t="str">
        <x:v>HX-ADD-018</x:v>
      </x:c>
      <x:c r="C1171" s="56" t="str">
        <x:v>history</x:v>
      </x:c>
      <x:c r="D1171" s="56" t="n">
        <x:v>50</x:v>
      </x:c>
      <x:c r="E1171" s="56" t="str">
        <x:v>history.hematuria_frequency</x:v>
      </x:c>
      <x:c r="F1171" s="56" t="str">
        <x:v>hematuria_frequency</x:v>
      </x:c>
      <x:c r="G1171" s="56" t="n">
        <x:v>4</x:v>
      </x:c>
      <x:c r="H1171" s="56" t="str">
        <x:v>普通得分项</x:v>
      </x:c>
      <x:c r="I1171" s="56" t="str">
        <x:v>否</x:v>
      </x:c>
      <x:c r="J1171" s="56" t="str">
        <x:v>否</x:v>
      </x:c>
      <x:c r="K1171" s="56" t="str">
        <x:v>否</x:v>
      </x:c>
      <x:c r="L1171" s="56" t="str">
        <x:v>按结构化事件证据给予0/部分/满分；不能由总结反推已完成</x:v>
      </x:c>
      <x:c r="M1171" s="56" t="str"/>
      <x:c r="N1171" s="56" t="n">
        <x:f>SUMIFS($G$4:$G$1673,$A$4:$A$1673,A1171)</x:f>
        <x:v>360</x:v>
      </x:c>
      <x:c r="O1171" s="56" t="str">
        <x:f>IF(N1171=360,"通过","失败")</x:f>
        <x:v>通过</x:v>
      </x:c>
      <x:c r="P1171" s="56" t="str"/>
      <x:c r="Q1171" s="59" t="str">
        <x:v>待确认</x:v>
      </x:c>
    </x:row>
    <x:row r="1172">
      <x:c r="A1172" s="56" t="str">
        <x:v>P030</x:v>
      </x:c>
      <x:c r="B1172" s="56" t="str">
        <x:v>HX-ADD-018</x:v>
      </x:c>
      <x:c r="C1172" s="56" t="str">
        <x:v>history</x:v>
      </x:c>
      <x:c r="D1172" s="56" t="n">
        <x:v>50</x:v>
      </x:c>
      <x:c r="E1172" s="56" t="str">
        <x:v>history.hematuria_phase</x:v>
      </x:c>
      <x:c r="F1172" s="56" t="str">
        <x:v>hematuria_phase</x:v>
      </x:c>
      <x:c r="G1172" s="56" t="n">
        <x:v>4</x:v>
      </x:c>
      <x:c r="H1172" s="56" t="str">
        <x:v>普通得分项</x:v>
      </x:c>
      <x:c r="I1172" s="56" t="str">
        <x:v>否</x:v>
      </x:c>
      <x:c r="J1172" s="56" t="str">
        <x:v>否</x:v>
      </x:c>
      <x:c r="K1172" s="56" t="str">
        <x:v>否</x:v>
      </x:c>
      <x:c r="L1172" s="56" t="str">
        <x:v>按结构化事件证据给予0/部分/满分；不能由总结反推已完成</x:v>
      </x:c>
      <x:c r="M1172" s="56" t="str"/>
      <x:c r="N1172" s="56" t="n">
        <x:f>SUMIFS($G$4:$G$1673,$A$4:$A$1673,A1172)</x:f>
        <x:v>360</x:v>
      </x:c>
      <x:c r="O1172" s="56" t="str">
        <x:f>IF(N1172=360,"通过","失败")</x:f>
        <x:v>通过</x:v>
      </x:c>
      <x:c r="P1172" s="56" t="str"/>
      <x:c r="Q1172" s="59" t="str">
        <x:v>待确认</x:v>
      </x:c>
    </x:row>
    <x:row r="1173">
      <x:c r="A1173" s="56" t="str">
        <x:v>P030</x:v>
      </x:c>
      <x:c r="B1173" s="56" t="str">
        <x:v>HX-ADD-018</x:v>
      </x:c>
      <x:c r="C1173" s="56" t="str">
        <x:v>history</x:v>
      </x:c>
      <x:c r="D1173" s="56" t="n">
        <x:v>50</x:v>
      </x:c>
      <x:c r="E1173" s="56" t="str">
        <x:v>history.urine_color</x:v>
      </x:c>
      <x:c r="F1173" s="56" t="str">
        <x:v>urine_color</x:v>
      </x:c>
      <x:c r="G1173" s="56" t="n">
        <x:v>4</x:v>
      </x:c>
      <x:c r="H1173" s="56" t="str">
        <x:v>普通得分项</x:v>
      </x:c>
      <x:c r="I1173" s="56" t="str">
        <x:v>否</x:v>
      </x:c>
      <x:c r="J1173" s="56" t="str">
        <x:v>否</x:v>
      </x:c>
      <x:c r="K1173" s="56" t="str">
        <x:v>否</x:v>
      </x:c>
      <x:c r="L1173" s="56" t="str">
        <x:v>按结构化事件证据给予0/部分/满分；不能由总结反推已完成</x:v>
      </x:c>
      <x:c r="M1173" s="56" t="str"/>
      <x:c r="N1173" s="56" t="n">
        <x:f>SUMIFS($G$4:$G$1673,$A$4:$A$1673,A1173)</x:f>
        <x:v>360</x:v>
      </x:c>
      <x:c r="O1173" s="56" t="str">
        <x:f>IF(N1173=360,"通过","失败")</x:f>
        <x:v>通过</x:v>
      </x:c>
      <x:c r="P1173" s="56" t="str"/>
      <x:c r="Q1173" s="59" t="str">
        <x:v>待确认</x:v>
      </x:c>
    </x:row>
    <x:row r="1174">
      <x:c r="A1174" s="56" t="str">
        <x:v>P030</x:v>
      </x:c>
      <x:c r="B1174" s="56" t="str">
        <x:v>HX-ADD-018</x:v>
      </x:c>
      <x:c r="C1174" s="56" t="str">
        <x:v>history</x:v>
      </x:c>
      <x:c r="D1174" s="56" t="n">
        <x:v>50</x:v>
      </x:c>
      <x:c r="E1174" s="56" t="str">
        <x:v>history.clots</x:v>
      </x:c>
      <x:c r="F1174" s="56" t="str">
        <x:v>clots</x:v>
      </x:c>
      <x:c r="G1174" s="56" t="n">
        <x:v>4</x:v>
      </x:c>
      <x:c r="H1174" s="56" t="str">
        <x:v>普通得分项</x:v>
      </x:c>
      <x:c r="I1174" s="56" t="str">
        <x:v>否</x:v>
      </x:c>
      <x:c r="J1174" s="56" t="str">
        <x:v>否</x:v>
      </x:c>
      <x:c r="K1174" s="56" t="str">
        <x:v>否</x:v>
      </x:c>
      <x:c r="L1174" s="56" t="str">
        <x:v>按结构化事件证据给予0/部分/满分；不能由总结反推已完成</x:v>
      </x:c>
      <x:c r="M1174" s="56" t="str"/>
      <x:c r="N1174" s="56" t="n">
        <x:f>SUMIFS($G$4:$G$1673,$A$4:$A$1673,A1174)</x:f>
        <x:v>360</x:v>
      </x:c>
      <x:c r="O1174" s="56" t="str">
        <x:f>IF(N1174=360,"通过","失败")</x:f>
        <x:v>通过</x:v>
      </x:c>
      <x:c r="P1174" s="56" t="str"/>
      <x:c r="Q1174" s="59" t="str">
        <x:v>待确认</x:v>
      </x:c>
    </x:row>
    <x:row r="1175">
      <x:c r="A1175" s="56" t="str">
        <x:v>P030</x:v>
      </x:c>
      <x:c r="B1175" s="56" t="str">
        <x:v>HX-ADD-018</x:v>
      </x:c>
      <x:c r="C1175" s="56" t="str">
        <x:v>history</x:v>
      </x:c>
      <x:c r="D1175" s="56" t="n">
        <x:v>50</x:v>
      </x:c>
      <x:c r="E1175" s="56" t="str">
        <x:v>history.pain</x:v>
      </x:c>
      <x:c r="F1175" s="56" t="str">
        <x:v>pain</x:v>
      </x:c>
      <x:c r="G1175" s="56" t="n">
        <x:v>4</x:v>
      </x:c>
      <x:c r="H1175" s="56" t="str">
        <x:v>普通得分项</x:v>
      </x:c>
      <x:c r="I1175" s="56" t="str">
        <x:v>否</x:v>
      </x:c>
      <x:c r="J1175" s="56" t="str">
        <x:v>否</x:v>
      </x:c>
      <x:c r="K1175" s="56" t="str">
        <x:v>否</x:v>
      </x:c>
      <x:c r="L1175" s="56" t="str">
        <x:v>按结构化事件证据给予0/部分/满分；不能由总结反推已完成</x:v>
      </x:c>
      <x:c r="M1175" s="56" t="str"/>
      <x:c r="N1175" s="56" t="n">
        <x:f>SUMIFS($G$4:$G$1673,$A$4:$A$1673,A1175)</x:f>
        <x:v>360</x:v>
      </x:c>
      <x:c r="O1175" s="56" t="str">
        <x:f>IF(N1175=360,"通过","失败")</x:f>
        <x:v>通过</x:v>
      </x:c>
      <x:c r="P1175" s="56" t="str"/>
      <x:c r="Q1175" s="59" t="str">
        <x:v>待确认</x:v>
      </x:c>
    </x:row>
    <x:row r="1176">
      <x:c r="A1176" s="56" t="str">
        <x:v>P030</x:v>
      </x:c>
      <x:c r="B1176" s="56" t="str">
        <x:v>HX-ADD-018</x:v>
      </x:c>
      <x:c r="C1176" s="56" t="str">
        <x:v>history</x:v>
      </x:c>
      <x:c r="D1176" s="56" t="n">
        <x:v>50</x:v>
      </x:c>
      <x:c r="E1176" s="56" t="str">
        <x:v>history.dysuria</x:v>
      </x:c>
      <x:c r="F1176" s="56" t="str">
        <x:v>dysuria</x:v>
      </x:c>
      <x:c r="G1176" s="56" t="n">
        <x:v>4</x:v>
      </x:c>
      <x:c r="H1176" s="56" t="str">
        <x:v>普通得分项</x:v>
      </x:c>
      <x:c r="I1176" s="56" t="str">
        <x:v>否</x:v>
      </x:c>
      <x:c r="J1176" s="56" t="str">
        <x:v>否</x:v>
      </x:c>
      <x:c r="K1176" s="56" t="str">
        <x:v>否</x:v>
      </x:c>
      <x:c r="L1176" s="56" t="str">
        <x:v>按结构化事件证据给予0/部分/满分；不能由总结反推已完成</x:v>
      </x:c>
      <x:c r="M1176" s="56" t="str"/>
      <x:c r="N1176" s="56" t="n">
        <x:f>SUMIFS($G$4:$G$1673,$A$4:$A$1673,A1176)</x:f>
        <x:v>360</x:v>
      </x:c>
      <x:c r="O1176" s="56" t="str">
        <x:f>IF(N1176=360,"通过","失败")</x:f>
        <x:v>通过</x:v>
      </x:c>
      <x:c r="P1176" s="56" t="str"/>
      <x:c r="Q1176" s="59" t="str">
        <x:v>待确认</x:v>
      </x:c>
    </x:row>
    <x:row r="1177">
      <x:c r="A1177" s="56" t="str">
        <x:v>P030</x:v>
      </x:c>
      <x:c r="B1177" s="56" t="str">
        <x:v>HX-ADD-018</x:v>
      </x:c>
      <x:c r="C1177" s="56" t="str">
        <x:v>history</x:v>
      </x:c>
      <x:c r="D1177" s="56" t="n">
        <x:v>50</x:v>
      </x:c>
      <x:c r="E1177" s="56" t="str">
        <x:v>history.urinary_frequency</x:v>
      </x:c>
      <x:c r="F1177" s="56" t="str">
        <x:v>urinary_frequency</x:v>
      </x:c>
      <x:c r="G1177" s="56" t="n">
        <x:v>4</x:v>
      </x:c>
      <x:c r="H1177" s="56" t="str">
        <x:v>普通得分项</x:v>
      </x:c>
      <x:c r="I1177" s="56" t="str">
        <x:v>否</x:v>
      </x:c>
      <x:c r="J1177" s="56" t="str">
        <x:v>否</x:v>
      </x:c>
      <x:c r="K1177" s="56" t="str">
        <x:v>否</x:v>
      </x:c>
      <x:c r="L1177" s="56" t="str">
        <x:v>按结构化事件证据给予0/部分/满分；不能由总结反推已完成</x:v>
      </x:c>
      <x:c r="M1177" s="56" t="str"/>
      <x:c r="N1177" s="56" t="n">
        <x:f>SUMIFS($G$4:$G$1673,$A$4:$A$1673,A1177)</x:f>
        <x:v>360</x:v>
      </x:c>
      <x:c r="O1177" s="56" t="str">
        <x:f>IF(N1177=360,"通过","失败")</x:f>
        <x:v>通过</x:v>
      </x:c>
      <x:c r="P1177" s="56" t="str"/>
      <x:c r="Q1177" s="59" t="str">
        <x:v>待确认</x:v>
      </x:c>
    </x:row>
    <x:row r="1178">
      <x:c r="A1178" s="56" t="str">
        <x:v>P030</x:v>
      </x:c>
      <x:c r="B1178" s="56" t="str">
        <x:v>HX-ADD-018</x:v>
      </x:c>
      <x:c r="C1178" s="56" t="str">
        <x:v>history</x:v>
      </x:c>
      <x:c r="D1178" s="56" t="n">
        <x:v>50</x:v>
      </x:c>
      <x:c r="E1178" s="56" t="str">
        <x:v>history.urinary_urgency</x:v>
      </x:c>
      <x:c r="F1178" s="56" t="str">
        <x:v>urinary_urgency</x:v>
      </x:c>
      <x:c r="G1178" s="56" t="n">
        <x:v>4</x:v>
      </x:c>
      <x:c r="H1178" s="56" t="str">
        <x:v>普通得分项</x:v>
      </x:c>
      <x:c r="I1178" s="56" t="str">
        <x:v>否</x:v>
      </x:c>
      <x:c r="J1178" s="56" t="str">
        <x:v>否</x:v>
      </x:c>
      <x:c r="K1178" s="56" t="str">
        <x:v>否</x:v>
      </x:c>
      <x:c r="L1178" s="56" t="str">
        <x:v>按结构化事件证据给予0/部分/满分；不能由总结反推已完成</x:v>
      </x:c>
      <x:c r="M1178" s="56" t="str"/>
      <x:c r="N1178" s="56" t="n">
        <x:f>SUMIFS($G$4:$G$1673,$A$4:$A$1673,A1178)</x:f>
        <x:v>360</x:v>
      </x:c>
      <x:c r="O1178" s="56" t="str">
        <x:f>IF(N1178=360,"通过","失败")</x:f>
        <x:v>通过</x:v>
      </x:c>
      <x:c r="P1178" s="56" t="str"/>
      <x:c r="Q1178" s="59" t="str">
        <x:v>待确认</x:v>
      </x:c>
    </x:row>
    <x:row r="1179">
      <x:c r="A1179" s="56" t="str">
        <x:v>P030</x:v>
      </x:c>
      <x:c r="B1179" s="56" t="str">
        <x:v>HX-ADD-018</x:v>
      </x:c>
      <x:c r="C1179" s="56" t="str">
        <x:v>history</x:v>
      </x:c>
      <x:c r="D1179" s="56" t="n">
        <x:v>50</x:v>
      </x:c>
      <x:c r="E1179" s="56" t="str">
        <x:v>history.flank_pain</x:v>
      </x:c>
      <x:c r="F1179" s="56" t="str">
        <x:v>flank_pain</x:v>
      </x:c>
      <x:c r="G1179" s="56" t="n">
        <x:v>4</x:v>
      </x:c>
      <x:c r="H1179" s="56" t="str">
        <x:v>普通得分项</x:v>
      </x:c>
      <x:c r="I1179" s="56" t="str">
        <x:v>否</x:v>
      </x:c>
      <x:c r="J1179" s="56" t="str">
        <x:v>否</x:v>
      </x:c>
      <x:c r="K1179" s="56" t="str">
        <x:v>否</x:v>
      </x:c>
      <x:c r="L1179" s="56" t="str">
        <x:v>按结构化事件证据给予0/部分/满分；不能由总结反推已完成</x:v>
      </x:c>
      <x:c r="M1179" s="56" t="str"/>
      <x:c r="N1179" s="56" t="n">
        <x:f>SUMIFS($G$4:$G$1673,$A$4:$A$1673,A1179)</x:f>
        <x:v>360</x:v>
      </x:c>
      <x:c r="O1179" s="56" t="str">
        <x:f>IF(N1179=360,"通过","失败")</x:f>
        <x:v>通过</x:v>
      </x:c>
      <x:c r="P1179" s="56" t="str"/>
      <x:c r="Q1179" s="59" t="str">
        <x:v>待确认</x:v>
      </x:c>
    </x:row>
    <x:row r="1180">
      <x:c r="A1180" s="56" t="str">
        <x:v>P030</x:v>
      </x:c>
      <x:c r="B1180" s="56" t="str">
        <x:v>HX-ADD-018</x:v>
      </x:c>
      <x:c r="C1180" s="56" t="str">
        <x:v>history</x:v>
      </x:c>
      <x:c r="D1180" s="56" t="n">
        <x:v>50</x:v>
      </x:c>
      <x:c r="E1180" s="56" t="str">
        <x:v>history.fever_chills</x:v>
      </x:c>
      <x:c r="F1180" s="56" t="str">
        <x:v>fever_chills</x:v>
      </x:c>
      <x:c r="G1180" s="56" t="n">
        <x:v>4</x:v>
      </x:c>
      <x:c r="H1180" s="56" t="str">
        <x:v>普通得分项</x:v>
      </x:c>
      <x:c r="I1180" s="56" t="str">
        <x:v>否</x:v>
      </x:c>
      <x:c r="J1180" s="56" t="str">
        <x:v>否</x:v>
      </x:c>
      <x:c r="K1180" s="56" t="str">
        <x:v>否</x:v>
      </x:c>
      <x:c r="L1180" s="56" t="str">
        <x:v>按结构化事件证据给予0/部分/满分；不能由总结反推已完成</x:v>
      </x:c>
      <x:c r="M1180" s="56" t="str"/>
      <x:c r="N1180" s="56" t="n">
        <x:f>SUMIFS($G$4:$G$1673,$A$4:$A$1673,A1180)</x:f>
        <x:v>360</x:v>
      </x:c>
      <x:c r="O1180" s="56" t="str">
        <x:f>IF(N1180=360,"通过","失败")</x:f>
        <x:v>通过</x:v>
      </x:c>
      <x:c r="P1180" s="56" t="str"/>
      <x:c r="Q1180" s="59" t="str">
        <x:v>待确认</x:v>
      </x:c>
    </x:row>
    <x:row r="1181">
      <x:c r="A1181" s="56" t="str">
        <x:v>P030</x:v>
      </x:c>
      <x:c r="B1181" s="56" t="str">
        <x:v>HX-ADD-018</x:v>
      </x:c>
      <x:c r="C1181" s="56" t="str">
        <x:v>risk</x:v>
      </x:c>
      <x:c r="D1181" s="56" t="n">
        <x:v>40</x:v>
      </x:c>
      <x:c r="E1181" s="56" t="str">
        <x:v>risk.voiding_difficulty</x:v>
      </x:c>
      <x:c r="F1181" s="56" t="str">
        <x:v>voiding_difficulty</x:v>
      </x:c>
      <x:c r="G1181" s="56" t="n">
        <x:v>10</x:v>
      </x:c>
      <x:c r="H1181" s="56" t="str">
        <x:v>普通得分项</x:v>
      </x:c>
      <x:c r="I1181" s="56" t="str">
        <x:v>否</x:v>
      </x:c>
      <x:c r="J1181" s="56" t="str">
        <x:v>否</x:v>
      </x:c>
      <x:c r="K1181" s="56" t="str">
        <x:v>否</x:v>
      </x:c>
      <x:c r="L1181" s="56" t="str">
        <x:v>按结构化事件证据给予0/部分/满分；不能由总结反推已完成</x:v>
      </x:c>
      <x:c r="M1181" s="56" t="str"/>
      <x:c r="N1181" s="56" t="n">
        <x:f>SUMIFS($G$4:$G$1673,$A$4:$A$1673,A1181)</x:f>
        <x:v>360</x:v>
      </x:c>
      <x:c r="O1181" s="56" t="str">
        <x:f>IF(N1181=360,"通过","失败")</x:f>
        <x:v>通过</x:v>
      </x:c>
      <x:c r="P1181" s="56" t="str"/>
      <x:c r="Q1181" s="59" t="str">
        <x:v>待确认</x:v>
      </x:c>
    </x:row>
    <x:row r="1182">
      <x:c r="A1182" s="56" t="str">
        <x:v>P030</x:v>
      </x:c>
      <x:c r="B1182" s="56" t="str">
        <x:v>HX-ADD-018</x:v>
      </x:c>
      <x:c r="C1182" s="56" t="str">
        <x:v>risk</x:v>
      </x:c>
      <x:c r="D1182" s="56" t="n">
        <x:v>40</x:v>
      </x:c>
      <x:c r="E1182" s="56" t="str">
        <x:v>risk.retention</x:v>
      </x:c>
      <x:c r="F1182" s="56" t="str">
        <x:v>retention</x:v>
      </x:c>
      <x:c r="G1182" s="56" t="n">
        <x:v>10</x:v>
      </x:c>
      <x:c r="H1182" s="56" t="str">
        <x:v>普通得分项</x:v>
      </x:c>
      <x:c r="I1182" s="56" t="str">
        <x:v>否</x:v>
      </x:c>
      <x:c r="J1182" s="56" t="str">
        <x:v>否</x:v>
      </x:c>
      <x:c r="K1182" s="56" t="str">
        <x:v>否</x:v>
      </x:c>
      <x:c r="L1182" s="56" t="str">
        <x:v>按结构化事件证据给予0/部分/满分；不能由总结反推已完成</x:v>
      </x:c>
      <x:c r="M1182" s="56" t="str"/>
      <x:c r="N1182" s="56" t="n">
        <x:f>SUMIFS($G$4:$G$1673,$A$4:$A$1673,A1182)</x:f>
        <x:v>360</x:v>
      </x:c>
      <x:c r="O1182" s="56" t="str">
        <x:f>IF(N1182=360,"通过","失败")</x:f>
        <x:v>通过</x:v>
      </x:c>
      <x:c r="P1182" s="56" t="str"/>
      <x:c r="Q1182" s="59" t="str">
        <x:v>待确认</x:v>
      </x:c>
    </x:row>
    <x:row r="1183">
      <x:c r="A1183" s="56" t="str">
        <x:v>P030</x:v>
      </x:c>
      <x:c r="B1183" s="56" t="str">
        <x:v>HX-ADD-018</x:v>
      </x:c>
      <x:c r="C1183" s="56" t="str">
        <x:v>risk</x:v>
      </x:c>
      <x:c r="D1183" s="56" t="n">
        <x:v>40</x:v>
      </x:c>
      <x:c r="E1183" s="56" t="str">
        <x:v>risk.medications</x:v>
      </x:c>
      <x:c r="F1183" s="56" t="str">
        <x:v>medications</x:v>
      </x:c>
      <x:c r="G1183" s="56" t="n">
        <x:v>10</x:v>
      </x:c>
      <x:c r="H1183" s="56" t="str">
        <x:v>普通得分项</x:v>
      </x:c>
      <x:c r="I1183" s="56" t="str">
        <x:v>否</x:v>
      </x:c>
      <x:c r="J1183" s="56" t="str">
        <x:v>否</x:v>
      </x:c>
      <x:c r="K1183" s="56" t="str">
        <x:v>否</x:v>
      </x:c>
      <x:c r="L1183" s="56" t="str">
        <x:v>按结构化事件证据给予0/部分/满分；不能由总结反推已完成</x:v>
      </x:c>
      <x:c r="M1183" s="56" t="str"/>
      <x:c r="N1183" s="56" t="n">
        <x:f>SUMIFS($G$4:$G$1673,$A$4:$A$1673,A1183)</x:f>
        <x:v>360</x:v>
      </x:c>
      <x:c r="O1183" s="56" t="str">
        <x:f>IF(N1183=360,"通过","失败")</x:f>
        <x:v>通过</x:v>
      </x:c>
      <x:c r="P1183" s="56" t="str"/>
      <x:c r="Q1183" s="59" t="str">
        <x:v>待确认</x:v>
      </x:c>
    </x:row>
    <x:row r="1184">
      <x:c r="A1184" s="56" t="str">
        <x:v>P030</x:v>
      </x:c>
      <x:c r="B1184" s="56" t="str">
        <x:v>HX-ADD-018</x:v>
      </x:c>
      <x:c r="C1184" s="56" t="str">
        <x:v>risk</x:v>
      </x:c>
      <x:c r="D1184" s="56" t="n">
        <x:v>40</x:v>
      </x:c>
      <x:c r="E1184" s="56" t="str">
        <x:v>risk.surgery_history</x:v>
      </x:c>
      <x:c r="F1184" s="56" t="str">
        <x:v>surgery_history</x:v>
      </x:c>
      <x:c r="G1184" s="56" t="n">
        <x:v>10</x:v>
      </x:c>
      <x:c r="H1184" s="56" t="str">
        <x:v>普通得分项</x:v>
      </x:c>
      <x:c r="I1184" s="56" t="str">
        <x:v>否</x:v>
      </x:c>
      <x:c r="J1184" s="56" t="str">
        <x:v>否</x:v>
      </x:c>
      <x:c r="K1184" s="56" t="str">
        <x:v>否</x:v>
      </x:c>
      <x:c r="L1184" s="56" t="str">
        <x:v>按结构化事件证据给予0/部分/满分；不能由总结反推已完成</x:v>
      </x:c>
      <x:c r="M1184" s="56" t="str"/>
      <x:c r="N1184" s="56" t="n">
        <x:f>SUMIFS($G$4:$G$1673,$A$4:$A$1673,A1184)</x:f>
        <x:v>360</x:v>
      </x:c>
      <x:c r="O1184" s="56" t="str">
        <x:f>IF(N1184=360,"通过","失败")</x:f>
        <x:v>通过</x:v>
      </x:c>
      <x:c r="P1184" s="56" t="str"/>
      <x:c r="Q1184" s="59" t="str">
        <x:v>待确认</x:v>
      </x:c>
    </x:row>
    <x:row r="1185">
      <x:c r="A1185" s="56" t="str">
        <x:v>P030</x:v>
      </x:c>
      <x:c r="B1185" s="56" t="str">
        <x:v>HX-ADD-018</x:v>
      </x:c>
      <x:c r="C1185" s="56" t="str">
        <x:v>exam</x:v>
      </x:c>
      <x:c r="D1185" s="56" t="n">
        <x:v>35</x:v>
      </x:c>
      <x:c r="E1185" s="56" t="str">
        <x:v>exam.temperature</x:v>
      </x:c>
      <x:c r="F1185" s="56" t="str">
        <x:v>体温</x:v>
      </x:c>
      <x:c r="G1185" s="56" t="n">
        <x:v>12</x:v>
      </x:c>
      <x:c r="H1185" s="56" t="str">
        <x:v>普通得分项</x:v>
      </x:c>
      <x:c r="I1185" s="56" t="str">
        <x:v>否</x:v>
      </x:c>
      <x:c r="J1185" s="56" t="str">
        <x:v>否</x:v>
      </x:c>
      <x:c r="K1185" s="56" t="str">
        <x:v>否</x:v>
      </x:c>
      <x:c r="L1185" s="56" t="str">
        <x:v>按结构化事件证据给予0/部分/满分；不能由总结反推已完成</x:v>
      </x:c>
      <x:c r="M1185" s="56" t="str"/>
      <x:c r="N1185" s="56" t="n">
        <x:f>SUMIFS($G$4:$G$1673,$A$4:$A$1673,A1185)</x:f>
        <x:v>360</x:v>
      </x:c>
      <x:c r="O1185" s="56" t="str">
        <x:f>IF(N1185=360,"通过","失败")</x:f>
        <x:v>通过</x:v>
      </x:c>
      <x:c r="P1185" s="56" t="str"/>
      <x:c r="Q1185" s="59" t="str">
        <x:v>待确认</x:v>
      </x:c>
    </x:row>
    <x:row r="1186">
      <x:c r="A1186" s="56" t="str">
        <x:v>P030</x:v>
      </x:c>
      <x:c r="B1186" s="56" t="str">
        <x:v>HX-ADD-018</x:v>
      </x:c>
      <x:c r="C1186" s="56" t="str">
        <x:v>exam</x:v>
      </x:c>
      <x:c r="D1186" s="56" t="n">
        <x:v>35</x:v>
      </x:c>
      <x:c r="E1186" s="56" t="str">
        <x:v>exam.blood_pressure</x:v>
      </x:c>
      <x:c r="F1186" s="56" t="str">
        <x:v>血压</x:v>
      </x:c>
      <x:c r="G1186" s="56" t="n">
        <x:v>12</x:v>
      </x:c>
      <x:c r="H1186" s="56" t="str">
        <x:v>普通得分项</x:v>
      </x:c>
      <x:c r="I1186" s="56" t="str">
        <x:v>否</x:v>
      </x:c>
      <x:c r="J1186" s="56" t="str">
        <x:v>否</x:v>
      </x:c>
      <x:c r="K1186" s="56" t="str">
        <x:v>否</x:v>
      </x:c>
      <x:c r="L1186" s="56" t="str">
        <x:v>按结构化事件证据给予0/部分/满分；不能由总结反推已完成</x:v>
      </x:c>
      <x:c r="M1186" s="56" t="str"/>
      <x:c r="N1186" s="56" t="n">
        <x:f>SUMIFS($G$4:$G$1673,$A$4:$A$1673,A1186)</x:f>
        <x:v>360</x:v>
      </x:c>
      <x:c r="O1186" s="56" t="str">
        <x:f>IF(N1186=360,"通过","失败")</x:f>
        <x:v>通过</x:v>
      </x:c>
      <x:c r="P1186" s="56" t="str"/>
      <x:c r="Q1186" s="59" t="str">
        <x:v>待确认</x:v>
      </x:c>
    </x:row>
    <x:row r="1187">
      <x:c r="A1187" s="56" t="str">
        <x:v>P030</x:v>
      </x:c>
      <x:c r="B1187" s="56" t="str">
        <x:v>HX-ADD-018</x:v>
      </x:c>
      <x:c r="C1187" s="56" t="str">
        <x:v>exam</x:v>
      </x:c>
      <x:c r="D1187" s="56" t="n">
        <x:v>35</x:v>
      </x:c>
      <x:c r="E1187" s="56" t="str">
        <x:v>exam.targeted</x:v>
      </x:c>
      <x:c r="F1187" s="56" t="str">
        <x:v>病例针对性查体</x:v>
      </x:c>
      <x:c r="G1187" s="56" t="n">
        <x:v>11</x:v>
      </x:c>
      <x:c r="H1187" s="56" t="str">
        <x:v>普通得分项</x:v>
      </x:c>
      <x:c r="I1187" s="56" t="str">
        <x:v>否</x:v>
      </x:c>
      <x:c r="J1187" s="56" t="str">
        <x:v>否</x:v>
      </x:c>
      <x:c r="K1187" s="56" t="str">
        <x:v>否</x:v>
      </x:c>
      <x:c r="L1187" s="56" t="str">
        <x:v>按结构化事件证据给予0/部分/满分；不能由总结反推已完成</x:v>
      </x:c>
      <x:c r="M1187" s="56" t="str"/>
      <x:c r="N1187" s="56" t="n">
        <x:f>SUMIFS($G$4:$G$1673,$A$4:$A$1673,A1187)</x:f>
        <x:v>360</x:v>
      </x:c>
      <x:c r="O1187" s="56" t="str">
        <x:f>IF(N1187=360,"通过","失败")</x:f>
        <x:v>通过</x:v>
      </x:c>
      <x:c r="P1187" s="56" t="str"/>
      <x:c r="Q1187" s="59" t="str">
        <x:v>待确认</x:v>
      </x:c>
    </x:row>
    <x:row r="1188">
      <x:c r="A1188" s="56" t="str">
        <x:v>P030</x:v>
      </x:c>
      <x:c r="B1188" s="56" t="str">
        <x:v>HX-ADD-018</x:v>
      </x:c>
      <x:c r="C1188" s="56" t="str">
        <x:v>diagnosis</x:v>
      </x:c>
      <x:c r="D1188" s="56" t="n">
        <x:v>45</x:v>
      </x:c>
      <x:c r="E1188" s="56" t="str">
        <x:v>diagnosis.primary</x:v>
      </x:c>
      <x:c r="F1188" s="56" t="str">
        <x:v>最可能诊断及依据</x:v>
      </x:c>
      <x:c r="G1188" s="56" t="n">
        <x:v>15</x:v>
      </x:c>
      <x:c r="H1188" s="56" t="str">
        <x:v>普通得分项</x:v>
      </x:c>
      <x:c r="I1188" s="56" t="str">
        <x:v>否</x:v>
      </x:c>
      <x:c r="J1188" s="56" t="str">
        <x:v>否</x:v>
      </x:c>
      <x:c r="K1188" s="56" t="str">
        <x:v>否</x:v>
      </x:c>
      <x:c r="L1188" s="56" t="str">
        <x:v>按结构化事件证据给予0/部分/满分；不能由总结反推已完成</x:v>
      </x:c>
      <x:c r="M1188" s="56" t="str"/>
      <x:c r="N1188" s="56" t="n">
        <x:f>SUMIFS($G$4:$G$1673,$A$4:$A$1673,A1188)</x:f>
        <x:v>360</x:v>
      </x:c>
      <x:c r="O1188" s="56" t="str">
        <x:f>IF(N1188=360,"通过","失败")</x:f>
        <x:v>通过</x:v>
      </x:c>
      <x:c r="P1188" s="56" t="str"/>
      <x:c r="Q1188" s="59" t="str">
        <x:v>待确认</x:v>
      </x:c>
    </x:row>
    <x:row r="1189">
      <x:c r="A1189" s="56" t="str">
        <x:v>P030</x:v>
      </x:c>
      <x:c r="B1189" s="56" t="str">
        <x:v>HX-ADD-018</x:v>
      </x:c>
      <x:c r="C1189" s="56" t="str">
        <x:v>diagnosis</x:v>
      </x:c>
      <x:c r="D1189" s="56" t="n">
        <x:v>45</x:v>
      </x:c>
      <x:c r="E1189" s="56" t="str">
        <x:v>diagnosis.differentials</x:v>
      </x:c>
      <x:c r="F1189" s="56" t="str">
        <x:v>至少3项鉴别及支持/反对点</x:v>
      </x:c>
      <x:c r="G1189" s="56" t="n">
        <x:v>15</x:v>
      </x:c>
      <x:c r="H1189" s="56" t="str">
        <x:v>普通得分项</x:v>
      </x:c>
      <x:c r="I1189" s="56" t="str">
        <x:v>否</x:v>
      </x:c>
      <x:c r="J1189" s="56" t="str">
        <x:v>否</x:v>
      </x:c>
      <x:c r="K1189" s="56" t="str">
        <x:v>否</x:v>
      </x:c>
      <x:c r="L1189" s="56" t="str">
        <x:v>按结构化事件证据给予0/部分/满分；不能由总结反推已完成</x:v>
      </x:c>
      <x:c r="M1189" s="56" t="str"/>
      <x:c r="N1189" s="56" t="n">
        <x:f>SUMIFS($G$4:$G$1673,$A$4:$A$1673,A1189)</x:f>
        <x:v>360</x:v>
      </x:c>
      <x:c r="O1189" s="56" t="str">
        <x:f>IF(N1189=360,"通过","失败")</x:f>
        <x:v>通过</x:v>
      </x:c>
      <x:c r="P1189" s="56" t="str"/>
      <x:c r="Q1189" s="59" t="str">
        <x:v>待确认</x:v>
      </x:c>
    </x:row>
    <x:row r="1190">
      <x:c r="A1190" s="56" t="str">
        <x:v>P030</x:v>
      </x:c>
      <x:c r="B1190" s="56" t="str">
        <x:v>HX-ADD-018</x:v>
      </x:c>
      <x:c r="C1190" s="56" t="str">
        <x:v>diagnosis</x:v>
      </x:c>
      <x:c r="D1190" s="56" t="n">
        <x:v>45</x:v>
      </x:c>
      <x:c r="E1190" s="56" t="str">
        <x:v>diagnosis.confirmation</x:v>
      </x:c>
      <x:c r="F1190" s="56" t="str">
        <x:v>确认计划</x:v>
      </x:c>
      <x:c r="G1190" s="56" t="n">
        <x:v>15</x:v>
      </x:c>
      <x:c r="H1190" s="56" t="str">
        <x:v>普通得分项</x:v>
      </x:c>
      <x:c r="I1190" s="56" t="str">
        <x:v>否</x:v>
      </x:c>
      <x:c r="J1190" s="56" t="str">
        <x:v>否</x:v>
      </x:c>
      <x:c r="K1190" s="56" t="str">
        <x:v>否</x:v>
      </x:c>
      <x:c r="L1190" s="56" t="str">
        <x:v>按结构化事件证据给予0/部分/满分；不能由总结反推已完成</x:v>
      </x:c>
      <x:c r="M1190" s="56" t="str"/>
      <x:c r="N1190" s="56" t="n">
        <x:f>SUMIFS($G$4:$G$1673,$A$4:$A$1673,A1190)</x:f>
        <x:v>360</x:v>
      </x:c>
      <x:c r="O1190" s="56" t="str">
        <x:f>IF(N1190=360,"通过","失败")</x:f>
        <x:v>通过</x:v>
      </x:c>
      <x:c r="P1190" s="56" t="str"/>
      <x:c r="Q1190" s="59" t="str">
        <x:v>待确认</x:v>
      </x:c>
    </x:row>
    <x:row r="1191">
      <x:c r="A1191" s="56" t="str">
        <x:v>P030</x:v>
      </x:c>
      <x:c r="B1191" s="56" t="str">
        <x:v>HX-ADD-018</x:v>
      </x:c>
      <x:c r="C1191" s="56" t="str">
        <x:v>orders</x:v>
      </x:c>
      <x:c r="D1191" s="56" t="n">
        <x:v>55</x:v>
      </x:c>
      <x:c r="E1191" s="56" t="str">
        <x:v>orders.LAB-UR-001</x:v>
      </x:c>
      <x:c r="F1191" s="56" t="str">
        <x:v>LAB-UR-001</x:v>
      </x:c>
      <x:c r="G1191" s="56" t="n">
        <x:v>11</x:v>
      </x:c>
      <x:c r="H1191" s="56" t="str">
        <x:v>病例特异得分项</x:v>
      </x:c>
      <x:c r="I1191" s="56" t="str">
        <x:v>否</x:v>
      </x:c>
      <x:c r="J1191" s="56" t="str">
        <x:v>否</x:v>
      </x:c>
      <x:c r="K1191" s="56" t="str">
        <x:v>否</x:v>
      </x:c>
      <x:c r="L1191" s="56" t="str">
        <x:v>按结构化事件证据给予0/部分/满分；不能由总结反推已完成</x:v>
      </x:c>
      <x:c r="M1191" s="56" t="str"/>
      <x:c r="N1191" s="56" t="n">
        <x:f>SUMIFS($G$4:$G$1673,$A$4:$A$1673,A1191)</x:f>
        <x:v>360</x:v>
      </x:c>
      <x:c r="O1191" s="56" t="str">
        <x:f>IF(N1191=360,"通过","失败")</x:f>
        <x:v>通过</x:v>
      </x:c>
      <x:c r="P1191" s="56" t="str"/>
      <x:c r="Q1191" s="59" t="str">
        <x:v>待确认</x:v>
      </x:c>
    </x:row>
    <x:row r="1192">
      <x:c r="A1192" s="56" t="str">
        <x:v>P030</x:v>
      </x:c>
      <x:c r="B1192" s="56" t="str">
        <x:v>HX-ADD-018</x:v>
      </x:c>
      <x:c r="C1192" s="56" t="str">
        <x:v>orders</x:v>
      </x:c>
      <x:c r="D1192" s="56" t="n">
        <x:v>55</x:v>
      </x:c>
      <x:c r="E1192" s="56" t="str">
        <x:v>orders.LAB-BL-003</x:v>
      </x:c>
      <x:c r="F1192" s="56" t="str">
        <x:v>LAB-BL-003</x:v>
      </x:c>
      <x:c r="G1192" s="56" t="n">
        <x:v>11</x:v>
      </x:c>
      <x:c r="H1192" s="56" t="str">
        <x:v>病例特异得分项</x:v>
      </x:c>
      <x:c r="I1192" s="56" t="str">
        <x:v>否</x:v>
      </x:c>
      <x:c r="J1192" s="56" t="str">
        <x:v>否</x:v>
      </x:c>
      <x:c r="K1192" s="56" t="str">
        <x:v>否</x:v>
      </x:c>
      <x:c r="L1192" s="56" t="str">
        <x:v>按结构化事件证据给予0/部分/满分；不能由总结反推已完成</x:v>
      </x:c>
      <x:c r="M1192" s="56" t="str"/>
      <x:c r="N1192" s="56" t="n">
        <x:f>SUMIFS($G$4:$G$1673,$A$4:$A$1673,A1192)</x:f>
        <x:v>360</x:v>
      </x:c>
      <x:c r="O1192" s="56" t="str">
        <x:f>IF(N1192=360,"通过","失败")</x:f>
        <x:v>通过</x:v>
      </x:c>
      <x:c r="P1192" s="56" t="str"/>
      <x:c r="Q1192" s="59" t="str">
        <x:v>待确认</x:v>
      </x:c>
    </x:row>
    <x:row r="1193">
      <x:c r="A1193" s="56" t="str">
        <x:v>P030</x:v>
      </x:c>
      <x:c r="B1193" s="56" t="str">
        <x:v>HX-ADD-018</x:v>
      </x:c>
      <x:c r="C1193" s="56" t="str">
        <x:v>orders</x:v>
      </x:c>
      <x:c r="D1193" s="56" t="n">
        <x:v>55</x:v>
      </x:c>
      <x:c r="E1193" s="56" t="str">
        <x:v>orders.IMG-US-001</x:v>
      </x:c>
      <x:c r="F1193" s="56" t="str">
        <x:v>IMG-US-001</x:v>
      </x:c>
      <x:c r="G1193" s="56" t="n">
        <x:v>11</x:v>
      </x:c>
      <x:c r="H1193" s="56" t="str">
        <x:v>病例特异得分项</x:v>
      </x:c>
      <x:c r="I1193" s="56" t="str">
        <x:v>否</x:v>
      </x:c>
      <x:c r="J1193" s="56" t="str">
        <x:v>否</x:v>
      </x:c>
      <x:c r="K1193" s="56" t="str">
        <x:v>否</x:v>
      </x:c>
      <x:c r="L1193" s="56" t="str">
        <x:v>按结构化事件证据给予0/部分/满分；不能由总结反推已完成</x:v>
      </x:c>
      <x:c r="M1193" s="56" t="str"/>
      <x:c r="N1193" s="56" t="n">
        <x:f>SUMIFS($G$4:$G$1673,$A$4:$A$1673,A1193)</x:f>
        <x:v>360</x:v>
      </x:c>
      <x:c r="O1193" s="56" t="str">
        <x:f>IF(N1193=360,"通过","失败")</x:f>
        <x:v>通过</x:v>
      </x:c>
      <x:c r="P1193" s="56" t="str"/>
      <x:c r="Q1193" s="59" t="str">
        <x:v>待确认</x:v>
      </x:c>
    </x:row>
    <x:row r="1194">
      <x:c r="A1194" s="56" t="str">
        <x:v>P030</x:v>
      </x:c>
      <x:c r="B1194" s="56" t="str">
        <x:v>HX-ADD-018</x:v>
      </x:c>
      <x:c r="C1194" s="56" t="str">
        <x:v>orders</x:v>
      </x:c>
      <x:c r="D1194" s="56" t="n">
        <x:v>55</x:v>
      </x:c>
      <x:c r="E1194" s="56" t="str">
        <x:v>orders.FUNC-001</x:v>
      </x:c>
      <x:c r="F1194" s="56" t="str">
        <x:v>FUNC-001</x:v>
      </x:c>
      <x:c r="G1194" s="56" t="n">
        <x:v>11</x:v>
      </x:c>
      <x:c r="H1194" s="56" t="str">
        <x:v>病例特异得分项</x:v>
      </x:c>
      <x:c r="I1194" s="56" t="str">
        <x:v>否</x:v>
      </x:c>
      <x:c r="J1194" s="56" t="str">
        <x:v>否</x:v>
      </x:c>
      <x:c r="K1194" s="56" t="str">
        <x:v>否</x:v>
      </x:c>
      <x:c r="L1194" s="56" t="str">
        <x:v>按结构化事件证据给予0/部分/满分；不能由总结反推已完成</x:v>
      </x:c>
      <x:c r="M1194" s="56" t="str"/>
      <x:c r="N1194" s="56" t="n">
        <x:f>SUMIFS($G$4:$G$1673,$A$4:$A$1673,A1194)</x:f>
        <x:v>360</x:v>
      </x:c>
      <x:c r="O1194" s="56" t="str">
        <x:f>IF(N1194=360,"通过","失败")</x:f>
        <x:v>通过</x:v>
      </x:c>
      <x:c r="P1194" s="56" t="str"/>
      <x:c r="Q1194" s="59" t="str">
        <x:v>待确认</x:v>
      </x:c>
    </x:row>
    <x:row r="1195">
      <x:c r="A1195" s="56" t="str">
        <x:v>P030</x:v>
      </x:c>
      <x:c r="B1195" s="56" t="str">
        <x:v>HX-ADD-018</x:v>
      </x:c>
      <x:c r="C1195" s="56" t="str">
        <x:v>orders</x:v>
      </x:c>
      <x:c r="D1195" s="56" t="n">
        <x:v>55</x:v>
      </x:c>
      <x:c r="E1195" s="56" t="str">
        <x:v>orders.LAB-BL-015</x:v>
      </x:c>
      <x:c r="F1195" s="56" t="str">
        <x:v>LAB-BL-015</x:v>
      </x:c>
      <x:c r="G1195" s="56" t="n">
        <x:v>11</x:v>
      </x:c>
      <x:c r="H1195" s="56" t="str">
        <x:v>病例特异得分项</x:v>
      </x:c>
      <x:c r="I1195" s="56" t="str">
        <x:v>否</x:v>
      </x:c>
      <x:c r="J1195" s="56" t="str">
        <x:v>否</x:v>
      </x:c>
      <x:c r="K1195" s="56" t="str">
        <x:v>否</x:v>
      </x:c>
      <x:c r="L1195" s="56" t="str">
        <x:v>按结构化事件证据给予0/部分/满分；不能由总结反推已完成</x:v>
      </x:c>
      <x:c r="M1195" s="56" t="str"/>
      <x:c r="N1195" s="56" t="n">
        <x:f>SUMIFS($G$4:$G$1673,$A$4:$A$1673,A1195)</x:f>
        <x:v>360</x:v>
      </x:c>
      <x:c r="O1195" s="56" t="str">
        <x:f>IF(N1195=360,"通过","失败")</x:f>
        <x:v>通过</x:v>
      </x:c>
      <x:c r="P1195" s="56" t="str"/>
      <x:c r="Q1195" s="59" t="str">
        <x:v>待确认</x:v>
      </x:c>
    </x:row>
    <x:row r="1196">
      <x:c r="A1196" s="56" t="str">
        <x:v>P030</x:v>
      </x:c>
      <x:c r="B1196" s="56" t="str">
        <x:v>HX-ADD-018</x:v>
      </x:c>
      <x:c r="C1196" s="56" t="str">
        <x:v>mdt</x:v>
      </x:c>
      <x:c r="D1196" s="56" t="n">
        <x:v>45</x:v>
      </x:c>
      <x:c r="E1196" s="56" t="str">
        <x:v>mdt.department</x:v>
      </x:c>
      <x:c r="F1196" s="56" t="str">
        <x:v>department</x:v>
      </x:c>
      <x:c r="G1196" s="56" t="n">
        <x:v>12</x:v>
      </x:c>
      <x:c r="H1196" s="56" t="str">
        <x:v>病例特异得分项</x:v>
      </x:c>
      <x:c r="I1196" s="56" t="str">
        <x:v>否</x:v>
      </x:c>
      <x:c r="J1196" s="56" t="str">
        <x:v>否</x:v>
      </x:c>
      <x:c r="K1196" s="56" t="str">
        <x:v>否</x:v>
      </x:c>
      <x:c r="L1196" s="56" t="str">
        <x:v>按结构化事件证据给予0/部分/满分；不能由总结反推已完成</x:v>
      </x:c>
      <x:c r="M1196" s="56" t="str"/>
      <x:c r="N1196" s="56" t="n">
        <x:f>SUMIFS($G$4:$G$1673,$A$4:$A$1673,A1196)</x:f>
        <x:v>360</x:v>
      </x:c>
      <x:c r="O1196" s="56" t="str">
        <x:f>IF(N1196=360,"通过","失败")</x:f>
        <x:v>通过</x:v>
      </x:c>
      <x:c r="P1196" s="56" t="str"/>
      <x:c r="Q1196" s="59" t="str">
        <x:v>待确认</x:v>
      </x:c>
    </x:row>
    <x:row r="1197">
      <x:c r="A1197" s="56" t="str">
        <x:v>P030</x:v>
      </x:c>
      <x:c r="B1197" s="56" t="str">
        <x:v>HX-ADD-018</x:v>
      </x:c>
      <x:c r="C1197" s="56" t="str">
        <x:v>mdt</x:v>
      </x:c>
      <x:c r="D1197" s="56" t="n">
        <x:v>45</x:v>
      </x:c>
      <x:c r="E1197" s="56" t="str">
        <x:v>mdt.trigger</x:v>
      </x:c>
      <x:c r="F1197" s="56" t="str">
        <x:v>trigger</x:v>
      </x:c>
      <x:c r="G1197" s="56" t="n">
        <x:v>11</x:v>
      </x:c>
      <x:c r="H1197" s="56" t="str">
        <x:v>病例特异得分项</x:v>
      </x:c>
      <x:c r="I1197" s="56" t="str">
        <x:v>否</x:v>
      </x:c>
      <x:c r="J1197" s="56" t="str">
        <x:v>否</x:v>
      </x:c>
      <x:c r="K1197" s="56" t="str">
        <x:v>否</x:v>
      </x:c>
      <x:c r="L1197" s="56" t="str">
        <x:v>按结构化事件证据给予0/部分/满分；不能由总结反推已完成</x:v>
      </x:c>
      <x:c r="M1197" s="56" t="str"/>
      <x:c r="N1197" s="56" t="n">
        <x:f>SUMIFS($G$4:$G$1673,$A$4:$A$1673,A1197)</x:f>
        <x:v>360</x:v>
      </x:c>
      <x:c r="O1197" s="56" t="str">
        <x:f>IF(N1197=360,"通过","失败")</x:f>
        <x:v>通过</x:v>
      </x:c>
      <x:c r="P1197" s="56" t="str"/>
      <x:c r="Q1197" s="59" t="str">
        <x:v>待确认</x:v>
      </x:c>
    </x:row>
    <x:row r="1198">
      <x:c r="A1198" s="56" t="str">
        <x:v>P030</x:v>
      </x:c>
      <x:c r="B1198" s="56" t="str">
        <x:v>HX-ADD-018</x:v>
      </x:c>
      <x:c r="C1198" s="56" t="str">
        <x:v>mdt</x:v>
      </x:c>
      <x:c r="D1198" s="56" t="n">
        <x:v>45</x:v>
      </x:c>
      <x:c r="E1198" s="56" t="str">
        <x:v>mdt.question</x:v>
      </x:c>
      <x:c r="F1198" s="56" t="str">
        <x:v>question</x:v>
      </x:c>
      <x:c r="G1198" s="56" t="n">
        <x:v>11</x:v>
      </x:c>
      <x:c r="H1198" s="56" t="str">
        <x:v>病例特异得分项</x:v>
      </x:c>
      <x:c r="I1198" s="56" t="str">
        <x:v>否</x:v>
      </x:c>
      <x:c r="J1198" s="56" t="str">
        <x:v>否</x:v>
      </x:c>
      <x:c r="K1198" s="56" t="str">
        <x:v>否</x:v>
      </x:c>
      <x:c r="L1198" s="56" t="str">
        <x:v>按结构化事件证据给予0/部分/满分；不能由总结反推已完成</x:v>
      </x:c>
      <x:c r="M1198" s="56" t="str"/>
      <x:c r="N1198" s="56" t="n">
        <x:f>SUMIFS($G$4:$G$1673,$A$4:$A$1673,A1198)</x:f>
        <x:v>360</x:v>
      </x:c>
      <x:c r="O1198" s="56" t="str">
        <x:f>IF(N1198=360,"通过","失败")</x:f>
        <x:v>通过</x:v>
      </x:c>
      <x:c r="P1198" s="56" t="str"/>
      <x:c r="Q1198" s="59" t="str">
        <x:v>待确认</x:v>
      </x:c>
    </x:row>
    <x:row r="1199">
      <x:c r="A1199" s="56" t="str">
        <x:v>P030</x:v>
      </x:c>
      <x:c r="B1199" s="56" t="str">
        <x:v>HX-ADD-018</x:v>
      </x:c>
      <x:c r="C1199" s="56" t="str">
        <x:v>mdt</x:v>
      </x:c>
      <x:c r="D1199" s="56" t="n">
        <x:v>45</x:v>
      </x:c>
      <x:c r="E1199" s="56" t="str">
        <x:v>mdt.evidence</x:v>
      </x:c>
      <x:c r="F1199" s="56" t="str">
        <x:v>evidence</x:v>
      </x:c>
      <x:c r="G1199" s="56" t="n">
        <x:v>11</x:v>
      </x:c>
      <x:c r="H1199" s="56" t="str">
        <x:v>病例特异得分项</x:v>
      </x:c>
      <x:c r="I1199" s="56" t="str">
        <x:v>否</x:v>
      </x:c>
      <x:c r="J1199" s="56" t="str">
        <x:v>否</x:v>
      </x:c>
      <x:c r="K1199" s="56" t="str">
        <x:v>否</x:v>
      </x:c>
      <x:c r="L1199" s="56" t="str">
        <x:v>按结构化事件证据给予0/部分/满分；不能由总结反推已完成</x:v>
      </x:c>
      <x:c r="M1199" s="56" t="str"/>
      <x:c r="N1199" s="56" t="n">
        <x:f>SUMIFS($G$4:$G$1673,$A$4:$A$1673,A1199)</x:f>
        <x:v>360</x:v>
      </x:c>
      <x:c r="O1199" s="56" t="str">
        <x:f>IF(N1199=360,"通过","失败")</x:f>
        <x:v>通过</x:v>
      </x:c>
      <x:c r="P1199" s="56" t="str"/>
      <x:c r="Q1199" s="59" t="str">
        <x:v>待确认</x:v>
      </x:c>
    </x:row>
    <x:row r="1200">
      <x:c r="A1200" s="56" t="str">
        <x:v>P030</x:v>
      </x:c>
      <x:c r="B1200" s="56" t="str">
        <x:v>HX-ADD-018</x:v>
      </x:c>
      <x:c r="C1200" s="56" t="str">
        <x:v>treatment</x:v>
      </x:c>
      <x:c r="D1200" s="56" t="n">
        <x:v>50</x:v>
      </x:c>
      <x:c r="E1200" s="56" t="str">
        <x:v>treatment.immediate</x:v>
      </x:c>
      <x:c r="F1200" s="56" t="str">
        <x:v>immediate</x:v>
      </x:c>
      <x:c r="G1200" s="56" t="n">
        <x:v>13</x:v>
      </x:c>
      <x:c r="H1200" s="56" t="str">
        <x:v>病例特异得分项</x:v>
      </x:c>
      <x:c r="I1200" s="56" t="str">
        <x:v>否</x:v>
      </x:c>
      <x:c r="J1200" s="56" t="str">
        <x:v>否</x:v>
      </x:c>
      <x:c r="K1200" s="56" t="str">
        <x:v>否</x:v>
      </x:c>
      <x:c r="L1200" s="56" t="str">
        <x:v>按结构化事件证据给予0/部分/满分；不能由总结反推已完成</x:v>
      </x:c>
      <x:c r="M1200" s="56" t="str"/>
      <x:c r="N1200" s="56" t="n">
        <x:f>SUMIFS($G$4:$G$1673,$A$4:$A$1673,A1200)</x:f>
        <x:v>360</x:v>
      </x:c>
      <x:c r="O1200" s="56" t="str">
        <x:f>IF(N1200=360,"通过","失败")</x:f>
        <x:v>通过</x:v>
      </x:c>
      <x:c r="P1200" s="56" t="str"/>
      <x:c r="Q1200" s="59" t="str">
        <x:v>待确认</x:v>
      </x:c>
    </x:row>
    <x:row r="1201">
      <x:c r="A1201" s="56" t="str">
        <x:v>P030</x:v>
      </x:c>
      <x:c r="B1201" s="56" t="str">
        <x:v>HX-ADD-018</x:v>
      </x:c>
      <x:c r="C1201" s="56" t="str">
        <x:v>treatment</x:v>
      </x:c>
      <x:c r="D1201" s="56" t="n">
        <x:v>50</x:v>
      </x:c>
      <x:c r="E1201" s="56" t="str">
        <x:v>treatment.etiologic</x:v>
      </x:c>
      <x:c r="F1201" s="56" t="str">
        <x:v>etiologic</x:v>
      </x:c>
      <x:c r="G1201" s="56" t="n">
        <x:v>13</x:v>
      </x:c>
      <x:c r="H1201" s="56" t="str">
        <x:v>病例特异得分项</x:v>
      </x:c>
      <x:c r="I1201" s="56" t="str">
        <x:v>否</x:v>
      </x:c>
      <x:c r="J1201" s="56" t="str">
        <x:v>否</x:v>
      </x:c>
      <x:c r="K1201" s="56" t="str">
        <x:v>否</x:v>
      </x:c>
      <x:c r="L1201" s="56" t="str">
        <x:v>按结构化事件证据给予0/部分/满分；不能由总结反推已完成</x:v>
      </x:c>
      <x:c r="M1201" s="56" t="str"/>
      <x:c r="N1201" s="56" t="n">
        <x:f>SUMIFS($G$4:$G$1673,$A$4:$A$1673,A1201)</x:f>
        <x:v>360</x:v>
      </x:c>
      <x:c r="O1201" s="56" t="str">
        <x:f>IF(N1201=360,"通过","失败")</x:f>
        <x:v>通过</x:v>
      </x:c>
      <x:c r="P1201" s="56" t="str"/>
      <x:c r="Q1201" s="59" t="str">
        <x:v>待确认</x:v>
      </x:c>
    </x:row>
    <x:row r="1202">
      <x:c r="A1202" s="56" t="str">
        <x:v>P030</x:v>
      </x:c>
      <x:c r="B1202" s="56" t="str">
        <x:v>HX-ADD-018</x:v>
      </x:c>
      <x:c r="C1202" s="56" t="str">
        <x:v>treatment</x:v>
      </x:c>
      <x:c r="D1202" s="56" t="n">
        <x:v>50</x:v>
      </x:c>
      <x:c r="E1202" s="56" t="str">
        <x:v>treatment.definitive</x:v>
      </x:c>
      <x:c r="F1202" s="56" t="str">
        <x:v>definitive</x:v>
      </x:c>
      <x:c r="G1202" s="56" t="n">
        <x:v>12</x:v>
      </x:c>
      <x:c r="H1202" s="56" t="str">
        <x:v>病例特异得分项</x:v>
      </x:c>
      <x:c r="I1202" s="56" t="str">
        <x:v>否</x:v>
      </x:c>
      <x:c r="J1202" s="56" t="str">
        <x:v>否</x:v>
      </x:c>
      <x:c r="K1202" s="56" t="str">
        <x:v>否</x:v>
      </x:c>
      <x:c r="L1202" s="56" t="str">
        <x:v>按结构化事件证据给予0/部分/满分；不能由总结反推已完成</x:v>
      </x:c>
      <x:c r="M1202" s="56" t="str"/>
      <x:c r="N1202" s="56" t="n">
        <x:f>SUMIFS($G$4:$G$1673,$A$4:$A$1673,A1202)</x:f>
        <x:v>360</x:v>
      </x:c>
      <x:c r="O1202" s="56" t="str">
        <x:f>IF(N1202=360,"通过","失败")</x:f>
        <x:v>通过</x:v>
      </x:c>
      <x:c r="P1202" s="56" t="str"/>
      <x:c r="Q1202" s="59" t="str">
        <x:v>待确认</x:v>
      </x:c>
    </x:row>
    <x:row r="1203">
      <x:c r="A1203" s="56" t="str">
        <x:v>P030</x:v>
      </x:c>
      <x:c r="B1203" s="56" t="str">
        <x:v>HX-ADD-018</x:v>
      </x:c>
      <x:c r="C1203" s="56" t="str">
        <x:v>treatment</x:v>
      </x:c>
      <x:c r="D1203" s="56" t="n">
        <x:v>50</x:v>
      </x:c>
      <x:c r="E1203" s="56" t="str">
        <x:v>treatment.perioperative</x:v>
      </x:c>
      <x:c r="F1203" s="56" t="str">
        <x:v>perioperative</x:v>
      </x:c>
      <x:c r="G1203" s="56" t="n">
        <x:v>12</x:v>
      </x:c>
      <x:c r="H1203" s="56" t="str">
        <x:v>病例特异得分项</x:v>
      </x:c>
      <x:c r="I1203" s="56" t="str">
        <x:v>否</x:v>
      </x:c>
      <x:c r="J1203" s="56" t="str">
        <x:v>否</x:v>
      </x:c>
      <x:c r="K1203" s="56" t="str">
        <x:v>否</x:v>
      </x:c>
      <x:c r="L1203" s="56" t="str">
        <x:v>按结构化事件证据给予0/部分/满分；不能由总结反推已完成</x:v>
      </x:c>
      <x:c r="M1203" s="56" t="str"/>
      <x:c r="N1203" s="56" t="n">
        <x:f>SUMIFS($G$4:$G$1673,$A$4:$A$1673,A1203)</x:f>
        <x:v>360</x:v>
      </x:c>
      <x:c r="O1203" s="56" t="str">
        <x:f>IF(N1203=360,"通过","失败")</x:f>
        <x:v>通过</x:v>
      </x:c>
      <x:c r="P1203" s="56" t="str"/>
      <x:c r="Q1203" s="59" t="str">
        <x:v>待确认</x:v>
      </x:c>
    </x:row>
    <x:row r="1204">
      <x:c r="A1204" s="56" t="str">
        <x:v>P030</x:v>
      </x:c>
      <x:c r="B1204" s="56" t="str">
        <x:v>HX-ADD-018</x:v>
      </x:c>
      <x:c r="C1204" s="56" t="str">
        <x:v>followup</x:v>
      </x:c>
      <x:c r="D1204" s="56" t="n">
        <x:v>40</x:v>
      </x:c>
      <x:c r="E1204" s="56" t="str">
        <x:v>followup.plan</x:v>
      </x:c>
      <x:c r="F1204" s="56" t="str">
        <x:v>随访复查</x:v>
      </x:c>
      <x:c r="G1204" s="56" t="n">
        <x:v>10</x:v>
      </x:c>
      <x:c r="H1204" s="56" t="str">
        <x:v>普通得分项</x:v>
      </x:c>
      <x:c r="I1204" s="56" t="str">
        <x:v>否</x:v>
      </x:c>
      <x:c r="J1204" s="56" t="str">
        <x:v>否</x:v>
      </x:c>
      <x:c r="K1204" s="56" t="str">
        <x:v>否</x:v>
      </x:c>
      <x:c r="L1204" s="56" t="str">
        <x:v>按结构化事件证据给予0/部分/满分；不能由总结反推已完成</x:v>
      </x:c>
      <x:c r="M1204" s="56" t="str"/>
      <x:c r="N1204" s="56" t="n">
        <x:f>SUMIFS($G$4:$G$1673,$A$4:$A$1673,A1204)</x:f>
        <x:v>360</x:v>
      </x:c>
      <x:c r="O1204" s="56" t="str">
        <x:f>IF(N1204=360,"通过","失败")</x:f>
        <x:v>通过</x:v>
      </x:c>
      <x:c r="P1204" s="56" t="str"/>
      <x:c r="Q1204" s="59" t="str">
        <x:v>待确认</x:v>
      </x:c>
    </x:row>
    <x:row r="1205">
      <x:c r="A1205" s="56" t="str">
        <x:v>P030</x:v>
      </x:c>
      <x:c r="B1205" s="56" t="str">
        <x:v>HX-ADD-018</x:v>
      </x:c>
      <x:c r="C1205" s="56" t="str">
        <x:v>followup</x:v>
      </x:c>
      <x:c r="D1205" s="56" t="n">
        <x:v>40</x:v>
      </x:c>
      <x:c r="E1205" s="56" t="str">
        <x:v>followup.education</x:v>
      </x:c>
      <x:c r="F1205" s="56" t="str">
        <x:v>患者教育</x:v>
      </x:c>
      <x:c r="G1205" s="56" t="n">
        <x:v>10</x:v>
      </x:c>
      <x:c r="H1205" s="56" t="str">
        <x:v>普通得分项</x:v>
      </x:c>
      <x:c r="I1205" s="56" t="str">
        <x:v>否</x:v>
      </x:c>
      <x:c r="J1205" s="56" t="str">
        <x:v>否</x:v>
      </x:c>
      <x:c r="K1205" s="56" t="str">
        <x:v>否</x:v>
      </x:c>
      <x:c r="L1205" s="56" t="str">
        <x:v>按结构化事件证据给予0/部分/满分；不能由总结反推已完成</x:v>
      </x:c>
      <x:c r="M1205" s="56" t="str"/>
      <x:c r="N1205" s="56" t="n">
        <x:f>SUMIFS($G$4:$G$1673,$A$4:$A$1673,A1205)</x:f>
        <x:v>360</x:v>
      </x:c>
      <x:c r="O1205" s="56" t="str">
        <x:f>IF(N1205=360,"通过","失败")</x:f>
        <x:v>通过</x:v>
      </x:c>
      <x:c r="P1205" s="56" t="str"/>
      <x:c r="Q1205" s="59" t="str">
        <x:v>待确认</x:v>
      </x:c>
    </x:row>
    <x:row r="1206">
      <x:c r="A1206" s="56" t="str">
        <x:v>P030</x:v>
      </x:c>
      <x:c r="B1206" s="56" t="str">
        <x:v>HX-ADD-018</x:v>
      </x:c>
      <x:c r="C1206" s="56" t="str">
        <x:v>followup</x:v>
      </x:c>
      <x:c r="D1206" s="56" t="n">
        <x:v>40</x:v>
      </x:c>
      <x:c r="E1206" s="56" t="str">
        <x:v>followup.reflection</x:v>
      </x:c>
      <x:c r="F1206" s="56" t="str">
        <x:v>学习反思质量</x:v>
      </x:c>
      <x:c r="G1206" s="56" t="n">
        <x:v>10</x:v>
      </x:c>
      <x:c r="H1206" s="56" t="str">
        <x:v>普通得分项</x:v>
      </x:c>
      <x:c r="I1206" s="56" t="str">
        <x:v>否</x:v>
      </x:c>
      <x:c r="J1206" s="56" t="str">
        <x:v>否</x:v>
      </x:c>
      <x:c r="K1206" s="56" t="str">
        <x:v>否</x:v>
      </x:c>
      <x:c r="L1206" s="56" t="str">
        <x:v>按结构化事件证据给予0/部分/满分；不能由总结反推已完成</x:v>
      </x:c>
      <x:c r="M1206" s="56" t="str"/>
      <x:c r="N1206" s="56" t="n">
        <x:f>SUMIFS($G$4:$G$1673,$A$4:$A$1673,A1206)</x:f>
        <x:v>360</x:v>
      </x:c>
      <x:c r="O1206" s="56" t="str">
        <x:f>IF(N1206=360,"通过","失败")</x:f>
        <x:v>通过</x:v>
      </x:c>
      <x:c r="P1206" s="56" t="str"/>
      <x:c r="Q1206" s="59" t="str">
        <x:v>待确认</x:v>
      </x:c>
    </x:row>
    <x:row r="1207">
      <x:c r="A1207" s="56" t="str">
        <x:v>P030</x:v>
      </x:c>
      <x:c r="B1207" s="56" t="str">
        <x:v>HX-ADD-018</x:v>
      </x:c>
      <x:c r="C1207" s="56" t="str">
        <x:v>followup</x:v>
      </x:c>
      <x:c r="D1207" s="56" t="n">
        <x:v>40</x:v>
      </x:c>
      <x:c r="E1207" s="56" t="str">
        <x:v>followup.efficiency</x:v>
      </x:c>
      <x:c r="F1207" s="56" t="str">
        <x:v>操作效率</x:v>
      </x:c>
      <x:c r="G1207" s="56" t="n">
        <x:v>10</x:v>
      </x:c>
      <x:c r="H1207" s="56" t="str">
        <x:v>普通得分项</x:v>
      </x:c>
      <x:c r="I1207" s="56" t="str">
        <x:v>否</x:v>
      </x:c>
      <x:c r="J1207" s="56" t="str">
        <x:v>否</x:v>
      </x:c>
      <x:c r="K1207" s="56" t="str">
        <x:v>否</x:v>
      </x:c>
      <x:c r="L1207" s="56" t="str">
        <x:v>按结构化事件证据给予0/部分/满分；不能由总结反推已完成</x:v>
      </x:c>
      <x:c r="M1207" s="56" t="str"/>
      <x:c r="N1207" s="56" t="n">
        <x:f>SUMIFS($G$4:$G$1673,$A$4:$A$1673,A1207)</x:f>
        <x:v>360</x:v>
      </x:c>
      <x:c r="O1207" s="56" t="str">
        <x:f>IF(N1207=360,"通过","失败")</x:f>
        <x:v>通过</x:v>
      </x:c>
      <x:c r="P1207" s="56" t="str"/>
      <x:c r="Q1207" s="59" t="str">
        <x:v>待确认</x:v>
      </x:c>
    </x:row>
    <x:row r="1208">
      <x:c r="A1208" s="56" t="str">
        <x:v>P031</x:v>
      </x:c>
      <x:c r="B1208" s="56" t="str">
        <x:v>HX-ADD-019</x:v>
      </x:c>
      <x:c r="C1208" s="56" t="str">
        <x:v>history</x:v>
      </x:c>
      <x:c r="D1208" s="56" t="n">
        <x:v>50</x:v>
      </x:c>
      <x:c r="E1208" s="56" t="str">
        <x:v>history.hematuria_visibility</x:v>
      </x:c>
      <x:c r="F1208" s="56" t="str">
        <x:v>hematuria_visibility</x:v>
      </x:c>
      <x:c r="G1208" s="56" t="n">
        <x:v>5</x:v>
      </x:c>
      <x:c r="H1208" s="56" t="str">
        <x:v>普通得分项</x:v>
      </x:c>
      <x:c r="I1208" s="56" t="str">
        <x:v>否</x:v>
      </x:c>
      <x:c r="J1208" s="56" t="str">
        <x:v>否</x:v>
      </x:c>
      <x:c r="K1208" s="56" t="str">
        <x:v>否</x:v>
      </x:c>
      <x:c r="L1208" s="56" t="str">
        <x:v>按结构化事件证据给予0/部分/满分；不能由总结反推已完成</x:v>
      </x:c>
      <x:c r="M1208" s="56" t="str"/>
      <x:c r="N1208" s="56" t="n">
        <x:f>SUMIFS($G$4:$G$1673,$A$4:$A$1673,A1208)</x:f>
        <x:v>360</x:v>
      </x:c>
      <x:c r="O1208" s="56" t="str">
        <x:f>IF(N1208=360,"通过","失败")</x:f>
        <x:v>通过</x:v>
      </x:c>
      <x:c r="P1208" s="56" t="str"/>
      <x:c r="Q1208" s="59" t="str">
        <x:v>待确认</x:v>
      </x:c>
    </x:row>
    <x:row r="1209">
      <x:c r="A1209" s="56" t="str">
        <x:v>P031</x:v>
      </x:c>
      <x:c r="B1209" s="56" t="str">
        <x:v>HX-ADD-019</x:v>
      </x:c>
      <x:c r="C1209" s="56" t="str">
        <x:v>history</x:v>
      </x:c>
      <x:c r="D1209" s="56" t="n">
        <x:v>50</x:v>
      </x:c>
      <x:c r="E1209" s="56" t="str">
        <x:v>history.hematuria_onset</x:v>
      </x:c>
      <x:c r="F1209" s="56" t="str">
        <x:v>hematuria_onset</x:v>
      </x:c>
      <x:c r="G1209" s="56" t="n">
        <x:v>5</x:v>
      </x:c>
      <x:c r="H1209" s="56" t="str">
        <x:v>普通得分项</x:v>
      </x:c>
      <x:c r="I1209" s="56" t="str">
        <x:v>否</x:v>
      </x:c>
      <x:c r="J1209" s="56" t="str">
        <x:v>否</x:v>
      </x:c>
      <x:c r="K1209" s="56" t="str">
        <x:v>否</x:v>
      </x:c>
      <x:c r="L1209" s="56" t="str">
        <x:v>按结构化事件证据给予0/部分/满分；不能由总结反推已完成</x:v>
      </x:c>
      <x:c r="M1209" s="56" t="str"/>
      <x:c r="N1209" s="56" t="n">
        <x:f>SUMIFS($G$4:$G$1673,$A$4:$A$1673,A1209)</x:f>
        <x:v>360</x:v>
      </x:c>
      <x:c r="O1209" s="56" t="str">
        <x:f>IF(N1209=360,"通过","失败")</x:f>
        <x:v>通过</x:v>
      </x:c>
      <x:c r="P1209" s="56" t="str"/>
      <x:c r="Q1209" s="59" t="str">
        <x:v>待确认</x:v>
      </x:c>
    </x:row>
    <x:row r="1210">
      <x:c r="A1210" s="56" t="str">
        <x:v>P031</x:v>
      </x:c>
      <x:c r="B1210" s="56" t="str">
        <x:v>HX-ADD-019</x:v>
      </x:c>
      <x:c r="C1210" s="56" t="str">
        <x:v>history</x:v>
      </x:c>
      <x:c r="D1210" s="56" t="n">
        <x:v>50</x:v>
      </x:c>
      <x:c r="E1210" s="56" t="str">
        <x:v>history.hematuria_frequency</x:v>
      </x:c>
      <x:c r="F1210" s="56" t="str">
        <x:v>hematuria_frequency</x:v>
      </x:c>
      <x:c r="G1210" s="56" t="n">
        <x:v>4</x:v>
      </x:c>
      <x:c r="H1210" s="56" t="str">
        <x:v>普通得分项</x:v>
      </x:c>
      <x:c r="I1210" s="56" t="str">
        <x:v>否</x:v>
      </x:c>
      <x:c r="J1210" s="56" t="str">
        <x:v>否</x:v>
      </x:c>
      <x:c r="K1210" s="56" t="str">
        <x:v>否</x:v>
      </x:c>
      <x:c r="L1210" s="56" t="str">
        <x:v>按结构化事件证据给予0/部分/满分；不能由总结反推已完成</x:v>
      </x:c>
      <x:c r="M1210" s="56" t="str"/>
      <x:c r="N1210" s="56" t="n">
        <x:f>SUMIFS($G$4:$G$1673,$A$4:$A$1673,A1210)</x:f>
        <x:v>360</x:v>
      </x:c>
      <x:c r="O1210" s="56" t="str">
        <x:f>IF(N1210=360,"通过","失败")</x:f>
        <x:v>通过</x:v>
      </x:c>
      <x:c r="P1210" s="56" t="str"/>
      <x:c r="Q1210" s="59" t="str">
        <x:v>待确认</x:v>
      </x:c>
    </x:row>
    <x:row r="1211">
      <x:c r="A1211" s="56" t="str">
        <x:v>P031</x:v>
      </x:c>
      <x:c r="B1211" s="56" t="str">
        <x:v>HX-ADD-019</x:v>
      </x:c>
      <x:c r="C1211" s="56" t="str">
        <x:v>history</x:v>
      </x:c>
      <x:c r="D1211" s="56" t="n">
        <x:v>50</x:v>
      </x:c>
      <x:c r="E1211" s="56" t="str">
        <x:v>history.hematuria_phase</x:v>
      </x:c>
      <x:c r="F1211" s="56" t="str">
        <x:v>hematuria_phase</x:v>
      </x:c>
      <x:c r="G1211" s="56" t="n">
        <x:v>4</x:v>
      </x:c>
      <x:c r="H1211" s="56" t="str">
        <x:v>普通得分项</x:v>
      </x:c>
      <x:c r="I1211" s="56" t="str">
        <x:v>否</x:v>
      </x:c>
      <x:c r="J1211" s="56" t="str">
        <x:v>否</x:v>
      </x:c>
      <x:c r="K1211" s="56" t="str">
        <x:v>否</x:v>
      </x:c>
      <x:c r="L1211" s="56" t="str">
        <x:v>按结构化事件证据给予0/部分/满分；不能由总结反推已完成</x:v>
      </x:c>
      <x:c r="M1211" s="56" t="str"/>
      <x:c r="N1211" s="56" t="n">
        <x:f>SUMIFS($G$4:$G$1673,$A$4:$A$1673,A1211)</x:f>
        <x:v>360</x:v>
      </x:c>
      <x:c r="O1211" s="56" t="str">
        <x:f>IF(N1211=360,"通过","失败")</x:f>
        <x:v>通过</x:v>
      </x:c>
      <x:c r="P1211" s="56" t="str"/>
      <x:c r="Q1211" s="59" t="str">
        <x:v>待确认</x:v>
      </x:c>
    </x:row>
    <x:row r="1212">
      <x:c r="A1212" s="56" t="str">
        <x:v>P031</x:v>
      </x:c>
      <x:c r="B1212" s="56" t="str">
        <x:v>HX-ADD-019</x:v>
      </x:c>
      <x:c r="C1212" s="56" t="str">
        <x:v>history</x:v>
      </x:c>
      <x:c r="D1212" s="56" t="n">
        <x:v>50</x:v>
      </x:c>
      <x:c r="E1212" s="56" t="str">
        <x:v>history.urine_color</x:v>
      </x:c>
      <x:c r="F1212" s="56" t="str">
        <x:v>urine_color</x:v>
      </x:c>
      <x:c r="G1212" s="56" t="n">
        <x:v>4</x:v>
      </x:c>
      <x:c r="H1212" s="56" t="str">
        <x:v>普通得分项</x:v>
      </x:c>
      <x:c r="I1212" s="56" t="str">
        <x:v>否</x:v>
      </x:c>
      <x:c r="J1212" s="56" t="str">
        <x:v>否</x:v>
      </x:c>
      <x:c r="K1212" s="56" t="str">
        <x:v>否</x:v>
      </x:c>
      <x:c r="L1212" s="56" t="str">
        <x:v>按结构化事件证据给予0/部分/满分；不能由总结反推已完成</x:v>
      </x:c>
      <x:c r="M1212" s="56" t="str"/>
      <x:c r="N1212" s="56" t="n">
        <x:f>SUMIFS($G$4:$G$1673,$A$4:$A$1673,A1212)</x:f>
        <x:v>360</x:v>
      </x:c>
      <x:c r="O1212" s="56" t="str">
        <x:f>IF(N1212=360,"通过","失败")</x:f>
        <x:v>通过</x:v>
      </x:c>
      <x:c r="P1212" s="56" t="str"/>
      <x:c r="Q1212" s="59" t="str">
        <x:v>待确认</x:v>
      </x:c>
    </x:row>
    <x:row r="1213">
      <x:c r="A1213" s="56" t="str">
        <x:v>P031</x:v>
      </x:c>
      <x:c r="B1213" s="56" t="str">
        <x:v>HX-ADD-019</x:v>
      </x:c>
      <x:c r="C1213" s="56" t="str">
        <x:v>history</x:v>
      </x:c>
      <x:c r="D1213" s="56" t="n">
        <x:v>50</x:v>
      </x:c>
      <x:c r="E1213" s="56" t="str">
        <x:v>history.clots</x:v>
      </x:c>
      <x:c r="F1213" s="56" t="str">
        <x:v>clots</x:v>
      </x:c>
      <x:c r="G1213" s="56" t="n">
        <x:v>4</x:v>
      </x:c>
      <x:c r="H1213" s="56" t="str">
        <x:v>普通得分项</x:v>
      </x:c>
      <x:c r="I1213" s="56" t="str">
        <x:v>否</x:v>
      </x:c>
      <x:c r="J1213" s="56" t="str">
        <x:v>否</x:v>
      </x:c>
      <x:c r="K1213" s="56" t="str">
        <x:v>否</x:v>
      </x:c>
      <x:c r="L1213" s="56" t="str">
        <x:v>按结构化事件证据给予0/部分/满分；不能由总结反推已完成</x:v>
      </x:c>
      <x:c r="M1213" s="56" t="str"/>
      <x:c r="N1213" s="56" t="n">
        <x:f>SUMIFS($G$4:$G$1673,$A$4:$A$1673,A1213)</x:f>
        <x:v>360</x:v>
      </x:c>
      <x:c r="O1213" s="56" t="str">
        <x:f>IF(N1213=360,"通过","失败")</x:f>
        <x:v>通过</x:v>
      </x:c>
      <x:c r="P1213" s="56" t="str"/>
      <x:c r="Q1213" s="59" t="str">
        <x:v>待确认</x:v>
      </x:c>
    </x:row>
    <x:row r="1214">
      <x:c r="A1214" s="56" t="str">
        <x:v>P031</x:v>
      </x:c>
      <x:c r="B1214" s="56" t="str">
        <x:v>HX-ADD-019</x:v>
      </x:c>
      <x:c r="C1214" s="56" t="str">
        <x:v>history</x:v>
      </x:c>
      <x:c r="D1214" s="56" t="n">
        <x:v>50</x:v>
      </x:c>
      <x:c r="E1214" s="56" t="str">
        <x:v>history.pain</x:v>
      </x:c>
      <x:c r="F1214" s="56" t="str">
        <x:v>pain</x:v>
      </x:c>
      <x:c r="G1214" s="56" t="n">
        <x:v>4</x:v>
      </x:c>
      <x:c r="H1214" s="56" t="str">
        <x:v>普通得分项</x:v>
      </x:c>
      <x:c r="I1214" s="56" t="str">
        <x:v>否</x:v>
      </x:c>
      <x:c r="J1214" s="56" t="str">
        <x:v>否</x:v>
      </x:c>
      <x:c r="K1214" s="56" t="str">
        <x:v>否</x:v>
      </x:c>
      <x:c r="L1214" s="56" t="str">
        <x:v>按结构化事件证据给予0/部分/满分；不能由总结反推已完成</x:v>
      </x:c>
      <x:c r="M1214" s="56" t="str"/>
      <x:c r="N1214" s="56" t="n">
        <x:f>SUMIFS($G$4:$G$1673,$A$4:$A$1673,A1214)</x:f>
        <x:v>360</x:v>
      </x:c>
      <x:c r="O1214" s="56" t="str">
        <x:f>IF(N1214=360,"通过","失败")</x:f>
        <x:v>通过</x:v>
      </x:c>
      <x:c r="P1214" s="56" t="str"/>
      <x:c r="Q1214" s="59" t="str">
        <x:v>待确认</x:v>
      </x:c>
    </x:row>
    <x:row r="1215">
      <x:c r="A1215" s="56" t="str">
        <x:v>P031</x:v>
      </x:c>
      <x:c r="B1215" s="56" t="str">
        <x:v>HX-ADD-019</x:v>
      </x:c>
      <x:c r="C1215" s="56" t="str">
        <x:v>history</x:v>
      </x:c>
      <x:c r="D1215" s="56" t="n">
        <x:v>50</x:v>
      </x:c>
      <x:c r="E1215" s="56" t="str">
        <x:v>history.dysuria</x:v>
      </x:c>
      <x:c r="F1215" s="56" t="str">
        <x:v>dysuria</x:v>
      </x:c>
      <x:c r="G1215" s="56" t="n">
        <x:v>4</x:v>
      </x:c>
      <x:c r="H1215" s="56" t="str">
        <x:v>普通得分项</x:v>
      </x:c>
      <x:c r="I1215" s="56" t="str">
        <x:v>否</x:v>
      </x:c>
      <x:c r="J1215" s="56" t="str">
        <x:v>否</x:v>
      </x:c>
      <x:c r="K1215" s="56" t="str">
        <x:v>否</x:v>
      </x:c>
      <x:c r="L1215" s="56" t="str">
        <x:v>按结构化事件证据给予0/部分/满分；不能由总结反推已完成</x:v>
      </x:c>
      <x:c r="M1215" s="56" t="str"/>
      <x:c r="N1215" s="56" t="n">
        <x:f>SUMIFS($G$4:$G$1673,$A$4:$A$1673,A1215)</x:f>
        <x:v>360</x:v>
      </x:c>
      <x:c r="O1215" s="56" t="str">
        <x:f>IF(N1215=360,"通过","失败")</x:f>
        <x:v>通过</x:v>
      </x:c>
      <x:c r="P1215" s="56" t="str"/>
      <x:c r="Q1215" s="59" t="str">
        <x:v>待确认</x:v>
      </x:c>
    </x:row>
    <x:row r="1216">
      <x:c r="A1216" s="56" t="str">
        <x:v>P031</x:v>
      </x:c>
      <x:c r="B1216" s="56" t="str">
        <x:v>HX-ADD-019</x:v>
      </x:c>
      <x:c r="C1216" s="56" t="str">
        <x:v>history</x:v>
      </x:c>
      <x:c r="D1216" s="56" t="n">
        <x:v>50</x:v>
      </x:c>
      <x:c r="E1216" s="56" t="str">
        <x:v>history.urinary_frequency</x:v>
      </x:c>
      <x:c r="F1216" s="56" t="str">
        <x:v>urinary_frequency</x:v>
      </x:c>
      <x:c r="G1216" s="56" t="n">
        <x:v>4</x:v>
      </x:c>
      <x:c r="H1216" s="56" t="str">
        <x:v>普通得分项</x:v>
      </x:c>
      <x:c r="I1216" s="56" t="str">
        <x:v>否</x:v>
      </x:c>
      <x:c r="J1216" s="56" t="str">
        <x:v>否</x:v>
      </x:c>
      <x:c r="K1216" s="56" t="str">
        <x:v>否</x:v>
      </x:c>
      <x:c r="L1216" s="56" t="str">
        <x:v>按结构化事件证据给予0/部分/满分；不能由总结反推已完成</x:v>
      </x:c>
      <x:c r="M1216" s="56" t="str"/>
      <x:c r="N1216" s="56" t="n">
        <x:f>SUMIFS($G$4:$G$1673,$A$4:$A$1673,A1216)</x:f>
        <x:v>360</x:v>
      </x:c>
      <x:c r="O1216" s="56" t="str">
        <x:f>IF(N1216=360,"通过","失败")</x:f>
        <x:v>通过</x:v>
      </x:c>
      <x:c r="P1216" s="56" t="str"/>
      <x:c r="Q1216" s="59" t="str">
        <x:v>待确认</x:v>
      </x:c>
    </x:row>
    <x:row r="1217">
      <x:c r="A1217" s="56" t="str">
        <x:v>P031</x:v>
      </x:c>
      <x:c r="B1217" s="56" t="str">
        <x:v>HX-ADD-019</x:v>
      </x:c>
      <x:c r="C1217" s="56" t="str">
        <x:v>history</x:v>
      </x:c>
      <x:c r="D1217" s="56" t="n">
        <x:v>50</x:v>
      </x:c>
      <x:c r="E1217" s="56" t="str">
        <x:v>history.urinary_urgency</x:v>
      </x:c>
      <x:c r="F1217" s="56" t="str">
        <x:v>urinary_urgency</x:v>
      </x:c>
      <x:c r="G1217" s="56" t="n">
        <x:v>4</x:v>
      </x:c>
      <x:c r="H1217" s="56" t="str">
        <x:v>普通得分项</x:v>
      </x:c>
      <x:c r="I1217" s="56" t="str">
        <x:v>否</x:v>
      </x:c>
      <x:c r="J1217" s="56" t="str">
        <x:v>否</x:v>
      </x:c>
      <x:c r="K1217" s="56" t="str">
        <x:v>否</x:v>
      </x:c>
      <x:c r="L1217" s="56" t="str">
        <x:v>按结构化事件证据给予0/部分/满分；不能由总结反推已完成</x:v>
      </x:c>
      <x:c r="M1217" s="56" t="str"/>
      <x:c r="N1217" s="56" t="n">
        <x:f>SUMIFS($G$4:$G$1673,$A$4:$A$1673,A1217)</x:f>
        <x:v>360</x:v>
      </x:c>
      <x:c r="O1217" s="56" t="str">
        <x:f>IF(N1217=360,"通过","失败")</x:f>
        <x:v>通过</x:v>
      </x:c>
      <x:c r="P1217" s="56" t="str"/>
      <x:c r="Q1217" s="59" t="str">
        <x:v>待确认</x:v>
      </x:c>
    </x:row>
    <x:row r="1218">
      <x:c r="A1218" s="56" t="str">
        <x:v>P031</x:v>
      </x:c>
      <x:c r="B1218" s="56" t="str">
        <x:v>HX-ADD-019</x:v>
      </x:c>
      <x:c r="C1218" s="56" t="str">
        <x:v>history</x:v>
      </x:c>
      <x:c r="D1218" s="56" t="n">
        <x:v>50</x:v>
      </x:c>
      <x:c r="E1218" s="56" t="str">
        <x:v>history.flank_pain</x:v>
      </x:c>
      <x:c r="F1218" s="56" t="str">
        <x:v>flank_pain</x:v>
      </x:c>
      <x:c r="G1218" s="56" t="n">
        <x:v>4</x:v>
      </x:c>
      <x:c r="H1218" s="56" t="str">
        <x:v>普通得分项</x:v>
      </x:c>
      <x:c r="I1218" s="56" t="str">
        <x:v>否</x:v>
      </x:c>
      <x:c r="J1218" s="56" t="str">
        <x:v>否</x:v>
      </x:c>
      <x:c r="K1218" s="56" t="str">
        <x:v>否</x:v>
      </x:c>
      <x:c r="L1218" s="56" t="str">
        <x:v>按结构化事件证据给予0/部分/满分；不能由总结反推已完成</x:v>
      </x:c>
      <x:c r="M1218" s="56" t="str"/>
      <x:c r="N1218" s="56" t="n">
        <x:f>SUMIFS($G$4:$G$1673,$A$4:$A$1673,A1218)</x:f>
        <x:v>360</x:v>
      </x:c>
      <x:c r="O1218" s="56" t="str">
        <x:f>IF(N1218=360,"通过","失败")</x:f>
        <x:v>通过</x:v>
      </x:c>
      <x:c r="P1218" s="56" t="str"/>
      <x:c r="Q1218" s="59" t="str">
        <x:v>待确认</x:v>
      </x:c>
    </x:row>
    <x:row r="1219">
      <x:c r="A1219" s="56" t="str">
        <x:v>P031</x:v>
      </x:c>
      <x:c r="B1219" s="56" t="str">
        <x:v>HX-ADD-019</x:v>
      </x:c>
      <x:c r="C1219" s="56" t="str">
        <x:v>history</x:v>
      </x:c>
      <x:c r="D1219" s="56" t="n">
        <x:v>50</x:v>
      </x:c>
      <x:c r="E1219" s="56" t="str">
        <x:v>history.fever_chills</x:v>
      </x:c>
      <x:c r="F1219" s="56" t="str">
        <x:v>fever_chills</x:v>
      </x:c>
      <x:c r="G1219" s="56" t="n">
        <x:v>4</x:v>
      </x:c>
      <x:c r="H1219" s="56" t="str">
        <x:v>普通得分项</x:v>
      </x:c>
      <x:c r="I1219" s="56" t="str">
        <x:v>否</x:v>
      </x:c>
      <x:c r="J1219" s="56" t="str">
        <x:v>否</x:v>
      </x:c>
      <x:c r="K1219" s="56" t="str">
        <x:v>否</x:v>
      </x:c>
      <x:c r="L1219" s="56" t="str">
        <x:v>按结构化事件证据给予0/部分/满分；不能由总结反推已完成</x:v>
      </x:c>
      <x:c r="M1219" s="56" t="str"/>
      <x:c r="N1219" s="56" t="n">
        <x:f>SUMIFS($G$4:$G$1673,$A$4:$A$1673,A1219)</x:f>
        <x:v>360</x:v>
      </x:c>
      <x:c r="O1219" s="56" t="str">
        <x:f>IF(N1219=360,"通过","失败")</x:f>
        <x:v>通过</x:v>
      </x:c>
      <x:c r="P1219" s="56" t="str"/>
      <x:c r="Q1219" s="59" t="str">
        <x:v>待确认</x:v>
      </x:c>
    </x:row>
    <x:row r="1220">
      <x:c r="A1220" s="56" t="str">
        <x:v>P031</x:v>
      </x:c>
      <x:c r="B1220" s="56" t="str">
        <x:v>HX-ADD-019</x:v>
      </x:c>
      <x:c r="C1220" s="56" t="str">
        <x:v>risk</x:v>
      </x:c>
      <x:c r="D1220" s="56" t="n">
        <x:v>40</x:v>
      </x:c>
      <x:c r="E1220" s="56" t="str">
        <x:v>risk.glomerular_features</x:v>
      </x:c>
      <x:c r="F1220" s="56" t="str">
        <x:v>glomerular_features</x:v>
      </x:c>
      <x:c r="G1220" s="56" t="n">
        <x:v>10</x:v>
      </x:c>
      <x:c r="H1220" s="56" t="str">
        <x:v>普通得分项</x:v>
      </x:c>
      <x:c r="I1220" s="56" t="str">
        <x:v>否</x:v>
      </x:c>
      <x:c r="J1220" s="56" t="str">
        <x:v>否</x:v>
      </x:c>
      <x:c r="K1220" s="56" t="str">
        <x:v>否</x:v>
      </x:c>
      <x:c r="L1220" s="56" t="str">
        <x:v>按结构化事件证据给予0/部分/满分；不能由总结反推已完成</x:v>
      </x:c>
      <x:c r="M1220" s="56" t="str"/>
      <x:c r="N1220" s="56" t="n">
        <x:f>SUMIFS($G$4:$G$1673,$A$4:$A$1673,A1220)</x:f>
        <x:v>360</x:v>
      </x:c>
      <x:c r="O1220" s="56" t="str">
        <x:f>IF(N1220=360,"通过","失败")</x:f>
        <x:v>通过</x:v>
      </x:c>
      <x:c r="P1220" s="56" t="str"/>
      <x:c r="Q1220" s="59" t="str">
        <x:v>待确认</x:v>
      </x:c>
    </x:row>
    <x:row r="1221">
      <x:c r="A1221" s="56" t="str">
        <x:v>P031</x:v>
      </x:c>
      <x:c r="B1221" s="56" t="str">
        <x:v>HX-ADD-019</x:v>
      </x:c>
      <x:c r="C1221" s="56" t="str">
        <x:v>risk</x:v>
      </x:c>
      <x:c r="D1221" s="56" t="n">
        <x:v>40</x:v>
      </x:c>
      <x:c r="E1221" s="56" t="str">
        <x:v>risk.recent_uri</x:v>
      </x:c>
      <x:c r="F1221" s="56" t="str">
        <x:v>recent_uri</x:v>
      </x:c>
      <x:c r="G1221" s="56" t="n">
        <x:v>10</x:v>
      </x:c>
      <x:c r="H1221" s="56" t="str">
        <x:v>普通得分项</x:v>
      </x:c>
      <x:c r="I1221" s="56" t="str">
        <x:v>否</x:v>
      </x:c>
      <x:c r="J1221" s="56" t="str">
        <x:v>否</x:v>
      </x:c>
      <x:c r="K1221" s="56" t="str">
        <x:v>否</x:v>
      </x:c>
      <x:c r="L1221" s="56" t="str">
        <x:v>按结构化事件证据给予0/部分/满分；不能由总结反推已完成</x:v>
      </x:c>
      <x:c r="M1221" s="56" t="str"/>
      <x:c r="N1221" s="56" t="n">
        <x:f>SUMIFS($G$4:$G$1673,$A$4:$A$1673,A1221)</x:f>
        <x:v>360</x:v>
      </x:c>
      <x:c r="O1221" s="56" t="str">
        <x:f>IF(N1221=360,"通过","失败")</x:f>
        <x:v>通过</x:v>
      </x:c>
      <x:c r="P1221" s="56" t="str"/>
      <x:c r="Q1221" s="59" t="str">
        <x:v>待确认</x:v>
      </x:c>
    </x:row>
    <x:row r="1222">
      <x:c r="A1222" s="56" t="str">
        <x:v>P031</x:v>
      </x:c>
      <x:c r="B1222" s="56" t="str">
        <x:v>HX-ADD-019</x:v>
      </x:c>
      <x:c r="C1222" s="56" t="str">
        <x:v>risk</x:v>
      </x:c>
      <x:c r="D1222" s="56" t="n">
        <x:v>40</x:v>
      </x:c>
      <x:c r="E1222" s="56" t="str">
        <x:v>risk.family_history</x:v>
      </x:c>
      <x:c r="F1222" s="56" t="str">
        <x:v>family_history</x:v>
      </x:c>
      <x:c r="G1222" s="56" t="n">
        <x:v>10</x:v>
      </x:c>
      <x:c r="H1222" s="56" t="str">
        <x:v>普通得分项</x:v>
      </x:c>
      <x:c r="I1222" s="56" t="str">
        <x:v>否</x:v>
      </x:c>
      <x:c r="J1222" s="56" t="str">
        <x:v>否</x:v>
      </x:c>
      <x:c r="K1222" s="56" t="str">
        <x:v>否</x:v>
      </x:c>
      <x:c r="L1222" s="56" t="str">
        <x:v>按结构化事件证据给予0/部分/满分；不能由总结反推已完成</x:v>
      </x:c>
      <x:c r="M1222" s="56" t="str"/>
      <x:c r="N1222" s="56" t="n">
        <x:f>SUMIFS($G$4:$G$1673,$A$4:$A$1673,A1222)</x:f>
        <x:v>360</x:v>
      </x:c>
      <x:c r="O1222" s="56" t="str">
        <x:f>IF(N1222=360,"通过","失败")</x:f>
        <x:v>通过</x:v>
      </x:c>
      <x:c r="P1222" s="56" t="str"/>
      <x:c r="Q1222" s="59" t="str">
        <x:v>待确认</x:v>
      </x:c>
    </x:row>
    <x:row r="1223">
      <x:c r="A1223" s="56" t="str">
        <x:v>P031</x:v>
      </x:c>
      <x:c r="B1223" s="56" t="str">
        <x:v>HX-ADD-019</x:v>
      </x:c>
      <x:c r="C1223" s="56" t="str">
        <x:v>risk</x:v>
      </x:c>
      <x:c r="D1223" s="56" t="n">
        <x:v>40</x:v>
      </x:c>
      <x:c r="E1223" s="56" t="str">
        <x:v>risk.bleeding_tendency</x:v>
      </x:c>
      <x:c r="F1223" s="56" t="str">
        <x:v>bleeding_tendency</x:v>
      </x:c>
      <x:c r="G1223" s="56" t="n">
        <x:v>10</x:v>
      </x:c>
      <x:c r="H1223" s="56" t="str">
        <x:v>普通得分项</x:v>
      </x:c>
      <x:c r="I1223" s="56" t="str">
        <x:v>否</x:v>
      </x:c>
      <x:c r="J1223" s="56" t="str">
        <x:v>否</x:v>
      </x:c>
      <x:c r="K1223" s="56" t="str">
        <x:v>否</x:v>
      </x:c>
      <x:c r="L1223" s="56" t="str">
        <x:v>按结构化事件证据给予0/部分/满分；不能由总结反推已完成</x:v>
      </x:c>
      <x:c r="M1223" s="56" t="str"/>
      <x:c r="N1223" s="56" t="n">
        <x:f>SUMIFS($G$4:$G$1673,$A$4:$A$1673,A1223)</x:f>
        <x:v>360</x:v>
      </x:c>
      <x:c r="O1223" s="56" t="str">
        <x:f>IF(N1223=360,"通过","失败")</x:f>
        <x:v>通过</x:v>
      </x:c>
      <x:c r="P1223" s="56" t="str"/>
      <x:c r="Q1223" s="59" t="str">
        <x:v>待确认</x:v>
      </x:c>
    </x:row>
    <x:row r="1224">
      <x:c r="A1224" s="56" t="str">
        <x:v>P031</x:v>
      </x:c>
      <x:c r="B1224" s="56" t="str">
        <x:v>HX-ADD-019</x:v>
      </x:c>
      <x:c r="C1224" s="56" t="str">
        <x:v>exam</x:v>
      </x:c>
      <x:c r="D1224" s="56" t="n">
        <x:v>35</x:v>
      </x:c>
      <x:c r="E1224" s="56" t="str">
        <x:v>exam.temperature</x:v>
      </x:c>
      <x:c r="F1224" s="56" t="str">
        <x:v>体温</x:v>
      </x:c>
      <x:c r="G1224" s="56" t="n">
        <x:v>12</x:v>
      </x:c>
      <x:c r="H1224" s="56" t="str">
        <x:v>普通得分项</x:v>
      </x:c>
      <x:c r="I1224" s="56" t="str">
        <x:v>否</x:v>
      </x:c>
      <x:c r="J1224" s="56" t="str">
        <x:v>否</x:v>
      </x:c>
      <x:c r="K1224" s="56" t="str">
        <x:v>否</x:v>
      </x:c>
      <x:c r="L1224" s="56" t="str">
        <x:v>按结构化事件证据给予0/部分/满分；不能由总结反推已完成</x:v>
      </x:c>
      <x:c r="M1224" s="56" t="str"/>
      <x:c r="N1224" s="56" t="n">
        <x:f>SUMIFS($G$4:$G$1673,$A$4:$A$1673,A1224)</x:f>
        <x:v>360</x:v>
      </x:c>
      <x:c r="O1224" s="56" t="str">
        <x:f>IF(N1224=360,"通过","失败")</x:f>
        <x:v>通过</x:v>
      </x:c>
      <x:c r="P1224" s="56" t="str"/>
      <x:c r="Q1224" s="59" t="str">
        <x:v>待确认</x:v>
      </x:c>
    </x:row>
    <x:row r="1225">
      <x:c r="A1225" s="56" t="str">
        <x:v>P031</x:v>
      </x:c>
      <x:c r="B1225" s="56" t="str">
        <x:v>HX-ADD-019</x:v>
      </x:c>
      <x:c r="C1225" s="56" t="str">
        <x:v>exam</x:v>
      </x:c>
      <x:c r="D1225" s="56" t="n">
        <x:v>35</x:v>
      </x:c>
      <x:c r="E1225" s="56" t="str">
        <x:v>exam.blood_pressure</x:v>
      </x:c>
      <x:c r="F1225" s="56" t="str">
        <x:v>血压</x:v>
      </x:c>
      <x:c r="G1225" s="56" t="n">
        <x:v>12</x:v>
      </x:c>
      <x:c r="H1225" s="56" t="str">
        <x:v>普通得分项</x:v>
      </x:c>
      <x:c r="I1225" s="56" t="str">
        <x:v>否</x:v>
      </x:c>
      <x:c r="J1225" s="56" t="str">
        <x:v>否</x:v>
      </x:c>
      <x:c r="K1225" s="56" t="str">
        <x:v>否</x:v>
      </x:c>
      <x:c r="L1225" s="56" t="str">
        <x:v>按结构化事件证据给予0/部分/满分；不能由总结反推已完成</x:v>
      </x:c>
      <x:c r="M1225" s="56" t="str"/>
      <x:c r="N1225" s="56" t="n">
        <x:f>SUMIFS($G$4:$G$1673,$A$4:$A$1673,A1225)</x:f>
        <x:v>360</x:v>
      </x:c>
      <x:c r="O1225" s="56" t="str">
        <x:f>IF(N1225=360,"通过","失败")</x:f>
        <x:v>通过</x:v>
      </x:c>
      <x:c r="P1225" s="56" t="str"/>
      <x:c r="Q1225" s="59" t="str">
        <x:v>待确认</x:v>
      </x:c>
    </x:row>
    <x:row r="1226">
      <x:c r="A1226" s="56" t="str">
        <x:v>P031</x:v>
      </x:c>
      <x:c r="B1226" s="56" t="str">
        <x:v>HX-ADD-019</x:v>
      </x:c>
      <x:c r="C1226" s="56" t="str">
        <x:v>exam</x:v>
      </x:c>
      <x:c r="D1226" s="56" t="n">
        <x:v>35</x:v>
      </x:c>
      <x:c r="E1226" s="56" t="str">
        <x:v>exam.targeted</x:v>
      </x:c>
      <x:c r="F1226" s="56" t="str">
        <x:v>病例针对性查体</x:v>
      </x:c>
      <x:c r="G1226" s="56" t="n">
        <x:v>11</x:v>
      </x:c>
      <x:c r="H1226" s="56" t="str">
        <x:v>普通得分项</x:v>
      </x:c>
      <x:c r="I1226" s="56" t="str">
        <x:v>否</x:v>
      </x:c>
      <x:c r="J1226" s="56" t="str">
        <x:v>否</x:v>
      </x:c>
      <x:c r="K1226" s="56" t="str">
        <x:v>否</x:v>
      </x:c>
      <x:c r="L1226" s="56" t="str">
        <x:v>按结构化事件证据给予0/部分/满分；不能由总结反推已完成</x:v>
      </x:c>
      <x:c r="M1226" s="56" t="str"/>
      <x:c r="N1226" s="56" t="n">
        <x:f>SUMIFS($G$4:$G$1673,$A$4:$A$1673,A1226)</x:f>
        <x:v>360</x:v>
      </x:c>
      <x:c r="O1226" s="56" t="str">
        <x:f>IF(N1226=360,"通过","失败")</x:f>
        <x:v>通过</x:v>
      </x:c>
      <x:c r="P1226" s="56" t="str"/>
      <x:c r="Q1226" s="59" t="str">
        <x:v>待确认</x:v>
      </x:c>
    </x:row>
    <x:row r="1227">
      <x:c r="A1227" s="56" t="str">
        <x:v>P031</x:v>
      </x:c>
      <x:c r="B1227" s="56" t="str">
        <x:v>HX-ADD-019</x:v>
      </x:c>
      <x:c r="C1227" s="56" t="str">
        <x:v>diagnosis</x:v>
      </x:c>
      <x:c r="D1227" s="56" t="n">
        <x:v>45</x:v>
      </x:c>
      <x:c r="E1227" s="56" t="str">
        <x:v>diagnosis.primary</x:v>
      </x:c>
      <x:c r="F1227" s="56" t="str">
        <x:v>最可能诊断及依据</x:v>
      </x:c>
      <x:c r="G1227" s="56" t="n">
        <x:v>15</x:v>
      </x:c>
      <x:c r="H1227" s="56" t="str">
        <x:v>普通得分项</x:v>
      </x:c>
      <x:c r="I1227" s="56" t="str">
        <x:v>否</x:v>
      </x:c>
      <x:c r="J1227" s="56" t="str">
        <x:v>否</x:v>
      </x:c>
      <x:c r="K1227" s="56" t="str">
        <x:v>否</x:v>
      </x:c>
      <x:c r="L1227" s="56" t="str">
        <x:v>按结构化事件证据给予0/部分/满分；不能由总结反推已完成</x:v>
      </x:c>
      <x:c r="M1227" s="56" t="str"/>
      <x:c r="N1227" s="56" t="n">
        <x:f>SUMIFS($G$4:$G$1673,$A$4:$A$1673,A1227)</x:f>
        <x:v>360</x:v>
      </x:c>
      <x:c r="O1227" s="56" t="str">
        <x:f>IF(N1227=360,"通过","失败")</x:f>
        <x:v>通过</x:v>
      </x:c>
      <x:c r="P1227" s="56" t="str"/>
      <x:c r="Q1227" s="59" t="str">
        <x:v>待确认</x:v>
      </x:c>
    </x:row>
    <x:row r="1228">
      <x:c r="A1228" s="56" t="str">
        <x:v>P031</x:v>
      </x:c>
      <x:c r="B1228" s="56" t="str">
        <x:v>HX-ADD-019</x:v>
      </x:c>
      <x:c r="C1228" s="56" t="str">
        <x:v>diagnosis</x:v>
      </x:c>
      <x:c r="D1228" s="56" t="n">
        <x:v>45</x:v>
      </x:c>
      <x:c r="E1228" s="56" t="str">
        <x:v>diagnosis.differentials</x:v>
      </x:c>
      <x:c r="F1228" s="56" t="str">
        <x:v>至少3项鉴别及支持/反对点</x:v>
      </x:c>
      <x:c r="G1228" s="56" t="n">
        <x:v>15</x:v>
      </x:c>
      <x:c r="H1228" s="56" t="str">
        <x:v>普通得分项</x:v>
      </x:c>
      <x:c r="I1228" s="56" t="str">
        <x:v>否</x:v>
      </x:c>
      <x:c r="J1228" s="56" t="str">
        <x:v>否</x:v>
      </x:c>
      <x:c r="K1228" s="56" t="str">
        <x:v>否</x:v>
      </x:c>
      <x:c r="L1228" s="56" t="str">
        <x:v>按结构化事件证据给予0/部分/满分；不能由总结反推已完成</x:v>
      </x:c>
      <x:c r="M1228" s="56" t="str"/>
      <x:c r="N1228" s="56" t="n">
        <x:f>SUMIFS($G$4:$G$1673,$A$4:$A$1673,A1228)</x:f>
        <x:v>360</x:v>
      </x:c>
      <x:c r="O1228" s="56" t="str">
        <x:f>IF(N1228=360,"通过","失败")</x:f>
        <x:v>通过</x:v>
      </x:c>
      <x:c r="P1228" s="56" t="str"/>
      <x:c r="Q1228" s="59" t="str">
        <x:v>待确认</x:v>
      </x:c>
    </x:row>
    <x:row r="1229">
      <x:c r="A1229" s="56" t="str">
        <x:v>P031</x:v>
      </x:c>
      <x:c r="B1229" s="56" t="str">
        <x:v>HX-ADD-019</x:v>
      </x:c>
      <x:c r="C1229" s="56" t="str">
        <x:v>diagnosis</x:v>
      </x:c>
      <x:c r="D1229" s="56" t="n">
        <x:v>45</x:v>
      </x:c>
      <x:c r="E1229" s="56" t="str">
        <x:v>diagnosis.confirmation</x:v>
      </x:c>
      <x:c r="F1229" s="56" t="str">
        <x:v>确认计划</x:v>
      </x:c>
      <x:c r="G1229" s="56" t="n">
        <x:v>15</x:v>
      </x:c>
      <x:c r="H1229" s="56" t="str">
        <x:v>普通得分项</x:v>
      </x:c>
      <x:c r="I1229" s="56" t="str">
        <x:v>否</x:v>
      </x:c>
      <x:c r="J1229" s="56" t="str">
        <x:v>否</x:v>
      </x:c>
      <x:c r="K1229" s="56" t="str">
        <x:v>否</x:v>
      </x:c>
      <x:c r="L1229" s="56" t="str">
        <x:v>按结构化事件证据给予0/部分/满分；不能由总结反推已完成</x:v>
      </x:c>
      <x:c r="M1229" s="56" t="str"/>
      <x:c r="N1229" s="56" t="n">
        <x:f>SUMIFS($G$4:$G$1673,$A$4:$A$1673,A1229)</x:f>
        <x:v>360</x:v>
      </x:c>
      <x:c r="O1229" s="56" t="str">
        <x:f>IF(N1229=360,"通过","失败")</x:f>
        <x:v>通过</x:v>
      </x:c>
      <x:c r="P1229" s="56" t="str"/>
      <x:c r="Q1229" s="59" t="str">
        <x:v>待确认</x:v>
      </x:c>
    </x:row>
    <x:row r="1230">
      <x:c r="A1230" s="56" t="str">
        <x:v>P031</x:v>
      </x:c>
      <x:c r="B1230" s="56" t="str">
        <x:v>HX-ADD-019</x:v>
      </x:c>
      <x:c r="C1230" s="56" t="str">
        <x:v>orders</x:v>
      </x:c>
      <x:c r="D1230" s="56" t="n">
        <x:v>55</x:v>
      </x:c>
      <x:c r="E1230" s="56" t="str">
        <x:v>orders.LAB-UR-002</x:v>
      </x:c>
      <x:c r="F1230" s="56" t="str">
        <x:v>LAB-UR-002</x:v>
      </x:c>
      <x:c r="G1230" s="56" t="n">
        <x:v>10</x:v>
      </x:c>
      <x:c r="H1230" s="56" t="str">
        <x:v>病例特异得分项</x:v>
      </x:c>
      <x:c r="I1230" s="56" t="str">
        <x:v>否</x:v>
      </x:c>
      <x:c r="J1230" s="56" t="str">
        <x:v>否</x:v>
      </x:c>
      <x:c r="K1230" s="56" t="str">
        <x:v>否</x:v>
      </x:c>
      <x:c r="L1230" s="56" t="str">
        <x:v>按结构化事件证据给予0/部分/满分；不能由总结反推已完成</x:v>
      </x:c>
      <x:c r="M1230" s="56" t="str"/>
      <x:c r="N1230" s="56" t="n">
        <x:f>SUMIFS($G$4:$G$1673,$A$4:$A$1673,A1230)</x:f>
        <x:v>360</x:v>
      </x:c>
      <x:c r="O1230" s="56" t="str">
        <x:f>IF(N1230=360,"通过","失败")</x:f>
        <x:v>通过</x:v>
      </x:c>
      <x:c r="P1230" s="56" t="str"/>
      <x:c r="Q1230" s="59" t="str">
        <x:v>待确认</x:v>
      </x:c>
    </x:row>
    <x:row r="1231">
      <x:c r="A1231" s="56" t="str">
        <x:v>P031</x:v>
      </x:c>
      <x:c r="B1231" s="56" t="str">
        <x:v>HX-ADD-019</x:v>
      </x:c>
      <x:c r="C1231" s="56" t="str">
        <x:v>orders</x:v>
      </x:c>
      <x:c r="D1231" s="56" t="n">
        <x:v>55</x:v>
      </x:c>
      <x:c r="E1231" s="56" t="str">
        <x:v>orders.LAB-UR-003</x:v>
      </x:c>
      <x:c r="F1231" s="56" t="str">
        <x:v>LAB-UR-003</x:v>
      </x:c>
      <x:c r="G1231" s="56" t="n">
        <x:v>9</x:v>
      </x:c>
      <x:c r="H1231" s="56" t="str">
        <x:v>病例特异得分项</x:v>
      </x:c>
      <x:c r="I1231" s="56" t="str">
        <x:v>否</x:v>
      </x:c>
      <x:c r="J1231" s="56" t="str">
        <x:v>否</x:v>
      </x:c>
      <x:c r="K1231" s="56" t="str">
        <x:v>否</x:v>
      </x:c>
      <x:c r="L1231" s="56" t="str">
        <x:v>按结构化事件证据给予0/部分/满分；不能由总结反推已完成</x:v>
      </x:c>
      <x:c r="M1231" s="56" t="str"/>
      <x:c r="N1231" s="56" t="n">
        <x:f>SUMIFS($G$4:$G$1673,$A$4:$A$1673,A1231)</x:f>
        <x:v>360</x:v>
      </x:c>
      <x:c r="O1231" s="56" t="str">
        <x:f>IF(N1231=360,"通过","失败")</x:f>
        <x:v>通过</x:v>
      </x:c>
      <x:c r="P1231" s="56" t="str"/>
      <x:c r="Q1231" s="59" t="str">
        <x:v>待确认</x:v>
      </x:c>
    </x:row>
    <x:row r="1232">
      <x:c r="A1232" s="56" t="str">
        <x:v>P031</x:v>
      </x:c>
      <x:c r="B1232" s="56" t="str">
        <x:v>HX-ADD-019</x:v>
      </x:c>
      <x:c r="C1232" s="56" t="str">
        <x:v>orders</x:v>
      </x:c>
      <x:c r="D1232" s="56" t="n">
        <x:v>55</x:v>
      </x:c>
      <x:c r="E1232" s="56" t="str">
        <x:v>orders.LAB-UR-004</x:v>
      </x:c>
      <x:c r="F1232" s="56" t="str">
        <x:v>LAB-UR-004</x:v>
      </x:c>
      <x:c r="G1232" s="56" t="n">
        <x:v>9</x:v>
      </x:c>
      <x:c r="H1232" s="56" t="str">
        <x:v>病例特异得分项</x:v>
      </x:c>
      <x:c r="I1232" s="56" t="str">
        <x:v>否</x:v>
      </x:c>
      <x:c r="J1232" s="56" t="str">
        <x:v>否</x:v>
      </x:c>
      <x:c r="K1232" s="56" t="str">
        <x:v>否</x:v>
      </x:c>
      <x:c r="L1232" s="56" t="str">
        <x:v>按结构化事件证据给予0/部分/满分；不能由总结反推已完成</x:v>
      </x:c>
      <x:c r="M1232" s="56" t="str"/>
      <x:c r="N1232" s="56" t="n">
        <x:f>SUMIFS($G$4:$G$1673,$A$4:$A$1673,A1232)</x:f>
        <x:v>360</x:v>
      </x:c>
      <x:c r="O1232" s="56" t="str">
        <x:f>IF(N1232=360,"通过","失败")</x:f>
        <x:v>通过</x:v>
      </x:c>
      <x:c r="P1232" s="56" t="str"/>
      <x:c r="Q1232" s="59" t="str">
        <x:v>待确认</x:v>
      </x:c>
    </x:row>
    <x:row r="1233">
      <x:c r="A1233" s="56" t="str">
        <x:v>P031</x:v>
      </x:c>
      <x:c r="B1233" s="56" t="str">
        <x:v>HX-ADD-019</x:v>
      </x:c>
      <x:c r="C1233" s="56" t="str">
        <x:v>orders</x:v>
      </x:c>
      <x:c r="D1233" s="56" t="n">
        <x:v>55</x:v>
      </x:c>
      <x:c r="E1233" s="56" t="str">
        <x:v>orders.LAB-BL-003</x:v>
      </x:c>
      <x:c r="F1233" s="56" t="str">
        <x:v>LAB-BL-003</x:v>
      </x:c>
      <x:c r="G1233" s="56" t="n">
        <x:v>9</x:v>
      </x:c>
      <x:c r="H1233" s="56" t="str">
        <x:v>病例特异得分项</x:v>
      </x:c>
      <x:c r="I1233" s="56" t="str">
        <x:v>否</x:v>
      </x:c>
      <x:c r="J1233" s="56" t="str">
        <x:v>否</x:v>
      </x:c>
      <x:c r="K1233" s="56" t="str">
        <x:v>否</x:v>
      </x:c>
      <x:c r="L1233" s="56" t="str">
        <x:v>按结构化事件证据给予0/部分/满分；不能由总结反推已完成</x:v>
      </x:c>
      <x:c r="M1233" s="56" t="str"/>
      <x:c r="N1233" s="56" t="n">
        <x:f>SUMIFS($G$4:$G$1673,$A$4:$A$1673,A1233)</x:f>
        <x:v>360</x:v>
      </x:c>
      <x:c r="O1233" s="56" t="str">
        <x:f>IF(N1233=360,"通过","失败")</x:f>
        <x:v>通过</x:v>
      </x:c>
      <x:c r="P1233" s="56" t="str"/>
      <x:c r="Q1233" s="59" t="str">
        <x:v>待确认</x:v>
      </x:c>
    </x:row>
    <x:row r="1234">
      <x:c r="A1234" s="56" t="str">
        <x:v>P031</x:v>
      </x:c>
      <x:c r="B1234" s="56" t="str">
        <x:v>HX-ADD-019</x:v>
      </x:c>
      <x:c r="C1234" s="56" t="str">
        <x:v>orders</x:v>
      </x:c>
      <x:c r="D1234" s="56" t="n">
        <x:v>55</x:v>
      </x:c>
      <x:c r="E1234" s="56" t="str">
        <x:v>orders.LAB-BL-011</x:v>
      </x:c>
      <x:c r="F1234" s="56" t="str">
        <x:v>LAB-BL-011</x:v>
      </x:c>
      <x:c r="G1234" s="56" t="n">
        <x:v>9</x:v>
      </x:c>
      <x:c r="H1234" s="56" t="str">
        <x:v>病例特异得分项</x:v>
      </x:c>
      <x:c r="I1234" s="56" t="str">
        <x:v>否</x:v>
      </x:c>
      <x:c r="J1234" s="56" t="str">
        <x:v>否</x:v>
      </x:c>
      <x:c r="K1234" s="56" t="str">
        <x:v>否</x:v>
      </x:c>
      <x:c r="L1234" s="56" t="str">
        <x:v>按结构化事件证据给予0/部分/满分；不能由总结反推已完成</x:v>
      </x:c>
      <x:c r="M1234" s="56" t="str"/>
      <x:c r="N1234" s="56" t="n">
        <x:f>SUMIFS($G$4:$G$1673,$A$4:$A$1673,A1234)</x:f>
        <x:v>360</x:v>
      </x:c>
      <x:c r="O1234" s="56" t="str">
        <x:f>IF(N1234=360,"通过","失败")</x:f>
        <x:v>通过</x:v>
      </x:c>
      <x:c r="P1234" s="56" t="str"/>
      <x:c r="Q1234" s="59" t="str">
        <x:v>待确认</x:v>
      </x:c>
    </x:row>
    <x:row r="1235">
      <x:c r="A1235" s="56" t="str">
        <x:v>P031</x:v>
      </x:c>
      <x:c r="B1235" s="56" t="str">
        <x:v>HX-ADD-019</x:v>
      </x:c>
      <x:c r="C1235" s="56" t="str">
        <x:v>orders</x:v>
      </x:c>
      <x:c r="D1235" s="56" t="n">
        <x:v>55</x:v>
      </x:c>
      <x:c r="E1235" s="56" t="str">
        <x:v>orders.LAB-PATH-003</x:v>
      </x:c>
      <x:c r="F1235" s="56" t="str">
        <x:v>LAB-PATH-003</x:v>
      </x:c>
      <x:c r="G1235" s="56" t="n">
        <x:v>9</x:v>
      </x:c>
      <x:c r="H1235" s="56" t="str">
        <x:v>病例特异得分项</x:v>
      </x:c>
      <x:c r="I1235" s="56" t="str">
        <x:v>否</x:v>
      </x:c>
      <x:c r="J1235" s="56" t="str">
        <x:v>否</x:v>
      </x:c>
      <x:c r="K1235" s="56" t="str">
        <x:v>否</x:v>
      </x:c>
      <x:c r="L1235" s="56" t="str">
        <x:v>按结构化事件证据给予0/部分/满分；不能由总结反推已完成</x:v>
      </x:c>
      <x:c r="M1235" s="56" t="str"/>
      <x:c r="N1235" s="56" t="n">
        <x:f>SUMIFS($G$4:$G$1673,$A$4:$A$1673,A1235)</x:f>
        <x:v>360</x:v>
      </x:c>
      <x:c r="O1235" s="56" t="str">
        <x:f>IF(N1235=360,"通过","失败")</x:f>
        <x:v>通过</x:v>
      </x:c>
      <x:c r="P1235" s="56" t="str"/>
      <x:c r="Q1235" s="59" t="str">
        <x:v>待确认</x:v>
      </x:c>
    </x:row>
    <x:row r="1236">
      <x:c r="A1236" s="56" t="str">
        <x:v>P031</x:v>
      </x:c>
      <x:c r="B1236" s="56" t="str">
        <x:v>HX-ADD-019</x:v>
      </x:c>
      <x:c r="C1236" s="56" t="str">
        <x:v>mdt</x:v>
      </x:c>
      <x:c r="D1236" s="56" t="n">
        <x:v>45</x:v>
      </x:c>
      <x:c r="E1236" s="56" t="str">
        <x:v>mdt.department</x:v>
      </x:c>
      <x:c r="F1236" s="56" t="str">
        <x:v>department</x:v>
      </x:c>
      <x:c r="G1236" s="56" t="n">
        <x:v>12</x:v>
      </x:c>
      <x:c r="H1236" s="56" t="str">
        <x:v>病例特异得分项</x:v>
      </x:c>
      <x:c r="I1236" s="56" t="str">
        <x:v>否</x:v>
      </x:c>
      <x:c r="J1236" s="56" t="str">
        <x:v>否</x:v>
      </x:c>
      <x:c r="K1236" s="56" t="str">
        <x:v>否</x:v>
      </x:c>
      <x:c r="L1236" s="56" t="str">
        <x:v>按结构化事件证据给予0/部分/满分；不能由总结反推已完成</x:v>
      </x:c>
      <x:c r="M1236" s="56" t="str"/>
      <x:c r="N1236" s="56" t="n">
        <x:f>SUMIFS($G$4:$G$1673,$A$4:$A$1673,A1236)</x:f>
        <x:v>360</x:v>
      </x:c>
      <x:c r="O1236" s="56" t="str">
        <x:f>IF(N1236=360,"通过","失败")</x:f>
        <x:v>通过</x:v>
      </x:c>
      <x:c r="P1236" s="56" t="str"/>
      <x:c r="Q1236" s="59" t="str">
        <x:v>待确认</x:v>
      </x:c>
    </x:row>
    <x:row r="1237">
      <x:c r="A1237" s="56" t="str">
        <x:v>P031</x:v>
      </x:c>
      <x:c r="B1237" s="56" t="str">
        <x:v>HX-ADD-019</x:v>
      </x:c>
      <x:c r="C1237" s="56" t="str">
        <x:v>mdt</x:v>
      </x:c>
      <x:c r="D1237" s="56" t="n">
        <x:v>45</x:v>
      </x:c>
      <x:c r="E1237" s="56" t="str">
        <x:v>mdt.trigger</x:v>
      </x:c>
      <x:c r="F1237" s="56" t="str">
        <x:v>trigger</x:v>
      </x:c>
      <x:c r="G1237" s="56" t="n">
        <x:v>11</x:v>
      </x:c>
      <x:c r="H1237" s="56" t="str">
        <x:v>病例特异得分项</x:v>
      </x:c>
      <x:c r="I1237" s="56" t="str">
        <x:v>否</x:v>
      </x:c>
      <x:c r="J1237" s="56" t="str">
        <x:v>否</x:v>
      </x:c>
      <x:c r="K1237" s="56" t="str">
        <x:v>否</x:v>
      </x:c>
      <x:c r="L1237" s="56" t="str">
        <x:v>按结构化事件证据给予0/部分/满分；不能由总结反推已完成</x:v>
      </x:c>
      <x:c r="M1237" s="56" t="str"/>
      <x:c r="N1237" s="56" t="n">
        <x:f>SUMIFS($G$4:$G$1673,$A$4:$A$1673,A1237)</x:f>
        <x:v>360</x:v>
      </x:c>
      <x:c r="O1237" s="56" t="str">
        <x:f>IF(N1237=360,"通过","失败")</x:f>
        <x:v>通过</x:v>
      </x:c>
      <x:c r="P1237" s="56" t="str"/>
      <x:c r="Q1237" s="59" t="str">
        <x:v>待确认</x:v>
      </x:c>
    </x:row>
    <x:row r="1238">
      <x:c r="A1238" s="56" t="str">
        <x:v>P031</x:v>
      </x:c>
      <x:c r="B1238" s="56" t="str">
        <x:v>HX-ADD-019</x:v>
      </x:c>
      <x:c r="C1238" s="56" t="str">
        <x:v>mdt</x:v>
      </x:c>
      <x:c r="D1238" s="56" t="n">
        <x:v>45</x:v>
      </x:c>
      <x:c r="E1238" s="56" t="str">
        <x:v>mdt.question</x:v>
      </x:c>
      <x:c r="F1238" s="56" t="str">
        <x:v>question</x:v>
      </x:c>
      <x:c r="G1238" s="56" t="n">
        <x:v>11</x:v>
      </x:c>
      <x:c r="H1238" s="56" t="str">
        <x:v>病例特异得分项</x:v>
      </x:c>
      <x:c r="I1238" s="56" t="str">
        <x:v>否</x:v>
      </x:c>
      <x:c r="J1238" s="56" t="str">
        <x:v>否</x:v>
      </x:c>
      <x:c r="K1238" s="56" t="str">
        <x:v>否</x:v>
      </x:c>
      <x:c r="L1238" s="56" t="str">
        <x:v>按结构化事件证据给予0/部分/满分；不能由总结反推已完成</x:v>
      </x:c>
      <x:c r="M1238" s="56" t="str"/>
      <x:c r="N1238" s="56" t="n">
        <x:f>SUMIFS($G$4:$G$1673,$A$4:$A$1673,A1238)</x:f>
        <x:v>360</x:v>
      </x:c>
      <x:c r="O1238" s="56" t="str">
        <x:f>IF(N1238=360,"通过","失败")</x:f>
        <x:v>通过</x:v>
      </x:c>
      <x:c r="P1238" s="56" t="str"/>
      <x:c r="Q1238" s="59" t="str">
        <x:v>待确认</x:v>
      </x:c>
    </x:row>
    <x:row r="1239">
      <x:c r="A1239" s="56" t="str">
        <x:v>P031</x:v>
      </x:c>
      <x:c r="B1239" s="56" t="str">
        <x:v>HX-ADD-019</x:v>
      </x:c>
      <x:c r="C1239" s="56" t="str">
        <x:v>mdt</x:v>
      </x:c>
      <x:c r="D1239" s="56" t="n">
        <x:v>45</x:v>
      </x:c>
      <x:c r="E1239" s="56" t="str">
        <x:v>mdt.evidence</x:v>
      </x:c>
      <x:c r="F1239" s="56" t="str">
        <x:v>evidence</x:v>
      </x:c>
      <x:c r="G1239" s="56" t="n">
        <x:v>11</x:v>
      </x:c>
      <x:c r="H1239" s="56" t="str">
        <x:v>病例特异得分项</x:v>
      </x:c>
      <x:c r="I1239" s="56" t="str">
        <x:v>否</x:v>
      </x:c>
      <x:c r="J1239" s="56" t="str">
        <x:v>否</x:v>
      </x:c>
      <x:c r="K1239" s="56" t="str">
        <x:v>否</x:v>
      </x:c>
      <x:c r="L1239" s="56" t="str">
        <x:v>按结构化事件证据给予0/部分/满分；不能由总结反推已完成</x:v>
      </x:c>
      <x:c r="M1239" s="56" t="str"/>
      <x:c r="N1239" s="56" t="n">
        <x:f>SUMIFS($G$4:$G$1673,$A$4:$A$1673,A1239)</x:f>
        <x:v>360</x:v>
      </x:c>
      <x:c r="O1239" s="56" t="str">
        <x:f>IF(N1239=360,"通过","失败")</x:f>
        <x:v>通过</x:v>
      </x:c>
      <x:c r="P1239" s="56" t="str"/>
      <x:c r="Q1239" s="59" t="str">
        <x:v>待确认</x:v>
      </x:c>
    </x:row>
    <x:row r="1240">
      <x:c r="A1240" s="56" t="str">
        <x:v>P031</x:v>
      </x:c>
      <x:c r="B1240" s="56" t="str">
        <x:v>HX-ADD-019</x:v>
      </x:c>
      <x:c r="C1240" s="56" t="str">
        <x:v>treatment</x:v>
      </x:c>
      <x:c r="D1240" s="56" t="n">
        <x:v>50</x:v>
      </x:c>
      <x:c r="E1240" s="56" t="str">
        <x:v>treatment.immediate</x:v>
      </x:c>
      <x:c r="F1240" s="56" t="str">
        <x:v>immediate</x:v>
      </x:c>
      <x:c r="G1240" s="56" t="n">
        <x:v>13</x:v>
      </x:c>
      <x:c r="H1240" s="56" t="str">
        <x:v>病例特异得分项</x:v>
      </x:c>
      <x:c r="I1240" s="56" t="str">
        <x:v>否</x:v>
      </x:c>
      <x:c r="J1240" s="56" t="str">
        <x:v>否</x:v>
      </x:c>
      <x:c r="K1240" s="56" t="str">
        <x:v>否</x:v>
      </x:c>
      <x:c r="L1240" s="56" t="str">
        <x:v>按结构化事件证据给予0/部分/满分；不能由总结反推已完成</x:v>
      </x:c>
      <x:c r="M1240" s="56" t="str"/>
      <x:c r="N1240" s="56" t="n">
        <x:f>SUMIFS($G$4:$G$1673,$A$4:$A$1673,A1240)</x:f>
        <x:v>360</x:v>
      </x:c>
      <x:c r="O1240" s="56" t="str">
        <x:f>IF(N1240=360,"通过","失败")</x:f>
        <x:v>通过</x:v>
      </x:c>
      <x:c r="P1240" s="56" t="str"/>
      <x:c r="Q1240" s="59" t="str">
        <x:v>待确认</x:v>
      </x:c>
    </x:row>
    <x:row r="1241">
      <x:c r="A1241" s="56" t="str">
        <x:v>P031</x:v>
      </x:c>
      <x:c r="B1241" s="56" t="str">
        <x:v>HX-ADD-019</x:v>
      </x:c>
      <x:c r="C1241" s="56" t="str">
        <x:v>treatment</x:v>
      </x:c>
      <x:c r="D1241" s="56" t="n">
        <x:v>50</x:v>
      </x:c>
      <x:c r="E1241" s="56" t="str">
        <x:v>treatment.etiologic</x:v>
      </x:c>
      <x:c r="F1241" s="56" t="str">
        <x:v>etiologic</x:v>
      </x:c>
      <x:c r="G1241" s="56" t="n">
        <x:v>13</x:v>
      </x:c>
      <x:c r="H1241" s="56" t="str">
        <x:v>病例特异得分项</x:v>
      </x:c>
      <x:c r="I1241" s="56" t="str">
        <x:v>否</x:v>
      </x:c>
      <x:c r="J1241" s="56" t="str">
        <x:v>否</x:v>
      </x:c>
      <x:c r="K1241" s="56" t="str">
        <x:v>否</x:v>
      </x:c>
      <x:c r="L1241" s="56" t="str">
        <x:v>按结构化事件证据给予0/部分/满分；不能由总结反推已完成</x:v>
      </x:c>
      <x:c r="M1241" s="56" t="str"/>
      <x:c r="N1241" s="56" t="n">
        <x:f>SUMIFS($G$4:$G$1673,$A$4:$A$1673,A1241)</x:f>
        <x:v>360</x:v>
      </x:c>
      <x:c r="O1241" s="56" t="str">
        <x:f>IF(N1241=360,"通过","失败")</x:f>
        <x:v>通过</x:v>
      </x:c>
      <x:c r="P1241" s="56" t="str"/>
      <x:c r="Q1241" s="59" t="str">
        <x:v>待确认</x:v>
      </x:c>
    </x:row>
    <x:row r="1242">
      <x:c r="A1242" s="56" t="str">
        <x:v>P031</x:v>
      </x:c>
      <x:c r="B1242" s="56" t="str">
        <x:v>HX-ADD-019</x:v>
      </x:c>
      <x:c r="C1242" s="56" t="str">
        <x:v>treatment</x:v>
      </x:c>
      <x:c r="D1242" s="56" t="n">
        <x:v>50</x:v>
      </x:c>
      <x:c r="E1242" s="56" t="str">
        <x:v>treatment.definitive</x:v>
      </x:c>
      <x:c r="F1242" s="56" t="str">
        <x:v>definitive</x:v>
      </x:c>
      <x:c r="G1242" s="56" t="n">
        <x:v>12</x:v>
      </x:c>
      <x:c r="H1242" s="56" t="str">
        <x:v>病例特异得分项</x:v>
      </x:c>
      <x:c r="I1242" s="56" t="str">
        <x:v>否</x:v>
      </x:c>
      <x:c r="J1242" s="56" t="str">
        <x:v>否</x:v>
      </x:c>
      <x:c r="K1242" s="56" t="str">
        <x:v>否</x:v>
      </x:c>
      <x:c r="L1242" s="56" t="str">
        <x:v>按结构化事件证据给予0/部分/满分；不能由总结反推已完成</x:v>
      </x:c>
      <x:c r="M1242" s="56" t="str"/>
      <x:c r="N1242" s="56" t="n">
        <x:f>SUMIFS($G$4:$G$1673,$A$4:$A$1673,A1242)</x:f>
        <x:v>360</x:v>
      </x:c>
      <x:c r="O1242" s="56" t="str">
        <x:f>IF(N1242=360,"通过","失败")</x:f>
        <x:v>通过</x:v>
      </x:c>
      <x:c r="P1242" s="56" t="str"/>
      <x:c r="Q1242" s="59" t="str">
        <x:v>待确认</x:v>
      </x:c>
    </x:row>
    <x:row r="1243">
      <x:c r="A1243" s="56" t="str">
        <x:v>P031</x:v>
      </x:c>
      <x:c r="B1243" s="56" t="str">
        <x:v>HX-ADD-019</x:v>
      </x:c>
      <x:c r="C1243" s="56" t="str">
        <x:v>treatment</x:v>
      </x:c>
      <x:c r="D1243" s="56" t="n">
        <x:v>50</x:v>
      </x:c>
      <x:c r="E1243" s="56" t="str">
        <x:v>treatment.perioperative</x:v>
      </x:c>
      <x:c r="F1243" s="56" t="str">
        <x:v>perioperative</x:v>
      </x:c>
      <x:c r="G1243" s="56" t="n">
        <x:v>12</x:v>
      </x:c>
      <x:c r="H1243" s="56" t="str">
        <x:v>病例特异得分项</x:v>
      </x:c>
      <x:c r="I1243" s="56" t="str">
        <x:v>否</x:v>
      </x:c>
      <x:c r="J1243" s="56" t="str">
        <x:v>否</x:v>
      </x:c>
      <x:c r="K1243" s="56" t="str">
        <x:v>否</x:v>
      </x:c>
      <x:c r="L1243" s="56" t="str">
        <x:v>按结构化事件证据给予0/部分/满分；不能由总结反推已完成</x:v>
      </x:c>
      <x:c r="M1243" s="56" t="str"/>
      <x:c r="N1243" s="56" t="n">
        <x:f>SUMIFS($G$4:$G$1673,$A$4:$A$1673,A1243)</x:f>
        <x:v>360</x:v>
      </x:c>
      <x:c r="O1243" s="56" t="str">
        <x:f>IF(N1243=360,"通过","失败")</x:f>
        <x:v>通过</x:v>
      </x:c>
      <x:c r="P1243" s="56" t="str"/>
      <x:c r="Q1243" s="59" t="str">
        <x:v>待确认</x:v>
      </x:c>
    </x:row>
    <x:row r="1244">
      <x:c r="A1244" s="56" t="str">
        <x:v>P031</x:v>
      </x:c>
      <x:c r="B1244" s="56" t="str">
        <x:v>HX-ADD-019</x:v>
      </x:c>
      <x:c r="C1244" s="56" t="str">
        <x:v>followup</x:v>
      </x:c>
      <x:c r="D1244" s="56" t="n">
        <x:v>40</x:v>
      </x:c>
      <x:c r="E1244" s="56" t="str">
        <x:v>followup.plan</x:v>
      </x:c>
      <x:c r="F1244" s="56" t="str">
        <x:v>随访复查</x:v>
      </x:c>
      <x:c r="G1244" s="56" t="n">
        <x:v>10</x:v>
      </x:c>
      <x:c r="H1244" s="56" t="str">
        <x:v>普通得分项</x:v>
      </x:c>
      <x:c r="I1244" s="56" t="str">
        <x:v>否</x:v>
      </x:c>
      <x:c r="J1244" s="56" t="str">
        <x:v>否</x:v>
      </x:c>
      <x:c r="K1244" s="56" t="str">
        <x:v>否</x:v>
      </x:c>
      <x:c r="L1244" s="56" t="str">
        <x:v>按结构化事件证据给予0/部分/满分；不能由总结反推已完成</x:v>
      </x:c>
      <x:c r="M1244" s="56" t="str"/>
      <x:c r="N1244" s="56" t="n">
        <x:f>SUMIFS($G$4:$G$1673,$A$4:$A$1673,A1244)</x:f>
        <x:v>360</x:v>
      </x:c>
      <x:c r="O1244" s="56" t="str">
        <x:f>IF(N1244=360,"通过","失败")</x:f>
        <x:v>通过</x:v>
      </x:c>
      <x:c r="P1244" s="56" t="str"/>
      <x:c r="Q1244" s="59" t="str">
        <x:v>待确认</x:v>
      </x:c>
    </x:row>
    <x:row r="1245">
      <x:c r="A1245" s="56" t="str">
        <x:v>P031</x:v>
      </x:c>
      <x:c r="B1245" s="56" t="str">
        <x:v>HX-ADD-019</x:v>
      </x:c>
      <x:c r="C1245" s="56" t="str">
        <x:v>followup</x:v>
      </x:c>
      <x:c r="D1245" s="56" t="n">
        <x:v>40</x:v>
      </x:c>
      <x:c r="E1245" s="56" t="str">
        <x:v>followup.education</x:v>
      </x:c>
      <x:c r="F1245" s="56" t="str">
        <x:v>患者教育</x:v>
      </x:c>
      <x:c r="G1245" s="56" t="n">
        <x:v>10</x:v>
      </x:c>
      <x:c r="H1245" s="56" t="str">
        <x:v>普通得分项</x:v>
      </x:c>
      <x:c r="I1245" s="56" t="str">
        <x:v>否</x:v>
      </x:c>
      <x:c r="J1245" s="56" t="str">
        <x:v>否</x:v>
      </x:c>
      <x:c r="K1245" s="56" t="str">
        <x:v>否</x:v>
      </x:c>
      <x:c r="L1245" s="56" t="str">
        <x:v>按结构化事件证据给予0/部分/满分；不能由总结反推已完成</x:v>
      </x:c>
      <x:c r="M1245" s="56" t="str"/>
      <x:c r="N1245" s="56" t="n">
        <x:f>SUMIFS($G$4:$G$1673,$A$4:$A$1673,A1245)</x:f>
        <x:v>360</x:v>
      </x:c>
      <x:c r="O1245" s="56" t="str">
        <x:f>IF(N1245=360,"通过","失败")</x:f>
        <x:v>通过</x:v>
      </x:c>
      <x:c r="P1245" s="56" t="str"/>
      <x:c r="Q1245" s="59" t="str">
        <x:v>待确认</x:v>
      </x:c>
    </x:row>
    <x:row r="1246">
      <x:c r="A1246" s="56" t="str">
        <x:v>P031</x:v>
      </x:c>
      <x:c r="B1246" s="56" t="str">
        <x:v>HX-ADD-019</x:v>
      </x:c>
      <x:c r="C1246" s="56" t="str">
        <x:v>followup</x:v>
      </x:c>
      <x:c r="D1246" s="56" t="n">
        <x:v>40</x:v>
      </x:c>
      <x:c r="E1246" s="56" t="str">
        <x:v>followup.reflection</x:v>
      </x:c>
      <x:c r="F1246" s="56" t="str">
        <x:v>学习反思质量</x:v>
      </x:c>
      <x:c r="G1246" s="56" t="n">
        <x:v>10</x:v>
      </x:c>
      <x:c r="H1246" s="56" t="str">
        <x:v>普通得分项</x:v>
      </x:c>
      <x:c r="I1246" s="56" t="str">
        <x:v>否</x:v>
      </x:c>
      <x:c r="J1246" s="56" t="str">
        <x:v>否</x:v>
      </x:c>
      <x:c r="K1246" s="56" t="str">
        <x:v>否</x:v>
      </x:c>
      <x:c r="L1246" s="56" t="str">
        <x:v>按结构化事件证据给予0/部分/满分；不能由总结反推已完成</x:v>
      </x:c>
      <x:c r="M1246" s="56" t="str"/>
      <x:c r="N1246" s="56" t="n">
        <x:f>SUMIFS($G$4:$G$1673,$A$4:$A$1673,A1246)</x:f>
        <x:v>360</x:v>
      </x:c>
      <x:c r="O1246" s="56" t="str">
        <x:f>IF(N1246=360,"通过","失败")</x:f>
        <x:v>通过</x:v>
      </x:c>
      <x:c r="P1246" s="56" t="str"/>
      <x:c r="Q1246" s="59" t="str">
        <x:v>待确认</x:v>
      </x:c>
    </x:row>
    <x:row r="1247">
      <x:c r="A1247" s="56" t="str">
        <x:v>P031</x:v>
      </x:c>
      <x:c r="B1247" s="56" t="str">
        <x:v>HX-ADD-019</x:v>
      </x:c>
      <x:c r="C1247" s="56" t="str">
        <x:v>followup</x:v>
      </x:c>
      <x:c r="D1247" s="56" t="n">
        <x:v>40</x:v>
      </x:c>
      <x:c r="E1247" s="56" t="str">
        <x:v>followup.efficiency</x:v>
      </x:c>
      <x:c r="F1247" s="56" t="str">
        <x:v>操作效率</x:v>
      </x:c>
      <x:c r="G1247" s="56" t="n">
        <x:v>10</x:v>
      </x:c>
      <x:c r="H1247" s="56" t="str">
        <x:v>普通得分项</x:v>
      </x:c>
      <x:c r="I1247" s="56" t="str">
        <x:v>否</x:v>
      </x:c>
      <x:c r="J1247" s="56" t="str">
        <x:v>否</x:v>
      </x:c>
      <x:c r="K1247" s="56" t="str">
        <x:v>否</x:v>
      </x:c>
      <x:c r="L1247" s="56" t="str">
        <x:v>按结构化事件证据给予0/部分/满分；不能由总结反推已完成</x:v>
      </x:c>
      <x:c r="M1247" s="56" t="str"/>
      <x:c r="N1247" s="56" t="n">
        <x:f>SUMIFS($G$4:$G$1673,$A$4:$A$1673,A1247)</x:f>
        <x:v>360</x:v>
      </x:c>
      <x:c r="O1247" s="56" t="str">
        <x:f>IF(N1247=360,"通过","失败")</x:f>
        <x:v>通过</x:v>
      </x:c>
      <x:c r="P1247" s="56" t="str"/>
      <x:c r="Q1247" s="59" t="str">
        <x:v>待确认</x:v>
      </x:c>
    </x:row>
    <x:row r="1248">
      <x:c r="A1248" s="56" t="str">
        <x:v>P032</x:v>
      </x:c>
      <x:c r="B1248" s="56" t="str">
        <x:v>HX-ADD-020</x:v>
      </x:c>
      <x:c r="C1248" s="56" t="str">
        <x:v>history</x:v>
      </x:c>
      <x:c r="D1248" s="56" t="n">
        <x:v>50</x:v>
      </x:c>
      <x:c r="E1248" s="56" t="str">
        <x:v>history.hematuria_visibility</x:v>
      </x:c>
      <x:c r="F1248" s="56" t="str">
        <x:v>hematuria_visibility</x:v>
      </x:c>
      <x:c r="G1248" s="56" t="n">
        <x:v>5</x:v>
      </x:c>
      <x:c r="H1248" s="56" t="str">
        <x:v>普通得分项</x:v>
      </x:c>
      <x:c r="I1248" s="56" t="str">
        <x:v>否</x:v>
      </x:c>
      <x:c r="J1248" s="56" t="str">
        <x:v>否</x:v>
      </x:c>
      <x:c r="K1248" s="56" t="str">
        <x:v>否</x:v>
      </x:c>
      <x:c r="L1248" s="56" t="str">
        <x:v>按结构化事件证据给予0/部分/满分；不能由总结反推已完成</x:v>
      </x:c>
      <x:c r="M1248" s="56" t="str"/>
      <x:c r="N1248" s="56" t="n">
        <x:f>SUMIFS($G$4:$G$1673,$A$4:$A$1673,A1248)</x:f>
        <x:v>360</x:v>
      </x:c>
      <x:c r="O1248" s="56" t="str">
        <x:f>IF(N1248=360,"通过","失败")</x:f>
        <x:v>通过</x:v>
      </x:c>
      <x:c r="P1248" s="56" t="str"/>
      <x:c r="Q1248" s="59" t="str">
        <x:v>待确认</x:v>
      </x:c>
    </x:row>
    <x:row r="1249">
      <x:c r="A1249" s="56" t="str">
        <x:v>P032</x:v>
      </x:c>
      <x:c r="B1249" s="56" t="str">
        <x:v>HX-ADD-020</x:v>
      </x:c>
      <x:c r="C1249" s="56" t="str">
        <x:v>history</x:v>
      </x:c>
      <x:c r="D1249" s="56" t="n">
        <x:v>50</x:v>
      </x:c>
      <x:c r="E1249" s="56" t="str">
        <x:v>history.hematuria_onset</x:v>
      </x:c>
      <x:c r="F1249" s="56" t="str">
        <x:v>hematuria_onset</x:v>
      </x:c>
      <x:c r="G1249" s="56" t="n">
        <x:v>5</x:v>
      </x:c>
      <x:c r="H1249" s="56" t="str">
        <x:v>普通得分项</x:v>
      </x:c>
      <x:c r="I1249" s="56" t="str">
        <x:v>否</x:v>
      </x:c>
      <x:c r="J1249" s="56" t="str">
        <x:v>否</x:v>
      </x:c>
      <x:c r="K1249" s="56" t="str">
        <x:v>否</x:v>
      </x:c>
      <x:c r="L1249" s="56" t="str">
        <x:v>按结构化事件证据给予0/部分/满分；不能由总结反推已完成</x:v>
      </x:c>
      <x:c r="M1249" s="56" t="str"/>
      <x:c r="N1249" s="56" t="n">
        <x:f>SUMIFS($G$4:$G$1673,$A$4:$A$1673,A1249)</x:f>
        <x:v>360</x:v>
      </x:c>
      <x:c r="O1249" s="56" t="str">
        <x:f>IF(N1249=360,"通过","失败")</x:f>
        <x:v>通过</x:v>
      </x:c>
      <x:c r="P1249" s="56" t="str"/>
      <x:c r="Q1249" s="59" t="str">
        <x:v>待确认</x:v>
      </x:c>
    </x:row>
    <x:row r="1250">
      <x:c r="A1250" s="56" t="str">
        <x:v>P032</x:v>
      </x:c>
      <x:c r="B1250" s="56" t="str">
        <x:v>HX-ADD-020</x:v>
      </x:c>
      <x:c r="C1250" s="56" t="str">
        <x:v>history</x:v>
      </x:c>
      <x:c r="D1250" s="56" t="n">
        <x:v>50</x:v>
      </x:c>
      <x:c r="E1250" s="56" t="str">
        <x:v>history.hematuria_frequency</x:v>
      </x:c>
      <x:c r="F1250" s="56" t="str">
        <x:v>hematuria_frequency</x:v>
      </x:c>
      <x:c r="G1250" s="56" t="n">
        <x:v>4</x:v>
      </x:c>
      <x:c r="H1250" s="56" t="str">
        <x:v>普通得分项</x:v>
      </x:c>
      <x:c r="I1250" s="56" t="str">
        <x:v>否</x:v>
      </x:c>
      <x:c r="J1250" s="56" t="str">
        <x:v>否</x:v>
      </x:c>
      <x:c r="K1250" s="56" t="str">
        <x:v>否</x:v>
      </x:c>
      <x:c r="L1250" s="56" t="str">
        <x:v>按结构化事件证据给予0/部分/满分；不能由总结反推已完成</x:v>
      </x:c>
      <x:c r="M1250" s="56" t="str"/>
      <x:c r="N1250" s="56" t="n">
        <x:f>SUMIFS($G$4:$G$1673,$A$4:$A$1673,A1250)</x:f>
        <x:v>360</x:v>
      </x:c>
      <x:c r="O1250" s="56" t="str">
        <x:f>IF(N1250=360,"通过","失败")</x:f>
        <x:v>通过</x:v>
      </x:c>
      <x:c r="P1250" s="56" t="str"/>
      <x:c r="Q1250" s="59" t="str">
        <x:v>待确认</x:v>
      </x:c>
    </x:row>
    <x:row r="1251">
      <x:c r="A1251" s="56" t="str">
        <x:v>P032</x:v>
      </x:c>
      <x:c r="B1251" s="56" t="str">
        <x:v>HX-ADD-020</x:v>
      </x:c>
      <x:c r="C1251" s="56" t="str">
        <x:v>history</x:v>
      </x:c>
      <x:c r="D1251" s="56" t="n">
        <x:v>50</x:v>
      </x:c>
      <x:c r="E1251" s="56" t="str">
        <x:v>history.hematuria_phase</x:v>
      </x:c>
      <x:c r="F1251" s="56" t="str">
        <x:v>hematuria_phase</x:v>
      </x:c>
      <x:c r="G1251" s="56" t="n">
        <x:v>4</x:v>
      </x:c>
      <x:c r="H1251" s="56" t="str">
        <x:v>普通得分项</x:v>
      </x:c>
      <x:c r="I1251" s="56" t="str">
        <x:v>否</x:v>
      </x:c>
      <x:c r="J1251" s="56" t="str">
        <x:v>否</x:v>
      </x:c>
      <x:c r="K1251" s="56" t="str">
        <x:v>否</x:v>
      </x:c>
      <x:c r="L1251" s="56" t="str">
        <x:v>按结构化事件证据给予0/部分/满分；不能由总结反推已完成</x:v>
      </x:c>
      <x:c r="M1251" s="56" t="str"/>
      <x:c r="N1251" s="56" t="n">
        <x:f>SUMIFS($G$4:$G$1673,$A$4:$A$1673,A1251)</x:f>
        <x:v>360</x:v>
      </x:c>
      <x:c r="O1251" s="56" t="str">
        <x:f>IF(N1251=360,"通过","失败")</x:f>
        <x:v>通过</x:v>
      </x:c>
      <x:c r="P1251" s="56" t="str"/>
      <x:c r="Q1251" s="59" t="str">
        <x:v>待确认</x:v>
      </x:c>
    </x:row>
    <x:row r="1252">
      <x:c r="A1252" s="56" t="str">
        <x:v>P032</x:v>
      </x:c>
      <x:c r="B1252" s="56" t="str">
        <x:v>HX-ADD-020</x:v>
      </x:c>
      <x:c r="C1252" s="56" t="str">
        <x:v>history</x:v>
      </x:c>
      <x:c r="D1252" s="56" t="n">
        <x:v>50</x:v>
      </x:c>
      <x:c r="E1252" s="56" t="str">
        <x:v>history.urine_color</x:v>
      </x:c>
      <x:c r="F1252" s="56" t="str">
        <x:v>urine_color</x:v>
      </x:c>
      <x:c r="G1252" s="56" t="n">
        <x:v>4</x:v>
      </x:c>
      <x:c r="H1252" s="56" t="str">
        <x:v>普通得分项</x:v>
      </x:c>
      <x:c r="I1252" s="56" t="str">
        <x:v>否</x:v>
      </x:c>
      <x:c r="J1252" s="56" t="str">
        <x:v>否</x:v>
      </x:c>
      <x:c r="K1252" s="56" t="str">
        <x:v>否</x:v>
      </x:c>
      <x:c r="L1252" s="56" t="str">
        <x:v>按结构化事件证据给予0/部分/满分；不能由总结反推已完成</x:v>
      </x:c>
      <x:c r="M1252" s="56" t="str"/>
      <x:c r="N1252" s="56" t="n">
        <x:f>SUMIFS($G$4:$G$1673,$A$4:$A$1673,A1252)</x:f>
        <x:v>360</x:v>
      </x:c>
      <x:c r="O1252" s="56" t="str">
        <x:f>IF(N1252=360,"通过","失败")</x:f>
        <x:v>通过</x:v>
      </x:c>
      <x:c r="P1252" s="56" t="str"/>
      <x:c r="Q1252" s="59" t="str">
        <x:v>待确认</x:v>
      </x:c>
    </x:row>
    <x:row r="1253">
      <x:c r="A1253" s="56" t="str">
        <x:v>P032</x:v>
      </x:c>
      <x:c r="B1253" s="56" t="str">
        <x:v>HX-ADD-020</x:v>
      </x:c>
      <x:c r="C1253" s="56" t="str">
        <x:v>history</x:v>
      </x:c>
      <x:c r="D1253" s="56" t="n">
        <x:v>50</x:v>
      </x:c>
      <x:c r="E1253" s="56" t="str">
        <x:v>history.clots</x:v>
      </x:c>
      <x:c r="F1253" s="56" t="str">
        <x:v>clots</x:v>
      </x:c>
      <x:c r="G1253" s="56" t="n">
        <x:v>4</x:v>
      </x:c>
      <x:c r="H1253" s="56" t="str">
        <x:v>普通得分项</x:v>
      </x:c>
      <x:c r="I1253" s="56" t="str">
        <x:v>否</x:v>
      </x:c>
      <x:c r="J1253" s="56" t="str">
        <x:v>否</x:v>
      </x:c>
      <x:c r="K1253" s="56" t="str">
        <x:v>否</x:v>
      </x:c>
      <x:c r="L1253" s="56" t="str">
        <x:v>按结构化事件证据给予0/部分/满分；不能由总结反推已完成</x:v>
      </x:c>
      <x:c r="M1253" s="56" t="str"/>
      <x:c r="N1253" s="56" t="n">
        <x:f>SUMIFS($G$4:$G$1673,$A$4:$A$1673,A1253)</x:f>
        <x:v>360</x:v>
      </x:c>
      <x:c r="O1253" s="56" t="str">
        <x:f>IF(N1253=360,"通过","失败")</x:f>
        <x:v>通过</x:v>
      </x:c>
      <x:c r="P1253" s="56" t="str"/>
      <x:c r="Q1253" s="59" t="str">
        <x:v>待确认</x:v>
      </x:c>
    </x:row>
    <x:row r="1254">
      <x:c r="A1254" s="56" t="str">
        <x:v>P032</x:v>
      </x:c>
      <x:c r="B1254" s="56" t="str">
        <x:v>HX-ADD-020</x:v>
      </x:c>
      <x:c r="C1254" s="56" t="str">
        <x:v>history</x:v>
      </x:c>
      <x:c r="D1254" s="56" t="n">
        <x:v>50</x:v>
      </x:c>
      <x:c r="E1254" s="56" t="str">
        <x:v>history.pain</x:v>
      </x:c>
      <x:c r="F1254" s="56" t="str">
        <x:v>pain</x:v>
      </x:c>
      <x:c r="G1254" s="56" t="n">
        <x:v>4</x:v>
      </x:c>
      <x:c r="H1254" s="56" t="str">
        <x:v>普通得分项</x:v>
      </x:c>
      <x:c r="I1254" s="56" t="str">
        <x:v>否</x:v>
      </x:c>
      <x:c r="J1254" s="56" t="str">
        <x:v>否</x:v>
      </x:c>
      <x:c r="K1254" s="56" t="str">
        <x:v>否</x:v>
      </x:c>
      <x:c r="L1254" s="56" t="str">
        <x:v>按结构化事件证据给予0/部分/满分；不能由总结反推已完成</x:v>
      </x:c>
      <x:c r="M1254" s="56" t="str"/>
      <x:c r="N1254" s="56" t="n">
        <x:f>SUMIFS($G$4:$G$1673,$A$4:$A$1673,A1254)</x:f>
        <x:v>360</x:v>
      </x:c>
      <x:c r="O1254" s="56" t="str">
        <x:f>IF(N1254=360,"通过","失败")</x:f>
        <x:v>通过</x:v>
      </x:c>
      <x:c r="P1254" s="56" t="str"/>
      <x:c r="Q1254" s="59" t="str">
        <x:v>待确认</x:v>
      </x:c>
    </x:row>
    <x:row r="1255">
      <x:c r="A1255" s="56" t="str">
        <x:v>P032</x:v>
      </x:c>
      <x:c r="B1255" s="56" t="str">
        <x:v>HX-ADD-020</x:v>
      </x:c>
      <x:c r="C1255" s="56" t="str">
        <x:v>history</x:v>
      </x:c>
      <x:c r="D1255" s="56" t="n">
        <x:v>50</x:v>
      </x:c>
      <x:c r="E1255" s="56" t="str">
        <x:v>history.dysuria</x:v>
      </x:c>
      <x:c r="F1255" s="56" t="str">
        <x:v>dysuria</x:v>
      </x:c>
      <x:c r="G1255" s="56" t="n">
        <x:v>4</x:v>
      </x:c>
      <x:c r="H1255" s="56" t="str">
        <x:v>普通得分项</x:v>
      </x:c>
      <x:c r="I1255" s="56" t="str">
        <x:v>否</x:v>
      </x:c>
      <x:c r="J1255" s="56" t="str">
        <x:v>否</x:v>
      </x:c>
      <x:c r="K1255" s="56" t="str">
        <x:v>否</x:v>
      </x:c>
      <x:c r="L1255" s="56" t="str">
        <x:v>按结构化事件证据给予0/部分/满分；不能由总结反推已完成</x:v>
      </x:c>
      <x:c r="M1255" s="56" t="str"/>
      <x:c r="N1255" s="56" t="n">
        <x:f>SUMIFS($G$4:$G$1673,$A$4:$A$1673,A1255)</x:f>
        <x:v>360</x:v>
      </x:c>
      <x:c r="O1255" s="56" t="str">
        <x:f>IF(N1255=360,"通过","失败")</x:f>
        <x:v>通过</x:v>
      </x:c>
      <x:c r="P1255" s="56" t="str"/>
      <x:c r="Q1255" s="59" t="str">
        <x:v>待确认</x:v>
      </x:c>
    </x:row>
    <x:row r="1256">
      <x:c r="A1256" s="56" t="str">
        <x:v>P032</x:v>
      </x:c>
      <x:c r="B1256" s="56" t="str">
        <x:v>HX-ADD-020</x:v>
      </x:c>
      <x:c r="C1256" s="56" t="str">
        <x:v>history</x:v>
      </x:c>
      <x:c r="D1256" s="56" t="n">
        <x:v>50</x:v>
      </x:c>
      <x:c r="E1256" s="56" t="str">
        <x:v>history.urinary_frequency</x:v>
      </x:c>
      <x:c r="F1256" s="56" t="str">
        <x:v>urinary_frequency</x:v>
      </x:c>
      <x:c r="G1256" s="56" t="n">
        <x:v>4</x:v>
      </x:c>
      <x:c r="H1256" s="56" t="str">
        <x:v>普通得分项</x:v>
      </x:c>
      <x:c r="I1256" s="56" t="str">
        <x:v>否</x:v>
      </x:c>
      <x:c r="J1256" s="56" t="str">
        <x:v>否</x:v>
      </x:c>
      <x:c r="K1256" s="56" t="str">
        <x:v>否</x:v>
      </x:c>
      <x:c r="L1256" s="56" t="str">
        <x:v>按结构化事件证据给予0/部分/满分；不能由总结反推已完成</x:v>
      </x:c>
      <x:c r="M1256" s="56" t="str"/>
      <x:c r="N1256" s="56" t="n">
        <x:f>SUMIFS($G$4:$G$1673,$A$4:$A$1673,A1256)</x:f>
        <x:v>360</x:v>
      </x:c>
      <x:c r="O1256" s="56" t="str">
        <x:f>IF(N1256=360,"通过","失败")</x:f>
        <x:v>通过</x:v>
      </x:c>
      <x:c r="P1256" s="56" t="str"/>
      <x:c r="Q1256" s="59" t="str">
        <x:v>待确认</x:v>
      </x:c>
    </x:row>
    <x:row r="1257">
      <x:c r="A1257" s="56" t="str">
        <x:v>P032</x:v>
      </x:c>
      <x:c r="B1257" s="56" t="str">
        <x:v>HX-ADD-020</x:v>
      </x:c>
      <x:c r="C1257" s="56" t="str">
        <x:v>history</x:v>
      </x:c>
      <x:c r="D1257" s="56" t="n">
        <x:v>50</x:v>
      </x:c>
      <x:c r="E1257" s="56" t="str">
        <x:v>history.urinary_urgency</x:v>
      </x:c>
      <x:c r="F1257" s="56" t="str">
        <x:v>urinary_urgency</x:v>
      </x:c>
      <x:c r="G1257" s="56" t="n">
        <x:v>4</x:v>
      </x:c>
      <x:c r="H1257" s="56" t="str">
        <x:v>普通得分项</x:v>
      </x:c>
      <x:c r="I1257" s="56" t="str">
        <x:v>否</x:v>
      </x:c>
      <x:c r="J1257" s="56" t="str">
        <x:v>否</x:v>
      </x:c>
      <x:c r="K1257" s="56" t="str">
        <x:v>否</x:v>
      </x:c>
      <x:c r="L1257" s="56" t="str">
        <x:v>按结构化事件证据给予0/部分/满分；不能由总结反推已完成</x:v>
      </x:c>
      <x:c r="M1257" s="56" t="str"/>
      <x:c r="N1257" s="56" t="n">
        <x:f>SUMIFS($G$4:$G$1673,$A$4:$A$1673,A1257)</x:f>
        <x:v>360</x:v>
      </x:c>
      <x:c r="O1257" s="56" t="str">
        <x:f>IF(N1257=360,"通过","失败")</x:f>
        <x:v>通过</x:v>
      </x:c>
      <x:c r="P1257" s="56" t="str"/>
      <x:c r="Q1257" s="59" t="str">
        <x:v>待确认</x:v>
      </x:c>
    </x:row>
    <x:row r="1258">
      <x:c r="A1258" s="56" t="str">
        <x:v>P032</x:v>
      </x:c>
      <x:c r="B1258" s="56" t="str">
        <x:v>HX-ADD-020</x:v>
      </x:c>
      <x:c r="C1258" s="56" t="str">
        <x:v>history</x:v>
      </x:c>
      <x:c r="D1258" s="56" t="n">
        <x:v>50</x:v>
      </x:c>
      <x:c r="E1258" s="56" t="str">
        <x:v>history.flank_pain</x:v>
      </x:c>
      <x:c r="F1258" s="56" t="str">
        <x:v>flank_pain</x:v>
      </x:c>
      <x:c r="G1258" s="56" t="n">
        <x:v>4</x:v>
      </x:c>
      <x:c r="H1258" s="56" t="str">
        <x:v>普通得分项</x:v>
      </x:c>
      <x:c r="I1258" s="56" t="str">
        <x:v>否</x:v>
      </x:c>
      <x:c r="J1258" s="56" t="str">
        <x:v>否</x:v>
      </x:c>
      <x:c r="K1258" s="56" t="str">
        <x:v>否</x:v>
      </x:c>
      <x:c r="L1258" s="56" t="str">
        <x:v>按结构化事件证据给予0/部分/满分；不能由总结反推已完成</x:v>
      </x:c>
      <x:c r="M1258" s="56" t="str"/>
      <x:c r="N1258" s="56" t="n">
        <x:f>SUMIFS($G$4:$G$1673,$A$4:$A$1673,A1258)</x:f>
        <x:v>360</x:v>
      </x:c>
      <x:c r="O1258" s="56" t="str">
        <x:f>IF(N1258=360,"通过","失败")</x:f>
        <x:v>通过</x:v>
      </x:c>
      <x:c r="P1258" s="56" t="str"/>
      <x:c r="Q1258" s="59" t="str">
        <x:v>待确认</x:v>
      </x:c>
    </x:row>
    <x:row r="1259">
      <x:c r="A1259" s="56" t="str">
        <x:v>P032</x:v>
      </x:c>
      <x:c r="B1259" s="56" t="str">
        <x:v>HX-ADD-020</x:v>
      </x:c>
      <x:c r="C1259" s="56" t="str">
        <x:v>history</x:v>
      </x:c>
      <x:c r="D1259" s="56" t="n">
        <x:v>50</x:v>
      </x:c>
      <x:c r="E1259" s="56" t="str">
        <x:v>history.fever_chills</x:v>
      </x:c>
      <x:c r="F1259" s="56" t="str">
        <x:v>fever_chills</x:v>
      </x:c>
      <x:c r="G1259" s="56" t="n">
        <x:v>4</x:v>
      </x:c>
      <x:c r="H1259" s="56" t="str">
        <x:v>普通得分项</x:v>
      </x:c>
      <x:c r="I1259" s="56" t="str">
        <x:v>否</x:v>
      </x:c>
      <x:c r="J1259" s="56" t="str">
        <x:v>否</x:v>
      </x:c>
      <x:c r="K1259" s="56" t="str">
        <x:v>否</x:v>
      </x:c>
      <x:c r="L1259" s="56" t="str">
        <x:v>按结构化事件证据给予0/部分/满分；不能由总结反推已完成</x:v>
      </x:c>
      <x:c r="M1259" s="56" t="str"/>
      <x:c r="N1259" s="56" t="n">
        <x:f>SUMIFS($G$4:$G$1673,$A$4:$A$1673,A1259)</x:f>
        <x:v>360</x:v>
      </x:c>
      <x:c r="O1259" s="56" t="str">
        <x:f>IF(N1259=360,"通过","失败")</x:f>
        <x:v>通过</x:v>
      </x:c>
      <x:c r="P1259" s="56" t="str"/>
      <x:c r="Q1259" s="59" t="str">
        <x:v>待确认</x:v>
      </x:c>
    </x:row>
    <x:row r="1260">
      <x:c r="A1260" s="56" t="str">
        <x:v>P032</x:v>
      </x:c>
      <x:c r="B1260" s="56" t="str">
        <x:v>HX-ADD-020</x:v>
      </x:c>
      <x:c r="C1260" s="56" t="str">
        <x:v>risk</x:v>
      </x:c>
      <x:c r="D1260" s="56" t="n">
        <x:v>40</x:v>
      </x:c>
      <x:c r="E1260" s="56" t="str">
        <x:v>risk.glomerular_features</x:v>
      </x:c>
      <x:c r="F1260" s="56" t="str">
        <x:v>glomerular_features</x:v>
      </x:c>
      <x:c r="G1260" s="56" t="n">
        <x:v>10</x:v>
      </x:c>
      <x:c r="H1260" s="56" t="str">
        <x:v>普通得分项</x:v>
      </x:c>
      <x:c r="I1260" s="56" t="str">
        <x:v>否</x:v>
      </x:c>
      <x:c r="J1260" s="56" t="str">
        <x:v>否</x:v>
      </x:c>
      <x:c r="K1260" s="56" t="str">
        <x:v>否</x:v>
      </x:c>
      <x:c r="L1260" s="56" t="str">
        <x:v>按结构化事件证据给予0/部分/满分；不能由总结反推已完成</x:v>
      </x:c>
      <x:c r="M1260" s="56" t="str"/>
      <x:c r="N1260" s="56" t="n">
        <x:f>SUMIFS($G$4:$G$1673,$A$4:$A$1673,A1260)</x:f>
        <x:v>360</x:v>
      </x:c>
      <x:c r="O1260" s="56" t="str">
        <x:f>IF(N1260=360,"通过","失败")</x:f>
        <x:v>通过</x:v>
      </x:c>
      <x:c r="P1260" s="56" t="str"/>
      <x:c r="Q1260" s="59" t="str">
        <x:v>待确认</x:v>
      </x:c>
    </x:row>
    <x:row r="1261">
      <x:c r="A1261" s="56" t="str">
        <x:v>P032</x:v>
      </x:c>
      <x:c r="B1261" s="56" t="str">
        <x:v>HX-ADD-020</x:v>
      </x:c>
      <x:c r="C1261" s="56" t="str">
        <x:v>risk</x:v>
      </x:c>
      <x:c r="D1261" s="56" t="n">
        <x:v>40</x:v>
      </x:c>
      <x:c r="E1261" s="56" t="str">
        <x:v>risk.recent_uri</x:v>
      </x:c>
      <x:c r="F1261" s="56" t="str">
        <x:v>recent_uri</x:v>
      </x:c>
      <x:c r="G1261" s="56" t="n">
        <x:v>10</x:v>
      </x:c>
      <x:c r="H1261" s="56" t="str">
        <x:v>普通得分项</x:v>
      </x:c>
      <x:c r="I1261" s="56" t="str">
        <x:v>否</x:v>
      </x:c>
      <x:c r="J1261" s="56" t="str">
        <x:v>否</x:v>
      </x:c>
      <x:c r="K1261" s="56" t="str">
        <x:v>否</x:v>
      </x:c>
      <x:c r="L1261" s="56" t="str">
        <x:v>按结构化事件证据给予0/部分/满分；不能由总结反推已完成</x:v>
      </x:c>
      <x:c r="M1261" s="56" t="str"/>
      <x:c r="N1261" s="56" t="n">
        <x:f>SUMIFS($G$4:$G$1673,$A$4:$A$1673,A1261)</x:f>
        <x:v>360</x:v>
      </x:c>
      <x:c r="O1261" s="56" t="str">
        <x:f>IF(N1261=360,"通过","失败")</x:f>
        <x:v>通过</x:v>
      </x:c>
      <x:c r="P1261" s="56" t="str"/>
      <x:c r="Q1261" s="59" t="str">
        <x:v>待确认</x:v>
      </x:c>
    </x:row>
    <x:row r="1262">
      <x:c r="A1262" s="56" t="str">
        <x:v>P032</x:v>
      </x:c>
      <x:c r="B1262" s="56" t="str">
        <x:v>HX-ADD-020</x:v>
      </x:c>
      <x:c r="C1262" s="56" t="str">
        <x:v>risk</x:v>
      </x:c>
      <x:c r="D1262" s="56" t="n">
        <x:v>40</x:v>
      </x:c>
      <x:c r="E1262" s="56" t="str">
        <x:v>risk.family_history</x:v>
      </x:c>
      <x:c r="F1262" s="56" t="str">
        <x:v>family_history</x:v>
      </x:c>
      <x:c r="G1262" s="56" t="n">
        <x:v>10</x:v>
      </x:c>
      <x:c r="H1262" s="56" t="str">
        <x:v>普通得分项</x:v>
      </x:c>
      <x:c r="I1262" s="56" t="str">
        <x:v>否</x:v>
      </x:c>
      <x:c r="J1262" s="56" t="str">
        <x:v>否</x:v>
      </x:c>
      <x:c r="K1262" s="56" t="str">
        <x:v>否</x:v>
      </x:c>
      <x:c r="L1262" s="56" t="str">
        <x:v>按结构化事件证据给予0/部分/满分；不能由总结反推已完成</x:v>
      </x:c>
      <x:c r="M1262" s="56" t="str"/>
      <x:c r="N1262" s="56" t="n">
        <x:f>SUMIFS($G$4:$G$1673,$A$4:$A$1673,A1262)</x:f>
        <x:v>360</x:v>
      </x:c>
      <x:c r="O1262" s="56" t="str">
        <x:f>IF(N1262=360,"通过","失败")</x:f>
        <x:v>通过</x:v>
      </x:c>
      <x:c r="P1262" s="56" t="str"/>
      <x:c r="Q1262" s="59" t="str">
        <x:v>待确认</x:v>
      </x:c>
    </x:row>
    <x:row r="1263">
      <x:c r="A1263" s="56" t="str">
        <x:v>P032</x:v>
      </x:c>
      <x:c r="B1263" s="56" t="str">
        <x:v>HX-ADD-020</x:v>
      </x:c>
      <x:c r="C1263" s="56" t="str">
        <x:v>risk</x:v>
      </x:c>
      <x:c r="D1263" s="56" t="n">
        <x:v>40</x:v>
      </x:c>
      <x:c r="E1263" s="56" t="str">
        <x:v>risk.bleeding_tendency</x:v>
      </x:c>
      <x:c r="F1263" s="56" t="str">
        <x:v>bleeding_tendency</x:v>
      </x:c>
      <x:c r="G1263" s="56" t="n">
        <x:v>10</x:v>
      </x:c>
      <x:c r="H1263" s="56" t="str">
        <x:v>普通得分项</x:v>
      </x:c>
      <x:c r="I1263" s="56" t="str">
        <x:v>否</x:v>
      </x:c>
      <x:c r="J1263" s="56" t="str">
        <x:v>否</x:v>
      </x:c>
      <x:c r="K1263" s="56" t="str">
        <x:v>否</x:v>
      </x:c>
      <x:c r="L1263" s="56" t="str">
        <x:v>按结构化事件证据给予0/部分/满分；不能由总结反推已完成</x:v>
      </x:c>
      <x:c r="M1263" s="56" t="str"/>
      <x:c r="N1263" s="56" t="n">
        <x:f>SUMIFS($G$4:$G$1673,$A$4:$A$1673,A1263)</x:f>
        <x:v>360</x:v>
      </x:c>
      <x:c r="O1263" s="56" t="str">
        <x:f>IF(N1263=360,"通过","失败")</x:f>
        <x:v>通过</x:v>
      </x:c>
      <x:c r="P1263" s="56" t="str"/>
      <x:c r="Q1263" s="59" t="str">
        <x:v>待确认</x:v>
      </x:c>
    </x:row>
    <x:row r="1264">
      <x:c r="A1264" s="56" t="str">
        <x:v>P032</x:v>
      </x:c>
      <x:c r="B1264" s="56" t="str">
        <x:v>HX-ADD-020</x:v>
      </x:c>
      <x:c r="C1264" s="56" t="str">
        <x:v>exam</x:v>
      </x:c>
      <x:c r="D1264" s="56" t="n">
        <x:v>35</x:v>
      </x:c>
      <x:c r="E1264" s="56" t="str">
        <x:v>exam.temperature</x:v>
      </x:c>
      <x:c r="F1264" s="56" t="str">
        <x:v>体温</x:v>
      </x:c>
      <x:c r="G1264" s="56" t="n">
        <x:v>12</x:v>
      </x:c>
      <x:c r="H1264" s="56" t="str">
        <x:v>普通得分项</x:v>
      </x:c>
      <x:c r="I1264" s="56" t="str">
        <x:v>否</x:v>
      </x:c>
      <x:c r="J1264" s="56" t="str">
        <x:v>否</x:v>
      </x:c>
      <x:c r="K1264" s="56" t="str">
        <x:v>否</x:v>
      </x:c>
      <x:c r="L1264" s="56" t="str">
        <x:v>按结构化事件证据给予0/部分/满分；不能由总结反推已完成</x:v>
      </x:c>
      <x:c r="M1264" s="56" t="str"/>
      <x:c r="N1264" s="56" t="n">
        <x:f>SUMIFS($G$4:$G$1673,$A$4:$A$1673,A1264)</x:f>
        <x:v>360</x:v>
      </x:c>
      <x:c r="O1264" s="56" t="str">
        <x:f>IF(N1264=360,"通过","失败")</x:f>
        <x:v>通过</x:v>
      </x:c>
      <x:c r="P1264" s="56" t="str"/>
      <x:c r="Q1264" s="59" t="str">
        <x:v>待确认</x:v>
      </x:c>
    </x:row>
    <x:row r="1265">
      <x:c r="A1265" s="56" t="str">
        <x:v>P032</x:v>
      </x:c>
      <x:c r="B1265" s="56" t="str">
        <x:v>HX-ADD-020</x:v>
      </x:c>
      <x:c r="C1265" s="56" t="str">
        <x:v>exam</x:v>
      </x:c>
      <x:c r="D1265" s="56" t="n">
        <x:v>35</x:v>
      </x:c>
      <x:c r="E1265" s="56" t="str">
        <x:v>exam.blood_pressure</x:v>
      </x:c>
      <x:c r="F1265" s="56" t="str">
        <x:v>血压</x:v>
      </x:c>
      <x:c r="G1265" s="56" t="n">
        <x:v>12</x:v>
      </x:c>
      <x:c r="H1265" s="56" t="str">
        <x:v>普通得分项</x:v>
      </x:c>
      <x:c r="I1265" s="56" t="str">
        <x:v>否</x:v>
      </x:c>
      <x:c r="J1265" s="56" t="str">
        <x:v>否</x:v>
      </x:c>
      <x:c r="K1265" s="56" t="str">
        <x:v>否</x:v>
      </x:c>
      <x:c r="L1265" s="56" t="str">
        <x:v>按结构化事件证据给予0/部分/满分；不能由总结反推已完成</x:v>
      </x:c>
      <x:c r="M1265" s="56" t="str"/>
      <x:c r="N1265" s="56" t="n">
        <x:f>SUMIFS($G$4:$G$1673,$A$4:$A$1673,A1265)</x:f>
        <x:v>360</x:v>
      </x:c>
      <x:c r="O1265" s="56" t="str">
        <x:f>IF(N1265=360,"通过","失败")</x:f>
        <x:v>通过</x:v>
      </x:c>
      <x:c r="P1265" s="56" t="str"/>
      <x:c r="Q1265" s="59" t="str">
        <x:v>待确认</x:v>
      </x:c>
    </x:row>
    <x:row r="1266">
      <x:c r="A1266" s="56" t="str">
        <x:v>P032</x:v>
      </x:c>
      <x:c r="B1266" s="56" t="str">
        <x:v>HX-ADD-020</x:v>
      </x:c>
      <x:c r="C1266" s="56" t="str">
        <x:v>exam</x:v>
      </x:c>
      <x:c r="D1266" s="56" t="n">
        <x:v>35</x:v>
      </x:c>
      <x:c r="E1266" s="56" t="str">
        <x:v>exam.targeted</x:v>
      </x:c>
      <x:c r="F1266" s="56" t="str">
        <x:v>病例针对性查体</x:v>
      </x:c>
      <x:c r="G1266" s="56" t="n">
        <x:v>11</x:v>
      </x:c>
      <x:c r="H1266" s="56" t="str">
        <x:v>普通得分项</x:v>
      </x:c>
      <x:c r="I1266" s="56" t="str">
        <x:v>否</x:v>
      </x:c>
      <x:c r="J1266" s="56" t="str">
        <x:v>否</x:v>
      </x:c>
      <x:c r="K1266" s="56" t="str">
        <x:v>否</x:v>
      </x:c>
      <x:c r="L1266" s="56" t="str">
        <x:v>按结构化事件证据给予0/部分/满分；不能由总结反推已完成</x:v>
      </x:c>
      <x:c r="M1266" s="56" t="str"/>
      <x:c r="N1266" s="56" t="n">
        <x:f>SUMIFS($G$4:$G$1673,$A$4:$A$1673,A1266)</x:f>
        <x:v>360</x:v>
      </x:c>
      <x:c r="O1266" s="56" t="str">
        <x:f>IF(N1266=360,"通过","失败")</x:f>
        <x:v>通过</x:v>
      </x:c>
      <x:c r="P1266" s="56" t="str"/>
      <x:c r="Q1266" s="59" t="str">
        <x:v>待确认</x:v>
      </x:c>
    </x:row>
    <x:row r="1267">
      <x:c r="A1267" s="56" t="str">
        <x:v>P032</x:v>
      </x:c>
      <x:c r="B1267" s="56" t="str">
        <x:v>HX-ADD-020</x:v>
      </x:c>
      <x:c r="C1267" s="56" t="str">
        <x:v>diagnosis</x:v>
      </x:c>
      <x:c r="D1267" s="56" t="n">
        <x:v>45</x:v>
      </x:c>
      <x:c r="E1267" s="56" t="str">
        <x:v>diagnosis.primary</x:v>
      </x:c>
      <x:c r="F1267" s="56" t="str">
        <x:v>最可能诊断及依据</x:v>
      </x:c>
      <x:c r="G1267" s="56" t="n">
        <x:v>15</x:v>
      </x:c>
      <x:c r="H1267" s="56" t="str">
        <x:v>普通得分项</x:v>
      </x:c>
      <x:c r="I1267" s="56" t="str">
        <x:v>否</x:v>
      </x:c>
      <x:c r="J1267" s="56" t="str">
        <x:v>否</x:v>
      </x:c>
      <x:c r="K1267" s="56" t="str">
        <x:v>否</x:v>
      </x:c>
      <x:c r="L1267" s="56" t="str">
        <x:v>按结构化事件证据给予0/部分/满分；不能由总结反推已完成</x:v>
      </x:c>
      <x:c r="M1267" s="56" t="str"/>
      <x:c r="N1267" s="56" t="n">
        <x:f>SUMIFS($G$4:$G$1673,$A$4:$A$1673,A1267)</x:f>
        <x:v>360</x:v>
      </x:c>
      <x:c r="O1267" s="56" t="str">
        <x:f>IF(N1267=360,"通过","失败")</x:f>
        <x:v>通过</x:v>
      </x:c>
      <x:c r="P1267" s="56" t="str"/>
      <x:c r="Q1267" s="59" t="str">
        <x:v>待确认</x:v>
      </x:c>
    </x:row>
    <x:row r="1268">
      <x:c r="A1268" s="56" t="str">
        <x:v>P032</x:v>
      </x:c>
      <x:c r="B1268" s="56" t="str">
        <x:v>HX-ADD-020</x:v>
      </x:c>
      <x:c r="C1268" s="56" t="str">
        <x:v>diagnosis</x:v>
      </x:c>
      <x:c r="D1268" s="56" t="n">
        <x:v>45</x:v>
      </x:c>
      <x:c r="E1268" s="56" t="str">
        <x:v>diagnosis.differentials</x:v>
      </x:c>
      <x:c r="F1268" s="56" t="str">
        <x:v>至少3项鉴别及支持/反对点</x:v>
      </x:c>
      <x:c r="G1268" s="56" t="n">
        <x:v>15</x:v>
      </x:c>
      <x:c r="H1268" s="56" t="str">
        <x:v>普通得分项</x:v>
      </x:c>
      <x:c r="I1268" s="56" t="str">
        <x:v>否</x:v>
      </x:c>
      <x:c r="J1268" s="56" t="str">
        <x:v>否</x:v>
      </x:c>
      <x:c r="K1268" s="56" t="str">
        <x:v>否</x:v>
      </x:c>
      <x:c r="L1268" s="56" t="str">
        <x:v>按结构化事件证据给予0/部分/满分；不能由总结反推已完成</x:v>
      </x:c>
      <x:c r="M1268" s="56" t="str"/>
      <x:c r="N1268" s="56" t="n">
        <x:f>SUMIFS($G$4:$G$1673,$A$4:$A$1673,A1268)</x:f>
        <x:v>360</x:v>
      </x:c>
      <x:c r="O1268" s="56" t="str">
        <x:f>IF(N1268=360,"通过","失败")</x:f>
        <x:v>通过</x:v>
      </x:c>
      <x:c r="P1268" s="56" t="str"/>
      <x:c r="Q1268" s="59" t="str">
        <x:v>待确认</x:v>
      </x:c>
    </x:row>
    <x:row r="1269">
      <x:c r="A1269" s="56" t="str">
        <x:v>P032</x:v>
      </x:c>
      <x:c r="B1269" s="56" t="str">
        <x:v>HX-ADD-020</x:v>
      </x:c>
      <x:c r="C1269" s="56" t="str">
        <x:v>diagnosis</x:v>
      </x:c>
      <x:c r="D1269" s="56" t="n">
        <x:v>45</x:v>
      </x:c>
      <x:c r="E1269" s="56" t="str">
        <x:v>diagnosis.confirmation</x:v>
      </x:c>
      <x:c r="F1269" s="56" t="str">
        <x:v>确认计划</x:v>
      </x:c>
      <x:c r="G1269" s="56" t="n">
        <x:v>15</x:v>
      </x:c>
      <x:c r="H1269" s="56" t="str">
        <x:v>普通得分项</x:v>
      </x:c>
      <x:c r="I1269" s="56" t="str">
        <x:v>否</x:v>
      </x:c>
      <x:c r="J1269" s="56" t="str">
        <x:v>否</x:v>
      </x:c>
      <x:c r="K1269" s="56" t="str">
        <x:v>否</x:v>
      </x:c>
      <x:c r="L1269" s="56" t="str">
        <x:v>按结构化事件证据给予0/部分/满分；不能由总结反推已完成</x:v>
      </x:c>
      <x:c r="M1269" s="56" t="str"/>
      <x:c r="N1269" s="56" t="n">
        <x:f>SUMIFS($G$4:$G$1673,$A$4:$A$1673,A1269)</x:f>
        <x:v>360</x:v>
      </x:c>
      <x:c r="O1269" s="56" t="str">
        <x:f>IF(N1269=360,"通过","失败")</x:f>
        <x:v>通过</x:v>
      </x:c>
      <x:c r="P1269" s="56" t="str"/>
      <x:c r="Q1269" s="59" t="str">
        <x:v>待确认</x:v>
      </x:c>
    </x:row>
    <x:row r="1270">
      <x:c r="A1270" s="56" t="str">
        <x:v>P032</x:v>
      </x:c>
      <x:c r="B1270" s="56" t="str">
        <x:v>HX-ADD-020</x:v>
      </x:c>
      <x:c r="C1270" s="56" t="str">
        <x:v>orders</x:v>
      </x:c>
      <x:c r="D1270" s="56" t="n">
        <x:v>55</x:v>
      </x:c>
      <x:c r="E1270" s="56" t="str">
        <x:v>orders.LAB-UR-002</x:v>
      </x:c>
      <x:c r="F1270" s="56" t="str">
        <x:v>LAB-UR-002</x:v>
      </x:c>
      <x:c r="G1270" s="56" t="n">
        <x:v>10</x:v>
      </x:c>
      <x:c r="H1270" s="56" t="str">
        <x:v>病例特异得分项</x:v>
      </x:c>
      <x:c r="I1270" s="56" t="str">
        <x:v>否</x:v>
      </x:c>
      <x:c r="J1270" s="56" t="str">
        <x:v>否</x:v>
      </x:c>
      <x:c r="K1270" s="56" t="str">
        <x:v>否</x:v>
      </x:c>
      <x:c r="L1270" s="56" t="str">
        <x:v>按结构化事件证据给予0/部分/满分；不能由总结反推已完成</x:v>
      </x:c>
      <x:c r="M1270" s="56" t="str"/>
      <x:c r="N1270" s="56" t="n">
        <x:f>SUMIFS($G$4:$G$1673,$A$4:$A$1673,A1270)</x:f>
        <x:v>360</x:v>
      </x:c>
      <x:c r="O1270" s="56" t="str">
        <x:f>IF(N1270=360,"通过","失败")</x:f>
        <x:v>通过</x:v>
      </x:c>
      <x:c r="P1270" s="56" t="str"/>
      <x:c r="Q1270" s="59" t="str">
        <x:v>待确认</x:v>
      </x:c>
    </x:row>
    <x:row r="1271">
      <x:c r="A1271" s="56" t="str">
        <x:v>P032</x:v>
      </x:c>
      <x:c r="B1271" s="56" t="str">
        <x:v>HX-ADD-020</x:v>
      </x:c>
      <x:c r="C1271" s="56" t="str">
        <x:v>orders</x:v>
      </x:c>
      <x:c r="D1271" s="56" t="n">
        <x:v>55</x:v>
      </x:c>
      <x:c r="E1271" s="56" t="str">
        <x:v>orders.LAB-UR-003</x:v>
      </x:c>
      <x:c r="F1271" s="56" t="str">
        <x:v>LAB-UR-003</x:v>
      </x:c>
      <x:c r="G1271" s="56" t="n">
        <x:v>9</x:v>
      </x:c>
      <x:c r="H1271" s="56" t="str">
        <x:v>病例特异得分项</x:v>
      </x:c>
      <x:c r="I1271" s="56" t="str">
        <x:v>否</x:v>
      </x:c>
      <x:c r="J1271" s="56" t="str">
        <x:v>否</x:v>
      </x:c>
      <x:c r="K1271" s="56" t="str">
        <x:v>否</x:v>
      </x:c>
      <x:c r="L1271" s="56" t="str">
        <x:v>按结构化事件证据给予0/部分/满分；不能由总结反推已完成</x:v>
      </x:c>
      <x:c r="M1271" s="56" t="str"/>
      <x:c r="N1271" s="56" t="n">
        <x:f>SUMIFS($G$4:$G$1673,$A$4:$A$1673,A1271)</x:f>
        <x:v>360</x:v>
      </x:c>
      <x:c r="O1271" s="56" t="str">
        <x:f>IF(N1271=360,"通过","失败")</x:f>
        <x:v>通过</x:v>
      </x:c>
      <x:c r="P1271" s="56" t="str"/>
      <x:c r="Q1271" s="59" t="str">
        <x:v>待确认</x:v>
      </x:c>
    </x:row>
    <x:row r="1272">
      <x:c r="A1272" s="56" t="str">
        <x:v>P032</x:v>
      </x:c>
      <x:c r="B1272" s="56" t="str">
        <x:v>HX-ADD-020</x:v>
      </x:c>
      <x:c r="C1272" s="56" t="str">
        <x:v>orders</x:v>
      </x:c>
      <x:c r="D1272" s="56" t="n">
        <x:v>55</x:v>
      </x:c>
      <x:c r="E1272" s="56" t="str">
        <x:v>orders.LAB-UR-004</x:v>
      </x:c>
      <x:c r="F1272" s="56" t="str">
        <x:v>LAB-UR-004</x:v>
      </x:c>
      <x:c r="G1272" s="56" t="n">
        <x:v>9</x:v>
      </x:c>
      <x:c r="H1272" s="56" t="str">
        <x:v>病例特异得分项</x:v>
      </x:c>
      <x:c r="I1272" s="56" t="str">
        <x:v>否</x:v>
      </x:c>
      <x:c r="J1272" s="56" t="str">
        <x:v>否</x:v>
      </x:c>
      <x:c r="K1272" s="56" t="str">
        <x:v>否</x:v>
      </x:c>
      <x:c r="L1272" s="56" t="str">
        <x:v>按结构化事件证据给予0/部分/满分；不能由总结反推已完成</x:v>
      </x:c>
      <x:c r="M1272" s="56" t="str"/>
      <x:c r="N1272" s="56" t="n">
        <x:f>SUMIFS($G$4:$G$1673,$A$4:$A$1673,A1272)</x:f>
        <x:v>360</x:v>
      </x:c>
      <x:c r="O1272" s="56" t="str">
        <x:f>IF(N1272=360,"通过","失败")</x:f>
        <x:v>通过</x:v>
      </x:c>
      <x:c r="P1272" s="56" t="str"/>
      <x:c r="Q1272" s="59" t="str">
        <x:v>待确认</x:v>
      </x:c>
    </x:row>
    <x:row r="1273">
      <x:c r="A1273" s="56" t="str">
        <x:v>P032</x:v>
      </x:c>
      <x:c r="B1273" s="56" t="str">
        <x:v>HX-ADD-020</x:v>
      </x:c>
      <x:c r="C1273" s="56" t="str">
        <x:v>orders</x:v>
      </x:c>
      <x:c r="D1273" s="56" t="n">
        <x:v>55</x:v>
      </x:c>
      <x:c r="E1273" s="56" t="str">
        <x:v>orders.LAB-BL-003</x:v>
      </x:c>
      <x:c r="F1273" s="56" t="str">
        <x:v>LAB-BL-003</x:v>
      </x:c>
      <x:c r="G1273" s="56" t="n">
        <x:v>9</x:v>
      </x:c>
      <x:c r="H1273" s="56" t="str">
        <x:v>病例特异得分项</x:v>
      </x:c>
      <x:c r="I1273" s="56" t="str">
        <x:v>否</x:v>
      </x:c>
      <x:c r="J1273" s="56" t="str">
        <x:v>否</x:v>
      </x:c>
      <x:c r="K1273" s="56" t="str">
        <x:v>否</x:v>
      </x:c>
      <x:c r="L1273" s="56" t="str">
        <x:v>按结构化事件证据给予0/部分/满分；不能由总结反推已完成</x:v>
      </x:c>
      <x:c r="M1273" s="56" t="str"/>
      <x:c r="N1273" s="56" t="n">
        <x:f>SUMIFS($G$4:$G$1673,$A$4:$A$1673,A1273)</x:f>
        <x:v>360</x:v>
      </x:c>
      <x:c r="O1273" s="56" t="str">
        <x:f>IF(N1273=360,"通过","失败")</x:f>
        <x:v>通过</x:v>
      </x:c>
      <x:c r="P1273" s="56" t="str"/>
      <x:c r="Q1273" s="59" t="str">
        <x:v>待确认</x:v>
      </x:c>
    </x:row>
    <x:row r="1274">
      <x:c r="A1274" s="56" t="str">
        <x:v>P032</x:v>
      </x:c>
      <x:c r="B1274" s="56" t="str">
        <x:v>HX-ADD-020</x:v>
      </x:c>
      <x:c r="C1274" s="56" t="str">
        <x:v>orders</x:v>
      </x:c>
      <x:c r="D1274" s="56" t="n">
        <x:v>55</x:v>
      </x:c>
      <x:c r="E1274" s="56" t="str">
        <x:v>orders.LAB-BL-011</x:v>
      </x:c>
      <x:c r="F1274" s="56" t="str">
        <x:v>LAB-BL-011</x:v>
      </x:c>
      <x:c r="G1274" s="56" t="n">
        <x:v>9</x:v>
      </x:c>
      <x:c r="H1274" s="56" t="str">
        <x:v>病例特异得分项</x:v>
      </x:c>
      <x:c r="I1274" s="56" t="str">
        <x:v>否</x:v>
      </x:c>
      <x:c r="J1274" s="56" t="str">
        <x:v>否</x:v>
      </x:c>
      <x:c r="K1274" s="56" t="str">
        <x:v>否</x:v>
      </x:c>
      <x:c r="L1274" s="56" t="str">
        <x:v>按结构化事件证据给予0/部分/满分；不能由总结反推已完成</x:v>
      </x:c>
      <x:c r="M1274" s="56" t="str"/>
      <x:c r="N1274" s="56" t="n">
        <x:f>SUMIFS($G$4:$G$1673,$A$4:$A$1673,A1274)</x:f>
        <x:v>360</x:v>
      </x:c>
      <x:c r="O1274" s="56" t="str">
        <x:f>IF(N1274=360,"通过","失败")</x:f>
        <x:v>通过</x:v>
      </x:c>
      <x:c r="P1274" s="56" t="str"/>
      <x:c r="Q1274" s="59" t="str">
        <x:v>待确认</x:v>
      </x:c>
    </x:row>
    <x:row r="1275">
      <x:c r="A1275" s="56" t="str">
        <x:v>P032</x:v>
      </x:c>
      <x:c r="B1275" s="56" t="str">
        <x:v>HX-ADD-020</x:v>
      </x:c>
      <x:c r="C1275" s="56" t="str">
        <x:v>orders</x:v>
      </x:c>
      <x:c r="D1275" s="56" t="n">
        <x:v>55</x:v>
      </x:c>
      <x:c r="E1275" s="56" t="str">
        <x:v>orders.LAB-PATH-003</x:v>
      </x:c>
      <x:c r="F1275" s="56" t="str">
        <x:v>LAB-PATH-003</x:v>
      </x:c>
      <x:c r="G1275" s="56" t="n">
        <x:v>9</x:v>
      </x:c>
      <x:c r="H1275" s="56" t="str">
        <x:v>病例特异得分项</x:v>
      </x:c>
      <x:c r="I1275" s="56" t="str">
        <x:v>否</x:v>
      </x:c>
      <x:c r="J1275" s="56" t="str">
        <x:v>否</x:v>
      </x:c>
      <x:c r="K1275" s="56" t="str">
        <x:v>否</x:v>
      </x:c>
      <x:c r="L1275" s="56" t="str">
        <x:v>按结构化事件证据给予0/部分/满分；不能由总结反推已完成</x:v>
      </x:c>
      <x:c r="M1275" s="56" t="str"/>
      <x:c r="N1275" s="56" t="n">
        <x:f>SUMIFS($G$4:$G$1673,$A$4:$A$1673,A1275)</x:f>
        <x:v>360</x:v>
      </x:c>
      <x:c r="O1275" s="56" t="str">
        <x:f>IF(N1275=360,"通过","失败")</x:f>
        <x:v>通过</x:v>
      </x:c>
      <x:c r="P1275" s="56" t="str"/>
      <x:c r="Q1275" s="59" t="str">
        <x:v>待确认</x:v>
      </x:c>
    </x:row>
    <x:row r="1276">
      <x:c r="A1276" s="56" t="str">
        <x:v>P032</x:v>
      </x:c>
      <x:c r="B1276" s="56" t="str">
        <x:v>HX-ADD-020</x:v>
      </x:c>
      <x:c r="C1276" s="56" t="str">
        <x:v>mdt</x:v>
      </x:c>
      <x:c r="D1276" s="56" t="n">
        <x:v>45</x:v>
      </x:c>
      <x:c r="E1276" s="56" t="str">
        <x:v>mdt.department</x:v>
      </x:c>
      <x:c r="F1276" s="56" t="str">
        <x:v>department</x:v>
      </x:c>
      <x:c r="G1276" s="56" t="n">
        <x:v>12</x:v>
      </x:c>
      <x:c r="H1276" s="56" t="str">
        <x:v>病例特异得分项</x:v>
      </x:c>
      <x:c r="I1276" s="56" t="str">
        <x:v>否</x:v>
      </x:c>
      <x:c r="J1276" s="56" t="str">
        <x:v>否</x:v>
      </x:c>
      <x:c r="K1276" s="56" t="str">
        <x:v>否</x:v>
      </x:c>
      <x:c r="L1276" s="56" t="str">
        <x:v>按结构化事件证据给予0/部分/满分；不能由总结反推已完成</x:v>
      </x:c>
      <x:c r="M1276" s="56" t="str"/>
      <x:c r="N1276" s="56" t="n">
        <x:f>SUMIFS($G$4:$G$1673,$A$4:$A$1673,A1276)</x:f>
        <x:v>360</x:v>
      </x:c>
      <x:c r="O1276" s="56" t="str">
        <x:f>IF(N1276=360,"通过","失败")</x:f>
        <x:v>通过</x:v>
      </x:c>
      <x:c r="P1276" s="56" t="str"/>
      <x:c r="Q1276" s="59" t="str">
        <x:v>待确认</x:v>
      </x:c>
    </x:row>
    <x:row r="1277">
      <x:c r="A1277" s="56" t="str">
        <x:v>P032</x:v>
      </x:c>
      <x:c r="B1277" s="56" t="str">
        <x:v>HX-ADD-020</x:v>
      </x:c>
      <x:c r="C1277" s="56" t="str">
        <x:v>mdt</x:v>
      </x:c>
      <x:c r="D1277" s="56" t="n">
        <x:v>45</x:v>
      </x:c>
      <x:c r="E1277" s="56" t="str">
        <x:v>mdt.trigger</x:v>
      </x:c>
      <x:c r="F1277" s="56" t="str">
        <x:v>trigger</x:v>
      </x:c>
      <x:c r="G1277" s="56" t="n">
        <x:v>11</x:v>
      </x:c>
      <x:c r="H1277" s="56" t="str">
        <x:v>病例特异得分项</x:v>
      </x:c>
      <x:c r="I1277" s="56" t="str">
        <x:v>否</x:v>
      </x:c>
      <x:c r="J1277" s="56" t="str">
        <x:v>否</x:v>
      </x:c>
      <x:c r="K1277" s="56" t="str">
        <x:v>否</x:v>
      </x:c>
      <x:c r="L1277" s="56" t="str">
        <x:v>按结构化事件证据给予0/部分/满分；不能由总结反推已完成</x:v>
      </x:c>
      <x:c r="M1277" s="56" t="str"/>
      <x:c r="N1277" s="56" t="n">
        <x:f>SUMIFS($G$4:$G$1673,$A$4:$A$1673,A1277)</x:f>
        <x:v>360</x:v>
      </x:c>
      <x:c r="O1277" s="56" t="str">
        <x:f>IF(N1277=360,"通过","失败")</x:f>
        <x:v>通过</x:v>
      </x:c>
      <x:c r="P1277" s="56" t="str"/>
      <x:c r="Q1277" s="59" t="str">
        <x:v>待确认</x:v>
      </x:c>
    </x:row>
    <x:row r="1278">
      <x:c r="A1278" s="56" t="str">
        <x:v>P032</x:v>
      </x:c>
      <x:c r="B1278" s="56" t="str">
        <x:v>HX-ADD-020</x:v>
      </x:c>
      <x:c r="C1278" s="56" t="str">
        <x:v>mdt</x:v>
      </x:c>
      <x:c r="D1278" s="56" t="n">
        <x:v>45</x:v>
      </x:c>
      <x:c r="E1278" s="56" t="str">
        <x:v>mdt.question</x:v>
      </x:c>
      <x:c r="F1278" s="56" t="str">
        <x:v>question</x:v>
      </x:c>
      <x:c r="G1278" s="56" t="n">
        <x:v>11</x:v>
      </x:c>
      <x:c r="H1278" s="56" t="str">
        <x:v>病例特异得分项</x:v>
      </x:c>
      <x:c r="I1278" s="56" t="str">
        <x:v>否</x:v>
      </x:c>
      <x:c r="J1278" s="56" t="str">
        <x:v>否</x:v>
      </x:c>
      <x:c r="K1278" s="56" t="str">
        <x:v>否</x:v>
      </x:c>
      <x:c r="L1278" s="56" t="str">
        <x:v>按结构化事件证据给予0/部分/满分；不能由总结反推已完成</x:v>
      </x:c>
      <x:c r="M1278" s="56" t="str"/>
      <x:c r="N1278" s="56" t="n">
        <x:f>SUMIFS($G$4:$G$1673,$A$4:$A$1673,A1278)</x:f>
        <x:v>360</x:v>
      </x:c>
      <x:c r="O1278" s="56" t="str">
        <x:f>IF(N1278=360,"通过","失败")</x:f>
        <x:v>通过</x:v>
      </x:c>
      <x:c r="P1278" s="56" t="str"/>
      <x:c r="Q1278" s="59" t="str">
        <x:v>待确认</x:v>
      </x:c>
    </x:row>
    <x:row r="1279">
      <x:c r="A1279" s="56" t="str">
        <x:v>P032</x:v>
      </x:c>
      <x:c r="B1279" s="56" t="str">
        <x:v>HX-ADD-020</x:v>
      </x:c>
      <x:c r="C1279" s="56" t="str">
        <x:v>mdt</x:v>
      </x:c>
      <x:c r="D1279" s="56" t="n">
        <x:v>45</x:v>
      </x:c>
      <x:c r="E1279" s="56" t="str">
        <x:v>mdt.evidence</x:v>
      </x:c>
      <x:c r="F1279" s="56" t="str">
        <x:v>evidence</x:v>
      </x:c>
      <x:c r="G1279" s="56" t="n">
        <x:v>11</x:v>
      </x:c>
      <x:c r="H1279" s="56" t="str">
        <x:v>病例特异得分项</x:v>
      </x:c>
      <x:c r="I1279" s="56" t="str">
        <x:v>否</x:v>
      </x:c>
      <x:c r="J1279" s="56" t="str">
        <x:v>否</x:v>
      </x:c>
      <x:c r="K1279" s="56" t="str">
        <x:v>否</x:v>
      </x:c>
      <x:c r="L1279" s="56" t="str">
        <x:v>按结构化事件证据给予0/部分/满分；不能由总结反推已完成</x:v>
      </x:c>
      <x:c r="M1279" s="56" t="str"/>
      <x:c r="N1279" s="56" t="n">
        <x:f>SUMIFS($G$4:$G$1673,$A$4:$A$1673,A1279)</x:f>
        <x:v>360</x:v>
      </x:c>
      <x:c r="O1279" s="56" t="str">
        <x:f>IF(N1279=360,"通过","失败")</x:f>
        <x:v>通过</x:v>
      </x:c>
      <x:c r="P1279" s="56" t="str"/>
      <x:c r="Q1279" s="59" t="str">
        <x:v>待确认</x:v>
      </x:c>
    </x:row>
    <x:row r="1280">
      <x:c r="A1280" s="56" t="str">
        <x:v>P032</x:v>
      </x:c>
      <x:c r="B1280" s="56" t="str">
        <x:v>HX-ADD-020</x:v>
      </x:c>
      <x:c r="C1280" s="56" t="str">
        <x:v>treatment</x:v>
      </x:c>
      <x:c r="D1280" s="56" t="n">
        <x:v>50</x:v>
      </x:c>
      <x:c r="E1280" s="56" t="str">
        <x:v>treatment.immediate</x:v>
      </x:c>
      <x:c r="F1280" s="56" t="str">
        <x:v>immediate</x:v>
      </x:c>
      <x:c r="G1280" s="56" t="n">
        <x:v>13</x:v>
      </x:c>
      <x:c r="H1280" s="56" t="str">
        <x:v>病例特异得分项</x:v>
      </x:c>
      <x:c r="I1280" s="56" t="str">
        <x:v>否</x:v>
      </x:c>
      <x:c r="J1280" s="56" t="str">
        <x:v>否</x:v>
      </x:c>
      <x:c r="K1280" s="56" t="str">
        <x:v>否</x:v>
      </x:c>
      <x:c r="L1280" s="56" t="str">
        <x:v>按结构化事件证据给予0/部分/满分；不能由总结反推已完成</x:v>
      </x:c>
      <x:c r="M1280" s="56" t="str"/>
      <x:c r="N1280" s="56" t="n">
        <x:f>SUMIFS($G$4:$G$1673,$A$4:$A$1673,A1280)</x:f>
        <x:v>360</x:v>
      </x:c>
      <x:c r="O1280" s="56" t="str">
        <x:f>IF(N1280=360,"通过","失败")</x:f>
        <x:v>通过</x:v>
      </x:c>
      <x:c r="P1280" s="56" t="str"/>
      <x:c r="Q1280" s="59" t="str">
        <x:v>待确认</x:v>
      </x:c>
    </x:row>
    <x:row r="1281">
      <x:c r="A1281" s="56" t="str">
        <x:v>P032</x:v>
      </x:c>
      <x:c r="B1281" s="56" t="str">
        <x:v>HX-ADD-020</x:v>
      </x:c>
      <x:c r="C1281" s="56" t="str">
        <x:v>treatment</x:v>
      </x:c>
      <x:c r="D1281" s="56" t="n">
        <x:v>50</x:v>
      </x:c>
      <x:c r="E1281" s="56" t="str">
        <x:v>treatment.etiologic</x:v>
      </x:c>
      <x:c r="F1281" s="56" t="str">
        <x:v>etiologic</x:v>
      </x:c>
      <x:c r="G1281" s="56" t="n">
        <x:v>13</x:v>
      </x:c>
      <x:c r="H1281" s="56" t="str">
        <x:v>病例特异得分项</x:v>
      </x:c>
      <x:c r="I1281" s="56" t="str">
        <x:v>否</x:v>
      </x:c>
      <x:c r="J1281" s="56" t="str">
        <x:v>否</x:v>
      </x:c>
      <x:c r="K1281" s="56" t="str">
        <x:v>否</x:v>
      </x:c>
      <x:c r="L1281" s="56" t="str">
        <x:v>按结构化事件证据给予0/部分/满分；不能由总结反推已完成</x:v>
      </x:c>
      <x:c r="M1281" s="56" t="str"/>
      <x:c r="N1281" s="56" t="n">
        <x:f>SUMIFS($G$4:$G$1673,$A$4:$A$1673,A1281)</x:f>
        <x:v>360</x:v>
      </x:c>
      <x:c r="O1281" s="56" t="str">
        <x:f>IF(N1281=360,"通过","失败")</x:f>
        <x:v>通过</x:v>
      </x:c>
      <x:c r="P1281" s="56" t="str"/>
      <x:c r="Q1281" s="59" t="str">
        <x:v>待确认</x:v>
      </x:c>
    </x:row>
    <x:row r="1282">
      <x:c r="A1282" s="56" t="str">
        <x:v>P032</x:v>
      </x:c>
      <x:c r="B1282" s="56" t="str">
        <x:v>HX-ADD-020</x:v>
      </x:c>
      <x:c r="C1282" s="56" t="str">
        <x:v>treatment</x:v>
      </x:c>
      <x:c r="D1282" s="56" t="n">
        <x:v>50</x:v>
      </x:c>
      <x:c r="E1282" s="56" t="str">
        <x:v>treatment.definitive</x:v>
      </x:c>
      <x:c r="F1282" s="56" t="str">
        <x:v>definitive</x:v>
      </x:c>
      <x:c r="G1282" s="56" t="n">
        <x:v>12</x:v>
      </x:c>
      <x:c r="H1282" s="56" t="str">
        <x:v>病例特异得分项</x:v>
      </x:c>
      <x:c r="I1282" s="56" t="str">
        <x:v>否</x:v>
      </x:c>
      <x:c r="J1282" s="56" t="str">
        <x:v>否</x:v>
      </x:c>
      <x:c r="K1282" s="56" t="str">
        <x:v>否</x:v>
      </x:c>
      <x:c r="L1282" s="56" t="str">
        <x:v>按结构化事件证据给予0/部分/满分；不能由总结反推已完成</x:v>
      </x:c>
      <x:c r="M1282" s="56" t="str"/>
      <x:c r="N1282" s="56" t="n">
        <x:f>SUMIFS($G$4:$G$1673,$A$4:$A$1673,A1282)</x:f>
        <x:v>360</x:v>
      </x:c>
      <x:c r="O1282" s="56" t="str">
        <x:f>IF(N1282=360,"通过","失败")</x:f>
        <x:v>通过</x:v>
      </x:c>
      <x:c r="P1282" s="56" t="str"/>
      <x:c r="Q1282" s="59" t="str">
        <x:v>待确认</x:v>
      </x:c>
    </x:row>
    <x:row r="1283">
      <x:c r="A1283" s="56" t="str">
        <x:v>P032</x:v>
      </x:c>
      <x:c r="B1283" s="56" t="str">
        <x:v>HX-ADD-020</x:v>
      </x:c>
      <x:c r="C1283" s="56" t="str">
        <x:v>treatment</x:v>
      </x:c>
      <x:c r="D1283" s="56" t="n">
        <x:v>50</x:v>
      </x:c>
      <x:c r="E1283" s="56" t="str">
        <x:v>treatment.perioperative</x:v>
      </x:c>
      <x:c r="F1283" s="56" t="str">
        <x:v>perioperative</x:v>
      </x:c>
      <x:c r="G1283" s="56" t="n">
        <x:v>12</x:v>
      </x:c>
      <x:c r="H1283" s="56" t="str">
        <x:v>病例特异得分项</x:v>
      </x:c>
      <x:c r="I1283" s="56" t="str">
        <x:v>否</x:v>
      </x:c>
      <x:c r="J1283" s="56" t="str">
        <x:v>否</x:v>
      </x:c>
      <x:c r="K1283" s="56" t="str">
        <x:v>否</x:v>
      </x:c>
      <x:c r="L1283" s="56" t="str">
        <x:v>按结构化事件证据给予0/部分/满分；不能由总结反推已完成</x:v>
      </x:c>
      <x:c r="M1283" s="56" t="str"/>
      <x:c r="N1283" s="56" t="n">
        <x:f>SUMIFS($G$4:$G$1673,$A$4:$A$1673,A1283)</x:f>
        <x:v>360</x:v>
      </x:c>
      <x:c r="O1283" s="56" t="str">
        <x:f>IF(N1283=360,"通过","失败")</x:f>
        <x:v>通过</x:v>
      </x:c>
      <x:c r="P1283" s="56" t="str"/>
      <x:c r="Q1283" s="59" t="str">
        <x:v>待确认</x:v>
      </x:c>
    </x:row>
    <x:row r="1284">
      <x:c r="A1284" s="56" t="str">
        <x:v>P032</x:v>
      </x:c>
      <x:c r="B1284" s="56" t="str">
        <x:v>HX-ADD-020</x:v>
      </x:c>
      <x:c r="C1284" s="56" t="str">
        <x:v>followup</x:v>
      </x:c>
      <x:c r="D1284" s="56" t="n">
        <x:v>40</x:v>
      </x:c>
      <x:c r="E1284" s="56" t="str">
        <x:v>followup.plan</x:v>
      </x:c>
      <x:c r="F1284" s="56" t="str">
        <x:v>随访复查</x:v>
      </x:c>
      <x:c r="G1284" s="56" t="n">
        <x:v>10</x:v>
      </x:c>
      <x:c r="H1284" s="56" t="str">
        <x:v>普通得分项</x:v>
      </x:c>
      <x:c r="I1284" s="56" t="str">
        <x:v>否</x:v>
      </x:c>
      <x:c r="J1284" s="56" t="str">
        <x:v>否</x:v>
      </x:c>
      <x:c r="K1284" s="56" t="str">
        <x:v>否</x:v>
      </x:c>
      <x:c r="L1284" s="56" t="str">
        <x:v>按结构化事件证据给予0/部分/满分；不能由总结反推已完成</x:v>
      </x:c>
      <x:c r="M1284" s="56" t="str"/>
      <x:c r="N1284" s="56" t="n">
        <x:f>SUMIFS($G$4:$G$1673,$A$4:$A$1673,A1284)</x:f>
        <x:v>360</x:v>
      </x:c>
      <x:c r="O1284" s="56" t="str">
        <x:f>IF(N1284=360,"通过","失败")</x:f>
        <x:v>通过</x:v>
      </x:c>
      <x:c r="P1284" s="56" t="str"/>
      <x:c r="Q1284" s="59" t="str">
        <x:v>待确认</x:v>
      </x:c>
    </x:row>
    <x:row r="1285">
      <x:c r="A1285" s="56" t="str">
        <x:v>P032</x:v>
      </x:c>
      <x:c r="B1285" s="56" t="str">
        <x:v>HX-ADD-020</x:v>
      </x:c>
      <x:c r="C1285" s="56" t="str">
        <x:v>followup</x:v>
      </x:c>
      <x:c r="D1285" s="56" t="n">
        <x:v>40</x:v>
      </x:c>
      <x:c r="E1285" s="56" t="str">
        <x:v>followup.education</x:v>
      </x:c>
      <x:c r="F1285" s="56" t="str">
        <x:v>患者教育</x:v>
      </x:c>
      <x:c r="G1285" s="56" t="n">
        <x:v>10</x:v>
      </x:c>
      <x:c r="H1285" s="56" t="str">
        <x:v>普通得分项</x:v>
      </x:c>
      <x:c r="I1285" s="56" t="str">
        <x:v>否</x:v>
      </x:c>
      <x:c r="J1285" s="56" t="str">
        <x:v>否</x:v>
      </x:c>
      <x:c r="K1285" s="56" t="str">
        <x:v>否</x:v>
      </x:c>
      <x:c r="L1285" s="56" t="str">
        <x:v>按结构化事件证据给予0/部分/满分；不能由总结反推已完成</x:v>
      </x:c>
      <x:c r="M1285" s="56" t="str"/>
      <x:c r="N1285" s="56" t="n">
        <x:f>SUMIFS($G$4:$G$1673,$A$4:$A$1673,A1285)</x:f>
        <x:v>360</x:v>
      </x:c>
      <x:c r="O1285" s="56" t="str">
        <x:f>IF(N1285=360,"通过","失败")</x:f>
        <x:v>通过</x:v>
      </x:c>
      <x:c r="P1285" s="56" t="str"/>
      <x:c r="Q1285" s="59" t="str">
        <x:v>待确认</x:v>
      </x:c>
    </x:row>
    <x:row r="1286">
      <x:c r="A1286" s="56" t="str">
        <x:v>P032</x:v>
      </x:c>
      <x:c r="B1286" s="56" t="str">
        <x:v>HX-ADD-020</x:v>
      </x:c>
      <x:c r="C1286" s="56" t="str">
        <x:v>followup</x:v>
      </x:c>
      <x:c r="D1286" s="56" t="n">
        <x:v>40</x:v>
      </x:c>
      <x:c r="E1286" s="56" t="str">
        <x:v>followup.reflection</x:v>
      </x:c>
      <x:c r="F1286" s="56" t="str">
        <x:v>学习反思质量</x:v>
      </x:c>
      <x:c r="G1286" s="56" t="n">
        <x:v>10</x:v>
      </x:c>
      <x:c r="H1286" s="56" t="str">
        <x:v>普通得分项</x:v>
      </x:c>
      <x:c r="I1286" s="56" t="str">
        <x:v>否</x:v>
      </x:c>
      <x:c r="J1286" s="56" t="str">
        <x:v>否</x:v>
      </x:c>
      <x:c r="K1286" s="56" t="str">
        <x:v>否</x:v>
      </x:c>
      <x:c r="L1286" s="56" t="str">
        <x:v>按结构化事件证据给予0/部分/满分；不能由总结反推已完成</x:v>
      </x:c>
      <x:c r="M1286" s="56" t="str"/>
      <x:c r="N1286" s="56" t="n">
        <x:f>SUMIFS($G$4:$G$1673,$A$4:$A$1673,A1286)</x:f>
        <x:v>360</x:v>
      </x:c>
      <x:c r="O1286" s="56" t="str">
        <x:f>IF(N1286=360,"通过","失败")</x:f>
        <x:v>通过</x:v>
      </x:c>
      <x:c r="P1286" s="56" t="str"/>
      <x:c r="Q1286" s="59" t="str">
        <x:v>待确认</x:v>
      </x:c>
    </x:row>
    <x:row r="1287">
      <x:c r="A1287" s="56" t="str">
        <x:v>P032</x:v>
      </x:c>
      <x:c r="B1287" s="56" t="str">
        <x:v>HX-ADD-020</x:v>
      </x:c>
      <x:c r="C1287" s="56" t="str">
        <x:v>followup</x:v>
      </x:c>
      <x:c r="D1287" s="56" t="n">
        <x:v>40</x:v>
      </x:c>
      <x:c r="E1287" s="56" t="str">
        <x:v>followup.efficiency</x:v>
      </x:c>
      <x:c r="F1287" s="56" t="str">
        <x:v>操作效率</x:v>
      </x:c>
      <x:c r="G1287" s="56" t="n">
        <x:v>10</x:v>
      </x:c>
      <x:c r="H1287" s="56" t="str">
        <x:v>普通得分项</x:v>
      </x:c>
      <x:c r="I1287" s="56" t="str">
        <x:v>否</x:v>
      </x:c>
      <x:c r="J1287" s="56" t="str">
        <x:v>否</x:v>
      </x:c>
      <x:c r="K1287" s="56" t="str">
        <x:v>否</x:v>
      </x:c>
      <x:c r="L1287" s="56" t="str">
        <x:v>按结构化事件证据给予0/部分/满分；不能由总结反推已完成</x:v>
      </x:c>
      <x:c r="M1287" s="56" t="str"/>
      <x:c r="N1287" s="56" t="n">
        <x:f>SUMIFS($G$4:$G$1673,$A$4:$A$1673,A1287)</x:f>
        <x:v>360</x:v>
      </x:c>
      <x:c r="O1287" s="56" t="str">
        <x:f>IF(N1287=360,"通过","失败")</x:f>
        <x:v>通过</x:v>
      </x:c>
      <x:c r="P1287" s="56" t="str"/>
      <x:c r="Q1287" s="59" t="str">
        <x:v>待确认</x:v>
      </x:c>
    </x:row>
    <x:row r="1288">
      <x:c r="A1288" s="56" t="str">
        <x:v>P032</x:v>
      </x:c>
      <x:c r="B1288" s="56" t="str">
        <x:v>HX-ADD-020</x:v>
      </x:c>
      <x:c r="C1288" s="56" t="str">
        <x:v>safety_gate</x:v>
      </x:c>
      <x:c r="D1288" s="56" t="n">
        <x:v>0</x:v>
      </x:c>
      <x:c r="E1288" s="56" t="str">
        <x:v>safety.P032.1</x:v>
      </x:c>
      <x:c r="F1288" s="56" t="str">
        <x:v>严重AKI、肺水肿、少尿或高血压急症未处理</x:v>
      </x:c>
      <x:c r="G1288" s="56" t="n">
        <x:v>0</x:v>
      </x:c>
      <x:c r="H1288" s="56" t="str">
        <x:v>患者安全关键项</x:v>
      </x:c>
      <x:c r="I1288" s="56" t="str">
        <x:v>是</x:v>
      </x:c>
      <x:c r="J1288" s="56" t="str">
        <x:v>是</x:v>
      </x:c>
      <x:c r="K1288" s="56" t="str">
        <x:v>是</x:v>
      </x:c>
      <x:c r="L1288" s="56" t="str">
        <x:v>触发时不加分并按专家设定封顶</x:v>
      </x:c>
      <x:c r="M1288" s="56" t="str">
        <x:v>严重AKI、肺水肿、少尿或高血压急症未处理</x:v>
      </x:c>
      <x:c r="N1288" s="56" t="n">
        <x:f>SUMIFS($G$4:$G$1673,$A$4:$A$1673,A1288)</x:f>
        <x:v>360</x:v>
      </x:c>
      <x:c r="O1288" s="56" t="str">
        <x:f>IF(N1288=360,"通过","失败")</x:f>
        <x:v>通过</x:v>
      </x:c>
      <x:c r="P1288" s="56" t="str"/>
      <x:c r="Q1288" s="59" t="str">
        <x:v>待确认</x:v>
      </x:c>
    </x:row>
    <x:row r="1289">
      <x:c r="A1289" s="56" t="str">
        <x:v>P033</x:v>
      </x:c>
      <x:c r="B1289" s="56" t="str">
        <x:v>HX-ADD-021</x:v>
      </x:c>
      <x:c r="C1289" s="56" t="str">
        <x:v>history</x:v>
      </x:c>
      <x:c r="D1289" s="56" t="n">
        <x:v>50</x:v>
      </x:c>
      <x:c r="E1289" s="56" t="str">
        <x:v>history.hematuria_visibility</x:v>
      </x:c>
      <x:c r="F1289" s="56" t="str">
        <x:v>hematuria_visibility</x:v>
      </x:c>
      <x:c r="G1289" s="56" t="n">
        <x:v>5</x:v>
      </x:c>
      <x:c r="H1289" s="56" t="str">
        <x:v>普通得分项</x:v>
      </x:c>
      <x:c r="I1289" s="56" t="str">
        <x:v>否</x:v>
      </x:c>
      <x:c r="J1289" s="56" t="str">
        <x:v>否</x:v>
      </x:c>
      <x:c r="K1289" s="56" t="str">
        <x:v>否</x:v>
      </x:c>
      <x:c r="L1289" s="56" t="str">
        <x:v>按结构化事件证据给予0/部分/满分；不能由总结反推已完成</x:v>
      </x:c>
      <x:c r="M1289" s="56" t="str"/>
      <x:c r="N1289" s="56" t="n">
        <x:f>SUMIFS($G$4:$G$1673,$A$4:$A$1673,A1289)</x:f>
        <x:v>360</x:v>
      </x:c>
      <x:c r="O1289" s="56" t="str">
        <x:f>IF(N1289=360,"通过","失败")</x:f>
        <x:v>通过</x:v>
      </x:c>
      <x:c r="P1289" s="56" t="str"/>
      <x:c r="Q1289" s="59" t="str">
        <x:v>待确认</x:v>
      </x:c>
    </x:row>
    <x:row r="1290">
      <x:c r="A1290" s="56" t="str">
        <x:v>P033</x:v>
      </x:c>
      <x:c r="B1290" s="56" t="str">
        <x:v>HX-ADD-021</x:v>
      </x:c>
      <x:c r="C1290" s="56" t="str">
        <x:v>history</x:v>
      </x:c>
      <x:c r="D1290" s="56" t="n">
        <x:v>50</x:v>
      </x:c>
      <x:c r="E1290" s="56" t="str">
        <x:v>history.hematuria_onset</x:v>
      </x:c>
      <x:c r="F1290" s="56" t="str">
        <x:v>hematuria_onset</x:v>
      </x:c>
      <x:c r="G1290" s="56" t="n">
        <x:v>5</x:v>
      </x:c>
      <x:c r="H1290" s="56" t="str">
        <x:v>普通得分项</x:v>
      </x:c>
      <x:c r="I1290" s="56" t="str">
        <x:v>否</x:v>
      </x:c>
      <x:c r="J1290" s="56" t="str">
        <x:v>否</x:v>
      </x:c>
      <x:c r="K1290" s="56" t="str">
        <x:v>否</x:v>
      </x:c>
      <x:c r="L1290" s="56" t="str">
        <x:v>按结构化事件证据给予0/部分/满分；不能由总结反推已完成</x:v>
      </x:c>
      <x:c r="M1290" s="56" t="str"/>
      <x:c r="N1290" s="56" t="n">
        <x:f>SUMIFS($G$4:$G$1673,$A$4:$A$1673,A1290)</x:f>
        <x:v>360</x:v>
      </x:c>
      <x:c r="O1290" s="56" t="str">
        <x:f>IF(N1290=360,"通过","失败")</x:f>
        <x:v>通过</x:v>
      </x:c>
      <x:c r="P1290" s="56" t="str"/>
      <x:c r="Q1290" s="59" t="str">
        <x:v>待确认</x:v>
      </x:c>
    </x:row>
    <x:row r="1291">
      <x:c r="A1291" s="56" t="str">
        <x:v>P033</x:v>
      </x:c>
      <x:c r="B1291" s="56" t="str">
        <x:v>HX-ADD-021</x:v>
      </x:c>
      <x:c r="C1291" s="56" t="str">
        <x:v>history</x:v>
      </x:c>
      <x:c r="D1291" s="56" t="n">
        <x:v>50</x:v>
      </x:c>
      <x:c r="E1291" s="56" t="str">
        <x:v>history.hematuria_frequency</x:v>
      </x:c>
      <x:c r="F1291" s="56" t="str">
        <x:v>hematuria_frequency</x:v>
      </x:c>
      <x:c r="G1291" s="56" t="n">
        <x:v>4</x:v>
      </x:c>
      <x:c r="H1291" s="56" t="str">
        <x:v>普通得分项</x:v>
      </x:c>
      <x:c r="I1291" s="56" t="str">
        <x:v>否</x:v>
      </x:c>
      <x:c r="J1291" s="56" t="str">
        <x:v>否</x:v>
      </x:c>
      <x:c r="K1291" s="56" t="str">
        <x:v>否</x:v>
      </x:c>
      <x:c r="L1291" s="56" t="str">
        <x:v>按结构化事件证据给予0/部分/满分；不能由总结反推已完成</x:v>
      </x:c>
      <x:c r="M1291" s="56" t="str"/>
      <x:c r="N1291" s="56" t="n">
        <x:f>SUMIFS($G$4:$G$1673,$A$4:$A$1673,A1291)</x:f>
        <x:v>360</x:v>
      </x:c>
      <x:c r="O1291" s="56" t="str">
        <x:f>IF(N1291=360,"通过","失败")</x:f>
        <x:v>通过</x:v>
      </x:c>
      <x:c r="P1291" s="56" t="str"/>
      <x:c r="Q1291" s="59" t="str">
        <x:v>待确认</x:v>
      </x:c>
    </x:row>
    <x:row r="1292">
      <x:c r="A1292" s="56" t="str">
        <x:v>P033</x:v>
      </x:c>
      <x:c r="B1292" s="56" t="str">
        <x:v>HX-ADD-021</x:v>
      </x:c>
      <x:c r="C1292" s="56" t="str">
        <x:v>history</x:v>
      </x:c>
      <x:c r="D1292" s="56" t="n">
        <x:v>50</x:v>
      </x:c>
      <x:c r="E1292" s="56" t="str">
        <x:v>history.hematuria_phase</x:v>
      </x:c>
      <x:c r="F1292" s="56" t="str">
        <x:v>hematuria_phase</x:v>
      </x:c>
      <x:c r="G1292" s="56" t="n">
        <x:v>4</x:v>
      </x:c>
      <x:c r="H1292" s="56" t="str">
        <x:v>普通得分项</x:v>
      </x:c>
      <x:c r="I1292" s="56" t="str">
        <x:v>否</x:v>
      </x:c>
      <x:c r="J1292" s="56" t="str">
        <x:v>否</x:v>
      </x:c>
      <x:c r="K1292" s="56" t="str">
        <x:v>否</x:v>
      </x:c>
      <x:c r="L1292" s="56" t="str">
        <x:v>按结构化事件证据给予0/部分/满分；不能由总结反推已完成</x:v>
      </x:c>
      <x:c r="M1292" s="56" t="str"/>
      <x:c r="N1292" s="56" t="n">
        <x:f>SUMIFS($G$4:$G$1673,$A$4:$A$1673,A1292)</x:f>
        <x:v>360</x:v>
      </x:c>
      <x:c r="O1292" s="56" t="str">
        <x:f>IF(N1292=360,"通过","失败")</x:f>
        <x:v>通过</x:v>
      </x:c>
      <x:c r="P1292" s="56" t="str"/>
      <x:c r="Q1292" s="59" t="str">
        <x:v>待确认</x:v>
      </x:c>
    </x:row>
    <x:row r="1293">
      <x:c r="A1293" s="56" t="str">
        <x:v>P033</x:v>
      </x:c>
      <x:c r="B1293" s="56" t="str">
        <x:v>HX-ADD-021</x:v>
      </x:c>
      <x:c r="C1293" s="56" t="str">
        <x:v>history</x:v>
      </x:c>
      <x:c r="D1293" s="56" t="n">
        <x:v>50</x:v>
      </x:c>
      <x:c r="E1293" s="56" t="str">
        <x:v>history.urine_color</x:v>
      </x:c>
      <x:c r="F1293" s="56" t="str">
        <x:v>urine_color</x:v>
      </x:c>
      <x:c r="G1293" s="56" t="n">
        <x:v>4</x:v>
      </x:c>
      <x:c r="H1293" s="56" t="str">
        <x:v>普通得分项</x:v>
      </x:c>
      <x:c r="I1293" s="56" t="str">
        <x:v>否</x:v>
      </x:c>
      <x:c r="J1293" s="56" t="str">
        <x:v>否</x:v>
      </x:c>
      <x:c r="K1293" s="56" t="str">
        <x:v>否</x:v>
      </x:c>
      <x:c r="L1293" s="56" t="str">
        <x:v>按结构化事件证据给予0/部分/满分；不能由总结反推已完成</x:v>
      </x:c>
      <x:c r="M1293" s="56" t="str"/>
      <x:c r="N1293" s="56" t="n">
        <x:f>SUMIFS($G$4:$G$1673,$A$4:$A$1673,A1293)</x:f>
        <x:v>360</x:v>
      </x:c>
      <x:c r="O1293" s="56" t="str">
        <x:f>IF(N1293=360,"通过","失败")</x:f>
        <x:v>通过</x:v>
      </x:c>
      <x:c r="P1293" s="56" t="str"/>
      <x:c r="Q1293" s="59" t="str">
        <x:v>待确认</x:v>
      </x:c>
    </x:row>
    <x:row r="1294">
      <x:c r="A1294" s="56" t="str">
        <x:v>P033</x:v>
      </x:c>
      <x:c r="B1294" s="56" t="str">
        <x:v>HX-ADD-021</x:v>
      </x:c>
      <x:c r="C1294" s="56" t="str">
        <x:v>history</x:v>
      </x:c>
      <x:c r="D1294" s="56" t="n">
        <x:v>50</x:v>
      </x:c>
      <x:c r="E1294" s="56" t="str">
        <x:v>history.clots</x:v>
      </x:c>
      <x:c r="F1294" s="56" t="str">
        <x:v>clots</x:v>
      </x:c>
      <x:c r="G1294" s="56" t="n">
        <x:v>4</x:v>
      </x:c>
      <x:c r="H1294" s="56" t="str">
        <x:v>普通得分项</x:v>
      </x:c>
      <x:c r="I1294" s="56" t="str">
        <x:v>否</x:v>
      </x:c>
      <x:c r="J1294" s="56" t="str">
        <x:v>否</x:v>
      </x:c>
      <x:c r="K1294" s="56" t="str">
        <x:v>否</x:v>
      </x:c>
      <x:c r="L1294" s="56" t="str">
        <x:v>按结构化事件证据给予0/部分/满分；不能由总结反推已完成</x:v>
      </x:c>
      <x:c r="M1294" s="56" t="str"/>
      <x:c r="N1294" s="56" t="n">
        <x:f>SUMIFS($G$4:$G$1673,$A$4:$A$1673,A1294)</x:f>
        <x:v>360</x:v>
      </x:c>
      <x:c r="O1294" s="56" t="str">
        <x:f>IF(N1294=360,"通过","失败")</x:f>
        <x:v>通过</x:v>
      </x:c>
      <x:c r="P1294" s="56" t="str"/>
      <x:c r="Q1294" s="59" t="str">
        <x:v>待确认</x:v>
      </x:c>
    </x:row>
    <x:row r="1295">
      <x:c r="A1295" s="56" t="str">
        <x:v>P033</x:v>
      </x:c>
      <x:c r="B1295" s="56" t="str">
        <x:v>HX-ADD-021</x:v>
      </x:c>
      <x:c r="C1295" s="56" t="str">
        <x:v>history</x:v>
      </x:c>
      <x:c r="D1295" s="56" t="n">
        <x:v>50</x:v>
      </x:c>
      <x:c r="E1295" s="56" t="str">
        <x:v>history.pain</x:v>
      </x:c>
      <x:c r="F1295" s="56" t="str">
        <x:v>pain</x:v>
      </x:c>
      <x:c r="G1295" s="56" t="n">
        <x:v>4</x:v>
      </x:c>
      <x:c r="H1295" s="56" t="str">
        <x:v>普通得分项</x:v>
      </x:c>
      <x:c r="I1295" s="56" t="str">
        <x:v>否</x:v>
      </x:c>
      <x:c r="J1295" s="56" t="str">
        <x:v>否</x:v>
      </x:c>
      <x:c r="K1295" s="56" t="str">
        <x:v>否</x:v>
      </x:c>
      <x:c r="L1295" s="56" t="str">
        <x:v>按结构化事件证据给予0/部分/满分；不能由总结反推已完成</x:v>
      </x:c>
      <x:c r="M1295" s="56" t="str"/>
      <x:c r="N1295" s="56" t="n">
        <x:f>SUMIFS($G$4:$G$1673,$A$4:$A$1673,A1295)</x:f>
        <x:v>360</x:v>
      </x:c>
      <x:c r="O1295" s="56" t="str">
        <x:f>IF(N1295=360,"通过","失败")</x:f>
        <x:v>通过</x:v>
      </x:c>
      <x:c r="P1295" s="56" t="str"/>
      <x:c r="Q1295" s="59" t="str">
        <x:v>待确认</x:v>
      </x:c>
    </x:row>
    <x:row r="1296">
      <x:c r="A1296" s="56" t="str">
        <x:v>P033</x:v>
      </x:c>
      <x:c r="B1296" s="56" t="str">
        <x:v>HX-ADD-021</x:v>
      </x:c>
      <x:c r="C1296" s="56" t="str">
        <x:v>history</x:v>
      </x:c>
      <x:c r="D1296" s="56" t="n">
        <x:v>50</x:v>
      </x:c>
      <x:c r="E1296" s="56" t="str">
        <x:v>history.dysuria</x:v>
      </x:c>
      <x:c r="F1296" s="56" t="str">
        <x:v>dysuria</x:v>
      </x:c>
      <x:c r="G1296" s="56" t="n">
        <x:v>4</x:v>
      </x:c>
      <x:c r="H1296" s="56" t="str">
        <x:v>普通得分项</x:v>
      </x:c>
      <x:c r="I1296" s="56" t="str">
        <x:v>否</x:v>
      </x:c>
      <x:c r="J1296" s="56" t="str">
        <x:v>否</x:v>
      </x:c>
      <x:c r="K1296" s="56" t="str">
        <x:v>否</x:v>
      </x:c>
      <x:c r="L1296" s="56" t="str">
        <x:v>按结构化事件证据给予0/部分/满分；不能由总结反推已完成</x:v>
      </x:c>
      <x:c r="M1296" s="56" t="str"/>
      <x:c r="N1296" s="56" t="n">
        <x:f>SUMIFS($G$4:$G$1673,$A$4:$A$1673,A1296)</x:f>
        <x:v>360</x:v>
      </x:c>
      <x:c r="O1296" s="56" t="str">
        <x:f>IF(N1296=360,"通过","失败")</x:f>
        <x:v>通过</x:v>
      </x:c>
      <x:c r="P1296" s="56" t="str"/>
      <x:c r="Q1296" s="59" t="str">
        <x:v>待确认</x:v>
      </x:c>
    </x:row>
    <x:row r="1297">
      <x:c r="A1297" s="56" t="str">
        <x:v>P033</x:v>
      </x:c>
      <x:c r="B1297" s="56" t="str">
        <x:v>HX-ADD-021</x:v>
      </x:c>
      <x:c r="C1297" s="56" t="str">
        <x:v>history</x:v>
      </x:c>
      <x:c r="D1297" s="56" t="n">
        <x:v>50</x:v>
      </x:c>
      <x:c r="E1297" s="56" t="str">
        <x:v>history.urinary_frequency</x:v>
      </x:c>
      <x:c r="F1297" s="56" t="str">
        <x:v>urinary_frequency</x:v>
      </x:c>
      <x:c r="G1297" s="56" t="n">
        <x:v>4</x:v>
      </x:c>
      <x:c r="H1297" s="56" t="str">
        <x:v>普通得分项</x:v>
      </x:c>
      <x:c r="I1297" s="56" t="str">
        <x:v>否</x:v>
      </x:c>
      <x:c r="J1297" s="56" t="str">
        <x:v>否</x:v>
      </x:c>
      <x:c r="K1297" s="56" t="str">
        <x:v>否</x:v>
      </x:c>
      <x:c r="L1297" s="56" t="str">
        <x:v>按结构化事件证据给予0/部分/满分；不能由总结反推已完成</x:v>
      </x:c>
      <x:c r="M1297" s="56" t="str"/>
      <x:c r="N1297" s="56" t="n">
        <x:f>SUMIFS($G$4:$G$1673,$A$4:$A$1673,A1297)</x:f>
        <x:v>360</x:v>
      </x:c>
      <x:c r="O1297" s="56" t="str">
        <x:f>IF(N1297=360,"通过","失败")</x:f>
        <x:v>通过</x:v>
      </x:c>
      <x:c r="P1297" s="56" t="str"/>
      <x:c r="Q1297" s="59" t="str">
        <x:v>待确认</x:v>
      </x:c>
    </x:row>
    <x:row r="1298">
      <x:c r="A1298" s="56" t="str">
        <x:v>P033</x:v>
      </x:c>
      <x:c r="B1298" s="56" t="str">
        <x:v>HX-ADD-021</x:v>
      </x:c>
      <x:c r="C1298" s="56" t="str">
        <x:v>history</x:v>
      </x:c>
      <x:c r="D1298" s="56" t="n">
        <x:v>50</x:v>
      </x:c>
      <x:c r="E1298" s="56" t="str">
        <x:v>history.urinary_urgency</x:v>
      </x:c>
      <x:c r="F1298" s="56" t="str">
        <x:v>urinary_urgency</x:v>
      </x:c>
      <x:c r="G1298" s="56" t="n">
        <x:v>4</x:v>
      </x:c>
      <x:c r="H1298" s="56" t="str">
        <x:v>普通得分项</x:v>
      </x:c>
      <x:c r="I1298" s="56" t="str">
        <x:v>否</x:v>
      </x:c>
      <x:c r="J1298" s="56" t="str">
        <x:v>否</x:v>
      </x:c>
      <x:c r="K1298" s="56" t="str">
        <x:v>否</x:v>
      </x:c>
      <x:c r="L1298" s="56" t="str">
        <x:v>按结构化事件证据给予0/部分/满分；不能由总结反推已完成</x:v>
      </x:c>
      <x:c r="M1298" s="56" t="str"/>
      <x:c r="N1298" s="56" t="n">
        <x:f>SUMIFS($G$4:$G$1673,$A$4:$A$1673,A1298)</x:f>
        <x:v>360</x:v>
      </x:c>
      <x:c r="O1298" s="56" t="str">
        <x:f>IF(N1298=360,"通过","失败")</x:f>
        <x:v>通过</x:v>
      </x:c>
      <x:c r="P1298" s="56" t="str"/>
      <x:c r="Q1298" s="59" t="str">
        <x:v>待确认</x:v>
      </x:c>
    </x:row>
    <x:row r="1299">
      <x:c r="A1299" s="56" t="str">
        <x:v>P033</x:v>
      </x:c>
      <x:c r="B1299" s="56" t="str">
        <x:v>HX-ADD-021</x:v>
      </x:c>
      <x:c r="C1299" s="56" t="str">
        <x:v>history</x:v>
      </x:c>
      <x:c r="D1299" s="56" t="n">
        <x:v>50</x:v>
      </x:c>
      <x:c r="E1299" s="56" t="str">
        <x:v>history.flank_pain</x:v>
      </x:c>
      <x:c r="F1299" s="56" t="str">
        <x:v>flank_pain</x:v>
      </x:c>
      <x:c r="G1299" s="56" t="n">
        <x:v>4</x:v>
      </x:c>
      <x:c r="H1299" s="56" t="str">
        <x:v>普通得分项</x:v>
      </x:c>
      <x:c r="I1299" s="56" t="str">
        <x:v>否</x:v>
      </x:c>
      <x:c r="J1299" s="56" t="str">
        <x:v>否</x:v>
      </x:c>
      <x:c r="K1299" s="56" t="str">
        <x:v>否</x:v>
      </x:c>
      <x:c r="L1299" s="56" t="str">
        <x:v>按结构化事件证据给予0/部分/满分；不能由总结反推已完成</x:v>
      </x:c>
      <x:c r="M1299" s="56" t="str"/>
      <x:c r="N1299" s="56" t="n">
        <x:f>SUMIFS($G$4:$G$1673,$A$4:$A$1673,A1299)</x:f>
        <x:v>360</x:v>
      </x:c>
      <x:c r="O1299" s="56" t="str">
        <x:f>IF(N1299=360,"通过","失败")</x:f>
        <x:v>通过</x:v>
      </x:c>
      <x:c r="P1299" s="56" t="str"/>
      <x:c r="Q1299" s="59" t="str">
        <x:v>待确认</x:v>
      </x:c>
    </x:row>
    <x:row r="1300">
      <x:c r="A1300" s="56" t="str">
        <x:v>P033</x:v>
      </x:c>
      <x:c r="B1300" s="56" t="str">
        <x:v>HX-ADD-021</x:v>
      </x:c>
      <x:c r="C1300" s="56" t="str">
        <x:v>history</x:v>
      </x:c>
      <x:c r="D1300" s="56" t="n">
        <x:v>50</x:v>
      </x:c>
      <x:c r="E1300" s="56" t="str">
        <x:v>history.fever_chills</x:v>
      </x:c>
      <x:c r="F1300" s="56" t="str">
        <x:v>fever_chills</x:v>
      </x:c>
      <x:c r="G1300" s="56" t="n">
        <x:v>4</x:v>
      </x:c>
      <x:c r="H1300" s="56" t="str">
        <x:v>普通得分项</x:v>
      </x:c>
      <x:c r="I1300" s="56" t="str">
        <x:v>否</x:v>
      </x:c>
      <x:c r="J1300" s="56" t="str">
        <x:v>否</x:v>
      </x:c>
      <x:c r="K1300" s="56" t="str">
        <x:v>否</x:v>
      </x:c>
      <x:c r="L1300" s="56" t="str">
        <x:v>按结构化事件证据给予0/部分/满分；不能由总结反推已完成</x:v>
      </x:c>
      <x:c r="M1300" s="56" t="str"/>
      <x:c r="N1300" s="56" t="n">
        <x:f>SUMIFS($G$4:$G$1673,$A$4:$A$1673,A1300)</x:f>
        <x:v>360</x:v>
      </x:c>
      <x:c r="O1300" s="56" t="str">
        <x:f>IF(N1300=360,"通过","失败")</x:f>
        <x:v>通过</x:v>
      </x:c>
      <x:c r="P1300" s="56" t="str"/>
      <x:c r="Q1300" s="59" t="str">
        <x:v>待确认</x:v>
      </x:c>
    </x:row>
    <x:row r="1301">
      <x:c r="A1301" s="56" t="str">
        <x:v>P033</x:v>
      </x:c>
      <x:c r="B1301" s="56" t="str">
        <x:v>HX-ADD-021</x:v>
      </x:c>
      <x:c r="C1301" s="56" t="str">
        <x:v>risk</x:v>
      </x:c>
      <x:c r="D1301" s="56" t="n">
        <x:v>40</x:v>
      </x:c>
      <x:c r="E1301" s="56" t="str">
        <x:v>risk.glomerular_features</x:v>
      </x:c>
      <x:c r="F1301" s="56" t="str">
        <x:v>glomerular_features</x:v>
      </x:c>
      <x:c r="G1301" s="56" t="n">
        <x:v>8</x:v>
      </x:c>
      <x:c r="H1301" s="56" t="str">
        <x:v>普通得分项</x:v>
      </x:c>
      <x:c r="I1301" s="56" t="str">
        <x:v>否</x:v>
      </x:c>
      <x:c r="J1301" s="56" t="str">
        <x:v>否</x:v>
      </x:c>
      <x:c r="K1301" s="56" t="str">
        <x:v>否</x:v>
      </x:c>
      <x:c r="L1301" s="56" t="str">
        <x:v>按结构化事件证据给予0/部分/满分；不能由总结反推已完成</x:v>
      </x:c>
      <x:c r="M1301" s="56" t="str"/>
      <x:c r="N1301" s="56" t="n">
        <x:f>SUMIFS($G$4:$G$1673,$A$4:$A$1673,A1301)</x:f>
        <x:v>360</x:v>
      </x:c>
      <x:c r="O1301" s="56" t="str">
        <x:f>IF(N1301=360,"通过","失败")</x:f>
        <x:v>通过</x:v>
      </x:c>
      <x:c r="P1301" s="56" t="str"/>
      <x:c r="Q1301" s="59" t="str">
        <x:v>待确认</x:v>
      </x:c>
    </x:row>
    <x:row r="1302">
      <x:c r="A1302" s="56" t="str">
        <x:v>P033</x:v>
      </x:c>
      <x:c r="B1302" s="56" t="str">
        <x:v>HX-ADD-021</x:v>
      </x:c>
      <x:c r="C1302" s="56" t="str">
        <x:v>risk</x:v>
      </x:c>
      <x:c r="D1302" s="56" t="n">
        <x:v>40</x:v>
      </x:c>
      <x:c r="E1302" s="56" t="str">
        <x:v>risk.recent_uri</x:v>
      </x:c>
      <x:c r="F1302" s="56" t="str">
        <x:v>recent_uri</x:v>
      </x:c>
      <x:c r="G1302" s="56" t="n">
        <x:v>8</x:v>
      </x:c>
      <x:c r="H1302" s="56" t="str">
        <x:v>普通得分项</x:v>
      </x:c>
      <x:c r="I1302" s="56" t="str">
        <x:v>否</x:v>
      </x:c>
      <x:c r="J1302" s="56" t="str">
        <x:v>否</x:v>
      </x:c>
      <x:c r="K1302" s="56" t="str">
        <x:v>否</x:v>
      </x:c>
      <x:c r="L1302" s="56" t="str">
        <x:v>按结构化事件证据给予0/部分/满分；不能由总结反推已完成</x:v>
      </x:c>
      <x:c r="M1302" s="56" t="str"/>
      <x:c r="N1302" s="56" t="n">
        <x:f>SUMIFS($G$4:$G$1673,$A$4:$A$1673,A1302)</x:f>
        <x:v>360</x:v>
      </x:c>
      <x:c r="O1302" s="56" t="str">
        <x:f>IF(N1302=360,"通过","失败")</x:f>
        <x:v>通过</x:v>
      </x:c>
      <x:c r="P1302" s="56" t="str"/>
      <x:c r="Q1302" s="59" t="str">
        <x:v>待确认</x:v>
      </x:c>
    </x:row>
    <x:row r="1303">
      <x:c r="A1303" s="56" t="str">
        <x:v>P033</x:v>
      </x:c>
      <x:c r="B1303" s="56" t="str">
        <x:v>HX-ADD-021</x:v>
      </x:c>
      <x:c r="C1303" s="56" t="str">
        <x:v>risk</x:v>
      </x:c>
      <x:c r="D1303" s="56" t="n">
        <x:v>40</x:v>
      </x:c>
      <x:c r="E1303" s="56" t="str">
        <x:v>risk.family_history</x:v>
      </x:c>
      <x:c r="F1303" s="56" t="str">
        <x:v>family_history</x:v>
      </x:c>
      <x:c r="G1303" s="56" t="n">
        <x:v>8</x:v>
      </x:c>
      <x:c r="H1303" s="56" t="str">
        <x:v>普通得分项</x:v>
      </x:c>
      <x:c r="I1303" s="56" t="str">
        <x:v>否</x:v>
      </x:c>
      <x:c r="J1303" s="56" t="str">
        <x:v>否</x:v>
      </x:c>
      <x:c r="K1303" s="56" t="str">
        <x:v>否</x:v>
      </x:c>
      <x:c r="L1303" s="56" t="str">
        <x:v>按结构化事件证据给予0/部分/满分；不能由总结反推已完成</x:v>
      </x:c>
      <x:c r="M1303" s="56" t="str"/>
      <x:c r="N1303" s="56" t="n">
        <x:f>SUMIFS($G$4:$G$1673,$A$4:$A$1673,A1303)</x:f>
        <x:v>360</x:v>
      </x:c>
      <x:c r="O1303" s="56" t="str">
        <x:f>IF(N1303=360,"通过","失败")</x:f>
        <x:v>通过</x:v>
      </x:c>
      <x:c r="P1303" s="56" t="str"/>
      <x:c r="Q1303" s="59" t="str">
        <x:v>待确认</x:v>
      </x:c>
    </x:row>
    <x:row r="1304">
      <x:c r="A1304" s="56" t="str">
        <x:v>P033</x:v>
      </x:c>
      <x:c r="B1304" s="56" t="str">
        <x:v>HX-ADD-021</x:v>
      </x:c>
      <x:c r="C1304" s="56" t="str">
        <x:v>risk</x:v>
      </x:c>
      <x:c r="D1304" s="56" t="n">
        <x:v>40</x:v>
      </x:c>
      <x:c r="E1304" s="56" t="str">
        <x:v>risk.bleeding_tendency</x:v>
      </x:c>
      <x:c r="F1304" s="56" t="str">
        <x:v>bleeding_tendency</x:v>
      </x:c>
      <x:c r="G1304" s="56" t="n">
        <x:v>8</x:v>
      </x:c>
      <x:c r="H1304" s="56" t="str">
        <x:v>普通得分项</x:v>
      </x:c>
      <x:c r="I1304" s="56" t="str">
        <x:v>否</x:v>
      </x:c>
      <x:c r="J1304" s="56" t="str">
        <x:v>否</x:v>
      </x:c>
      <x:c r="K1304" s="56" t="str">
        <x:v>否</x:v>
      </x:c>
      <x:c r="L1304" s="56" t="str">
        <x:v>按结构化事件证据给予0/部分/满分；不能由总结反推已完成</x:v>
      </x:c>
      <x:c r="M1304" s="56" t="str"/>
      <x:c r="N1304" s="56" t="n">
        <x:f>SUMIFS($G$4:$G$1673,$A$4:$A$1673,A1304)</x:f>
        <x:v>360</x:v>
      </x:c>
      <x:c r="O1304" s="56" t="str">
        <x:f>IF(N1304=360,"通过","失败")</x:f>
        <x:v>通过</x:v>
      </x:c>
      <x:c r="P1304" s="56" t="str"/>
      <x:c r="Q1304" s="59" t="str">
        <x:v>待确认</x:v>
      </x:c>
    </x:row>
    <x:row r="1305">
      <x:c r="A1305" s="56" t="str">
        <x:v>P033</x:v>
      </x:c>
      <x:c r="B1305" s="56" t="str">
        <x:v>HX-ADD-021</x:v>
      </x:c>
      <x:c r="C1305" s="56" t="str">
        <x:v>risk</x:v>
      </x:c>
      <x:c r="D1305" s="56" t="n">
        <x:v>40</x:v>
      </x:c>
      <x:c r="E1305" s="56" t="str">
        <x:v>risk.gynecologic_contamination</x:v>
      </x:c>
      <x:c r="F1305" s="56" t="str">
        <x:v>gynecologic_contamination</x:v>
      </x:c>
      <x:c r="G1305" s="56" t="n">
        <x:v>8</x:v>
      </x:c>
      <x:c r="H1305" s="56" t="str">
        <x:v>普通得分项</x:v>
      </x:c>
      <x:c r="I1305" s="56" t="str">
        <x:v>否</x:v>
      </x:c>
      <x:c r="J1305" s="56" t="str">
        <x:v>否</x:v>
      </x:c>
      <x:c r="K1305" s="56" t="str">
        <x:v>否</x:v>
      </x:c>
      <x:c r="L1305" s="56" t="str">
        <x:v>按结构化事件证据给予0/部分/满分；不能由总结反推已完成</x:v>
      </x:c>
      <x:c r="M1305" s="56" t="str"/>
      <x:c r="N1305" s="56" t="n">
        <x:f>SUMIFS($G$4:$G$1673,$A$4:$A$1673,A1305)</x:f>
        <x:v>360</x:v>
      </x:c>
      <x:c r="O1305" s="56" t="str">
        <x:f>IF(N1305=360,"通过","失败")</x:f>
        <x:v>通过</x:v>
      </x:c>
      <x:c r="P1305" s="56" t="str"/>
      <x:c r="Q1305" s="59" t="str">
        <x:v>待确认</x:v>
      </x:c>
    </x:row>
    <x:row r="1306">
      <x:c r="A1306" s="56" t="str">
        <x:v>P033</x:v>
      </x:c>
      <x:c r="B1306" s="56" t="str">
        <x:v>HX-ADD-021</x:v>
      </x:c>
      <x:c r="C1306" s="56" t="str">
        <x:v>exam</x:v>
      </x:c>
      <x:c r="D1306" s="56" t="n">
        <x:v>35</x:v>
      </x:c>
      <x:c r="E1306" s="56" t="str">
        <x:v>exam.temperature</x:v>
      </x:c>
      <x:c r="F1306" s="56" t="str">
        <x:v>体温</x:v>
      </x:c>
      <x:c r="G1306" s="56" t="n">
        <x:v>12</x:v>
      </x:c>
      <x:c r="H1306" s="56" t="str">
        <x:v>普通得分项</x:v>
      </x:c>
      <x:c r="I1306" s="56" t="str">
        <x:v>否</x:v>
      </x:c>
      <x:c r="J1306" s="56" t="str">
        <x:v>否</x:v>
      </x:c>
      <x:c r="K1306" s="56" t="str">
        <x:v>否</x:v>
      </x:c>
      <x:c r="L1306" s="56" t="str">
        <x:v>按结构化事件证据给予0/部分/满分；不能由总结反推已完成</x:v>
      </x:c>
      <x:c r="M1306" s="56" t="str"/>
      <x:c r="N1306" s="56" t="n">
        <x:f>SUMIFS($G$4:$G$1673,$A$4:$A$1673,A1306)</x:f>
        <x:v>360</x:v>
      </x:c>
      <x:c r="O1306" s="56" t="str">
        <x:f>IF(N1306=360,"通过","失败")</x:f>
        <x:v>通过</x:v>
      </x:c>
      <x:c r="P1306" s="56" t="str"/>
      <x:c r="Q1306" s="59" t="str">
        <x:v>待确认</x:v>
      </x:c>
    </x:row>
    <x:row r="1307">
      <x:c r="A1307" s="56" t="str">
        <x:v>P033</x:v>
      </x:c>
      <x:c r="B1307" s="56" t="str">
        <x:v>HX-ADD-021</x:v>
      </x:c>
      <x:c r="C1307" s="56" t="str">
        <x:v>exam</x:v>
      </x:c>
      <x:c r="D1307" s="56" t="n">
        <x:v>35</x:v>
      </x:c>
      <x:c r="E1307" s="56" t="str">
        <x:v>exam.blood_pressure</x:v>
      </x:c>
      <x:c r="F1307" s="56" t="str">
        <x:v>血压</x:v>
      </x:c>
      <x:c r="G1307" s="56" t="n">
        <x:v>12</x:v>
      </x:c>
      <x:c r="H1307" s="56" t="str">
        <x:v>普通得分项</x:v>
      </x:c>
      <x:c r="I1307" s="56" t="str">
        <x:v>否</x:v>
      </x:c>
      <x:c r="J1307" s="56" t="str">
        <x:v>否</x:v>
      </x:c>
      <x:c r="K1307" s="56" t="str">
        <x:v>否</x:v>
      </x:c>
      <x:c r="L1307" s="56" t="str">
        <x:v>按结构化事件证据给予0/部分/满分；不能由总结反推已完成</x:v>
      </x:c>
      <x:c r="M1307" s="56" t="str"/>
      <x:c r="N1307" s="56" t="n">
        <x:f>SUMIFS($G$4:$G$1673,$A$4:$A$1673,A1307)</x:f>
        <x:v>360</x:v>
      </x:c>
      <x:c r="O1307" s="56" t="str">
        <x:f>IF(N1307=360,"通过","失败")</x:f>
        <x:v>通过</x:v>
      </x:c>
      <x:c r="P1307" s="56" t="str"/>
      <x:c r="Q1307" s="59" t="str">
        <x:v>待确认</x:v>
      </x:c>
    </x:row>
    <x:row r="1308">
      <x:c r="A1308" s="56" t="str">
        <x:v>P033</x:v>
      </x:c>
      <x:c r="B1308" s="56" t="str">
        <x:v>HX-ADD-021</x:v>
      </x:c>
      <x:c r="C1308" s="56" t="str">
        <x:v>exam</x:v>
      </x:c>
      <x:c r="D1308" s="56" t="n">
        <x:v>35</x:v>
      </x:c>
      <x:c r="E1308" s="56" t="str">
        <x:v>exam.targeted</x:v>
      </x:c>
      <x:c r="F1308" s="56" t="str">
        <x:v>病例针对性查体</x:v>
      </x:c>
      <x:c r="G1308" s="56" t="n">
        <x:v>11</x:v>
      </x:c>
      <x:c r="H1308" s="56" t="str">
        <x:v>普通得分项</x:v>
      </x:c>
      <x:c r="I1308" s="56" t="str">
        <x:v>否</x:v>
      </x:c>
      <x:c r="J1308" s="56" t="str">
        <x:v>否</x:v>
      </x:c>
      <x:c r="K1308" s="56" t="str">
        <x:v>否</x:v>
      </x:c>
      <x:c r="L1308" s="56" t="str">
        <x:v>按结构化事件证据给予0/部分/满分；不能由总结反推已完成</x:v>
      </x:c>
      <x:c r="M1308" s="56" t="str"/>
      <x:c r="N1308" s="56" t="n">
        <x:f>SUMIFS($G$4:$G$1673,$A$4:$A$1673,A1308)</x:f>
        <x:v>360</x:v>
      </x:c>
      <x:c r="O1308" s="56" t="str">
        <x:f>IF(N1308=360,"通过","失败")</x:f>
        <x:v>通过</x:v>
      </x:c>
      <x:c r="P1308" s="56" t="str"/>
      <x:c r="Q1308" s="59" t="str">
        <x:v>待确认</x:v>
      </x:c>
    </x:row>
    <x:row r="1309">
      <x:c r="A1309" s="56" t="str">
        <x:v>P033</x:v>
      </x:c>
      <x:c r="B1309" s="56" t="str">
        <x:v>HX-ADD-021</x:v>
      </x:c>
      <x:c r="C1309" s="56" t="str">
        <x:v>diagnosis</x:v>
      </x:c>
      <x:c r="D1309" s="56" t="n">
        <x:v>45</x:v>
      </x:c>
      <x:c r="E1309" s="56" t="str">
        <x:v>diagnosis.primary</x:v>
      </x:c>
      <x:c r="F1309" s="56" t="str">
        <x:v>最可能诊断及依据</x:v>
      </x:c>
      <x:c r="G1309" s="56" t="n">
        <x:v>15</x:v>
      </x:c>
      <x:c r="H1309" s="56" t="str">
        <x:v>普通得分项</x:v>
      </x:c>
      <x:c r="I1309" s="56" t="str">
        <x:v>否</x:v>
      </x:c>
      <x:c r="J1309" s="56" t="str">
        <x:v>否</x:v>
      </x:c>
      <x:c r="K1309" s="56" t="str">
        <x:v>否</x:v>
      </x:c>
      <x:c r="L1309" s="56" t="str">
        <x:v>按结构化事件证据给予0/部分/满分；不能由总结反推已完成</x:v>
      </x:c>
      <x:c r="M1309" s="56" t="str"/>
      <x:c r="N1309" s="56" t="n">
        <x:f>SUMIFS($G$4:$G$1673,$A$4:$A$1673,A1309)</x:f>
        <x:v>360</x:v>
      </x:c>
      <x:c r="O1309" s="56" t="str">
        <x:f>IF(N1309=360,"通过","失败")</x:f>
        <x:v>通过</x:v>
      </x:c>
      <x:c r="P1309" s="56" t="str"/>
      <x:c r="Q1309" s="59" t="str">
        <x:v>待确认</x:v>
      </x:c>
    </x:row>
    <x:row r="1310">
      <x:c r="A1310" s="56" t="str">
        <x:v>P033</x:v>
      </x:c>
      <x:c r="B1310" s="56" t="str">
        <x:v>HX-ADD-021</x:v>
      </x:c>
      <x:c r="C1310" s="56" t="str">
        <x:v>diagnosis</x:v>
      </x:c>
      <x:c r="D1310" s="56" t="n">
        <x:v>45</x:v>
      </x:c>
      <x:c r="E1310" s="56" t="str">
        <x:v>diagnosis.differentials</x:v>
      </x:c>
      <x:c r="F1310" s="56" t="str">
        <x:v>至少3项鉴别及支持/反对点</x:v>
      </x:c>
      <x:c r="G1310" s="56" t="n">
        <x:v>15</x:v>
      </x:c>
      <x:c r="H1310" s="56" t="str">
        <x:v>普通得分项</x:v>
      </x:c>
      <x:c r="I1310" s="56" t="str">
        <x:v>否</x:v>
      </x:c>
      <x:c r="J1310" s="56" t="str">
        <x:v>否</x:v>
      </x:c>
      <x:c r="K1310" s="56" t="str">
        <x:v>否</x:v>
      </x:c>
      <x:c r="L1310" s="56" t="str">
        <x:v>按结构化事件证据给予0/部分/满分；不能由总结反推已完成</x:v>
      </x:c>
      <x:c r="M1310" s="56" t="str"/>
      <x:c r="N1310" s="56" t="n">
        <x:f>SUMIFS($G$4:$G$1673,$A$4:$A$1673,A1310)</x:f>
        <x:v>360</x:v>
      </x:c>
      <x:c r="O1310" s="56" t="str">
        <x:f>IF(N1310=360,"通过","失败")</x:f>
        <x:v>通过</x:v>
      </x:c>
      <x:c r="P1310" s="56" t="str"/>
      <x:c r="Q1310" s="59" t="str">
        <x:v>待确认</x:v>
      </x:c>
    </x:row>
    <x:row r="1311">
      <x:c r="A1311" s="56" t="str">
        <x:v>P033</x:v>
      </x:c>
      <x:c r="B1311" s="56" t="str">
        <x:v>HX-ADD-021</x:v>
      </x:c>
      <x:c r="C1311" s="56" t="str">
        <x:v>diagnosis</x:v>
      </x:c>
      <x:c r="D1311" s="56" t="n">
        <x:v>45</x:v>
      </x:c>
      <x:c r="E1311" s="56" t="str">
        <x:v>diagnosis.confirmation</x:v>
      </x:c>
      <x:c r="F1311" s="56" t="str">
        <x:v>确认计划</x:v>
      </x:c>
      <x:c r="G1311" s="56" t="n">
        <x:v>15</x:v>
      </x:c>
      <x:c r="H1311" s="56" t="str">
        <x:v>普通得分项</x:v>
      </x:c>
      <x:c r="I1311" s="56" t="str">
        <x:v>否</x:v>
      </x:c>
      <x:c r="J1311" s="56" t="str">
        <x:v>否</x:v>
      </x:c>
      <x:c r="K1311" s="56" t="str">
        <x:v>否</x:v>
      </x:c>
      <x:c r="L1311" s="56" t="str">
        <x:v>按结构化事件证据给予0/部分/满分；不能由总结反推已完成</x:v>
      </x:c>
      <x:c r="M1311" s="56" t="str"/>
      <x:c r="N1311" s="56" t="n">
        <x:f>SUMIFS($G$4:$G$1673,$A$4:$A$1673,A1311)</x:f>
        <x:v>360</x:v>
      </x:c>
      <x:c r="O1311" s="56" t="str">
        <x:f>IF(N1311=360,"通过","失败")</x:f>
        <x:v>通过</x:v>
      </x:c>
      <x:c r="P1311" s="56" t="str"/>
      <x:c r="Q1311" s="59" t="str">
        <x:v>待确认</x:v>
      </x:c>
    </x:row>
    <x:row r="1312">
      <x:c r="A1312" s="56" t="str">
        <x:v>P033</x:v>
      </x:c>
      <x:c r="B1312" s="56" t="str">
        <x:v>HX-ADD-021</x:v>
      </x:c>
      <x:c r="C1312" s="56" t="str">
        <x:v>orders</x:v>
      </x:c>
      <x:c r="D1312" s="56" t="n">
        <x:v>55</x:v>
      </x:c>
      <x:c r="E1312" s="56" t="str">
        <x:v>orders.LAB-UR-002</x:v>
      </x:c>
      <x:c r="F1312" s="56" t="str">
        <x:v>LAB-UR-002</x:v>
      </x:c>
      <x:c r="G1312" s="56" t="n">
        <x:v>10</x:v>
      </x:c>
      <x:c r="H1312" s="56" t="str">
        <x:v>病例特异得分项</x:v>
      </x:c>
      <x:c r="I1312" s="56" t="str">
        <x:v>否</x:v>
      </x:c>
      <x:c r="J1312" s="56" t="str">
        <x:v>否</x:v>
      </x:c>
      <x:c r="K1312" s="56" t="str">
        <x:v>否</x:v>
      </x:c>
      <x:c r="L1312" s="56" t="str">
        <x:v>按结构化事件证据给予0/部分/满分；不能由总结反推已完成</x:v>
      </x:c>
      <x:c r="M1312" s="56" t="str"/>
      <x:c r="N1312" s="56" t="n">
        <x:f>SUMIFS($G$4:$G$1673,$A$4:$A$1673,A1312)</x:f>
        <x:v>360</x:v>
      </x:c>
      <x:c r="O1312" s="56" t="str">
        <x:f>IF(N1312=360,"通过","失败")</x:f>
        <x:v>通过</x:v>
      </x:c>
      <x:c r="P1312" s="56" t="str"/>
      <x:c r="Q1312" s="59" t="str">
        <x:v>待确认</x:v>
      </x:c>
    </x:row>
    <x:row r="1313">
      <x:c r="A1313" s="56" t="str">
        <x:v>P033</x:v>
      </x:c>
      <x:c r="B1313" s="56" t="str">
        <x:v>HX-ADD-021</x:v>
      </x:c>
      <x:c r="C1313" s="56" t="str">
        <x:v>orders</x:v>
      </x:c>
      <x:c r="D1313" s="56" t="n">
        <x:v>55</x:v>
      </x:c>
      <x:c r="E1313" s="56" t="str">
        <x:v>orders.LAB-UR-003</x:v>
      </x:c>
      <x:c r="F1313" s="56" t="str">
        <x:v>LAB-UR-003</x:v>
      </x:c>
      <x:c r="G1313" s="56" t="n">
        <x:v>9</x:v>
      </x:c>
      <x:c r="H1313" s="56" t="str">
        <x:v>病例特异得分项</x:v>
      </x:c>
      <x:c r="I1313" s="56" t="str">
        <x:v>否</x:v>
      </x:c>
      <x:c r="J1313" s="56" t="str">
        <x:v>否</x:v>
      </x:c>
      <x:c r="K1313" s="56" t="str">
        <x:v>否</x:v>
      </x:c>
      <x:c r="L1313" s="56" t="str">
        <x:v>按结构化事件证据给予0/部分/满分；不能由总结反推已完成</x:v>
      </x:c>
      <x:c r="M1313" s="56" t="str"/>
      <x:c r="N1313" s="56" t="n">
        <x:f>SUMIFS($G$4:$G$1673,$A$4:$A$1673,A1313)</x:f>
        <x:v>360</x:v>
      </x:c>
      <x:c r="O1313" s="56" t="str">
        <x:f>IF(N1313=360,"通过","失败")</x:f>
        <x:v>通过</x:v>
      </x:c>
      <x:c r="P1313" s="56" t="str"/>
      <x:c r="Q1313" s="59" t="str">
        <x:v>待确认</x:v>
      </x:c>
    </x:row>
    <x:row r="1314">
      <x:c r="A1314" s="56" t="str">
        <x:v>P033</x:v>
      </x:c>
      <x:c r="B1314" s="56" t="str">
        <x:v>HX-ADD-021</x:v>
      </x:c>
      <x:c r="C1314" s="56" t="str">
        <x:v>orders</x:v>
      </x:c>
      <x:c r="D1314" s="56" t="n">
        <x:v>55</x:v>
      </x:c>
      <x:c r="E1314" s="56" t="str">
        <x:v>orders.LAB-UR-004</x:v>
      </x:c>
      <x:c r="F1314" s="56" t="str">
        <x:v>LAB-UR-004</x:v>
      </x:c>
      <x:c r="G1314" s="56" t="n">
        <x:v>9</x:v>
      </x:c>
      <x:c r="H1314" s="56" t="str">
        <x:v>病例特异得分项</x:v>
      </x:c>
      <x:c r="I1314" s="56" t="str">
        <x:v>否</x:v>
      </x:c>
      <x:c r="J1314" s="56" t="str">
        <x:v>否</x:v>
      </x:c>
      <x:c r="K1314" s="56" t="str">
        <x:v>否</x:v>
      </x:c>
      <x:c r="L1314" s="56" t="str">
        <x:v>按结构化事件证据给予0/部分/满分；不能由总结反推已完成</x:v>
      </x:c>
      <x:c r="M1314" s="56" t="str"/>
      <x:c r="N1314" s="56" t="n">
        <x:f>SUMIFS($G$4:$G$1673,$A$4:$A$1673,A1314)</x:f>
        <x:v>360</x:v>
      </x:c>
      <x:c r="O1314" s="56" t="str">
        <x:f>IF(N1314=360,"通过","失败")</x:f>
        <x:v>通过</x:v>
      </x:c>
      <x:c r="P1314" s="56" t="str"/>
      <x:c r="Q1314" s="59" t="str">
        <x:v>待确认</x:v>
      </x:c>
    </x:row>
    <x:row r="1315">
      <x:c r="A1315" s="56" t="str">
        <x:v>P033</x:v>
      </x:c>
      <x:c r="B1315" s="56" t="str">
        <x:v>HX-ADD-021</x:v>
      </x:c>
      <x:c r="C1315" s="56" t="str">
        <x:v>orders</x:v>
      </x:c>
      <x:c r="D1315" s="56" t="n">
        <x:v>55</x:v>
      </x:c>
      <x:c r="E1315" s="56" t="str">
        <x:v>orders.LAB-BL-003</x:v>
      </x:c>
      <x:c r="F1315" s="56" t="str">
        <x:v>LAB-BL-003</x:v>
      </x:c>
      <x:c r="G1315" s="56" t="n">
        <x:v>9</x:v>
      </x:c>
      <x:c r="H1315" s="56" t="str">
        <x:v>病例特异得分项</x:v>
      </x:c>
      <x:c r="I1315" s="56" t="str">
        <x:v>否</x:v>
      </x:c>
      <x:c r="J1315" s="56" t="str">
        <x:v>否</x:v>
      </x:c>
      <x:c r="K1315" s="56" t="str">
        <x:v>否</x:v>
      </x:c>
      <x:c r="L1315" s="56" t="str">
        <x:v>按结构化事件证据给予0/部分/满分；不能由总结反推已完成</x:v>
      </x:c>
      <x:c r="M1315" s="56" t="str"/>
      <x:c r="N1315" s="56" t="n">
        <x:f>SUMIFS($G$4:$G$1673,$A$4:$A$1673,A1315)</x:f>
        <x:v>360</x:v>
      </x:c>
      <x:c r="O1315" s="56" t="str">
        <x:f>IF(N1315=360,"通过","失败")</x:f>
        <x:v>通过</x:v>
      </x:c>
      <x:c r="P1315" s="56" t="str"/>
      <x:c r="Q1315" s="59" t="str">
        <x:v>待确认</x:v>
      </x:c>
    </x:row>
    <x:row r="1316">
      <x:c r="A1316" s="56" t="str">
        <x:v>P033</x:v>
      </x:c>
      <x:c r="B1316" s="56" t="str">
        <x:v>HX-ADD-021</x:v>
      </x:c>
      <x:c r="C1316" s="56" t="str">
        <x:v>orders</x:v>
      </x:c>
      <x:c r="D1316" s="56" t="n">
        <x:v>55</x:v>
      </x:c>
      <x:c r="E1316" s="56" t="str">
        <x:v>orders.LAB-BL-011</x:v>
      </x:c>
      <x:c r="F1316" s="56" t="str">
        <x:v>LAB-BL-011</x:v>
      </x:c>
      <x:c r="G1316" s="56" t="n">
        <x:v>9</x:v>
      </x:c>
      <x:c r="H1316" s="56" t="str">
        <x:v>病例特异得分项</x:v>
      </x:c>
      <x:c r="I1316" s="56" t="str">
        <x:v>否</x:v>
      </x:c>
      <x:c r="J1316" s="56" t="str">
        <x:v>否</x:v>
      </x:c>
      <x:c r="K1316" s="56" t="str">
        <x:v>否</x:v>
      </x:c>
      <x:c r="L1316" s="56" t="str">
        <x:v>按结构化事件证据给予0/部分/满分；不能由总结反推已完成</x:v>
      </x:c>
      <x:c r="M1316" s="56" t="str"/>
      <x:c r="N1316" s="56" t="n">
        <x:f>SUMIFS($G$4:$G$1673,$A$4:$A$1673,A1316)</x:f>
        <x:v>360</x:v>
      </x:c>
      <x:c r="O1316" s="56" t="str">
        <x:f>IF(N1316=360,"通过","失败")</x:f>
        <x:v>通过</x:v>
      </x:c>
      <x:c r="P1316" s="56" t="str"/>
      <x:c r="Q1316" s="59" t="str">
        <x:v>待确认</x:v>
      </x:c>
    </x:row>
    <x:row r="1317">
      <x:c r="A1317" s="56" t="str">
        <x:v>P033</x:v>
      </x:c>
      <x:c r="B1317" s="56" t="str">
        <x:v>HX-ADD-021</x:v>
      </x:c>
      <x:c r="C1317" s="56" t="str">
        <x:v>orders</x:v>
      </x:c>
      <x:c r="D1317" s="56" t="n">
        <x:v>55</x:v>
      </x:c>
      <x:c r="E1317" s="56" t="str">
        <x:v>orders.LAB-PATH-003</x:v>
      </x:c>
      <x:c r="F1317" s="56" t="str">
        <x:v>LAB-PATH-003</x:v>
      </x:c>
      <x:c r="G1317" s="56" t="n">
        <x:v>9</x:v>
      </x:c>
      <x:c r="H1317" s="56" t="str">
        <x:v>病例特异得分项</x:v>
      </x:c>
      <x:c r="I1317" s="56" t="str">
        <x:v>否</x:v>
      </x:c>
      <x:c r="J1317" s="56" t="str">
        <x:v>否</x:v>
      </x:c>
      <x:c r="K1317" s="56" t="str">
        <x:v>否</x:v>
      </x:c>
      <x:c r="L1317" s="56" t="str">
        <x:v>按结构化事件证据给予0/部分/满分；不能由总结反推已完成</x:v>
      </x:c>
      <x:c r="M1317" s="56" t="str"/>
      <x:c r="N1317" s="56" t="n">
        <x:f>SUMIFS($G$4:$G$1673,$A$4:$A$1673,A1317)</x:f>
        <x:v>360</x:v>
      </x:c>
      <x:c r="O1317" s="56" t="str">
        <x:f>IF(N1317=360,"通过","失败")</x:f>
        <x:v>通过</x:v>
      </x:c>
      <x:c r="P1317" s="56" t="str"/>
      <x:c r="Q1317" s="59" t="str">
        <x:v>待确认</x:v>
      </x:c>
    </x:row>
    <x:row r="1318">
      <x:c r="A1318" s="56" t="str">
        <x:v>P033</x:v>
      </x:c>
      <x:c r="B1318" s="56" t="str">
        <x:v>HX-ADD-021</x:v>
      </x:c>
      <x:c r="C1318" s="56" t="str">
        <x:v>mdt</x:v>
      </x:c>
      <x:c r="D1318" s="56" t="n">
        <x:v>45</x:v>
      </x:c>
      <x:c r="E1318" s="56" t="str">
        <x:v>mdt.department</x:v>
      </x:c>
      <x:c r="F1318" s="56" t="str">
        <x:v>department</x:v>
      </x:c>
      <x:c r="G1318" s="56" t="n">
        <x:v>12</x:v>
      </x:c>
      <x:c r="H1318" s="56" t="str">
        <x:v>病例特异得分项</x:v>
      </x:c>
      <x:c r="I1318" s="56" t="str">
        <x:v>否</x:v>
      </x:c>
      <x:c r="J1318" s="56" t="str">
        <x:v>否</x:v>
      </x:c>
      <x:c r="K1318" s="56" t="str">
        <x:v>否</x:v>
      </x:c>
      <x:c r="L1318" s="56" t="str">
        <x:v>按结构化事件证据给予0/部分/满分；不能由总结反推已完成</x:v>
      </x:c>
      <x:c r="M1318" s="56" t="str"/>
      <x:c r="N1318" s="56" t="n">
        <x:f>SUMIFS($G$4:$G$1673,$A$4:$A$1673,A1318)</x:f>
        <x:v>360</x:v>
      </x:c>
      <x:c r="O1318" s="56" t="str">
        <x:f>IF(N1318=360,"通过","失败")</x:f>
        <x:v>通过</x:v>
      </x:c>
      <x:c r="P1318" s="56" t="str"/>
      <x:c r="Q1318" s="59" t="str">
        <x:v>待确认</x:v>
      </x:c>
    </x:row>
    <x:row r="1319">
      <x:c r="A1319" s="56" t="str">
        <x:v>P033</x:v>
      </x:c>
      <x:c r="B1319" s="56" t="str">
        <x:v>HX-ADD-021</x:v>
      </x:c>
      <x:c r="C1319" s="56" t="str">
        <x:v>mdt</x:v>
      </x:c>
      <x:c r="D1319" s="56" t="n">
        <x:v>45</x:v>
      </x:c>
      <x:c r="E1319" s="56" t="str">
        <x:v>mdt.trigger</x:v>
      </x:c>
      <x:c r="F1319" s="56" t="str">
        <x:v>trigger</x:v>
      </x:c>
      <x:c r="G1319" s="56" t="n">
        <x:v>11</x:v>
      </x:c>
      <x:c r="H1319" s="56" t="str">
        <x:v>病例特异得分项</x:v>
      </x:c>
      <x:c r="I1319" s="56" t="str">
        <x:v>否</x:v>
      </x:c>
      <x:c r="J1319" s="56" t="str">
        <x:v>否</x:v>
      </x:c>
      <x:c r="K1319" s="56" t="str">
        <x:v>否</x:v>
      </x:c>
      <x:c r="L1319" s="56" t="str">
        <x:v>按结构化事件证据给予0/部分/满分；不能由总结反推已完成</x:v>
      </x:c>
      <x:c r="M1319" s="56" t="str"/>
      <x:c r="N1319" s="56" t="n">
        <x:f>SUMIFS($G$4:$G$1673,$A$4:$A$1673,A1319)</x:f>
        <x:v>360</x:v>
      </x:c>
      <x:c r="O1319" s="56" t="str">
        <x:f>IF(N1319=360,"通过","失败")</x:f>
        <x:v>通过</x:v>
      </x:c>
      <x:c r="P1319" s="56" t="str"/>
      <x:c r="Q1319" s="59" t="str">
        <x:v>待确认</x:v>
      </x:c>
    </x:row>
    <x:row r="1320">
      <x:c r="A1320" s="56" t="str">
        <x:v>P033</x:v>
      </x:c>
      <x:c r="B1320" s="56" t="str">
        <x:v>HX-ADD-021</x:v>
      </x:c>
      <x:c r="C1320" s="56" t="str">
        <x:v>mdt</x:v>
      </x:c>
      <x:c r="D1320" s="56" t="n">
        <x:v>45</x:v>
      </x:c>
      <x:c r="E1320" s="56" t="str">
        <x:v>mdt.question</x:v>
      </x:c>
      <x:c r="F1320" s="56" t="str">
        <x:v>question</x:v>
      </x:c>
      <x:c r="G1320" s="56" t="n">
        <x:v>11</x:v>
      </x:c>
      <x:c r="H1320" s="56" t="str">
        <x:v>病例特异得分项</x:v>
      </x:c>
      <x:c r="I1320" s="56" t="str">
        <x:v>否</x:v>
      </x:c>
      <x:c r="J1320" s="56" t="str">
        <x:v>否</x:v>
      </x:c>
      <x:c r="K1320" s="56" t="str">
        <x:v>否</x:v>
      </x:c>
      <x:c r="L1320" s="56" t="str">
        <x:v>按结构化事件证据给予0/部分/满分；不能由总结反推已完成</x:v>
      </x:c>
      <x:c r="M1320" s="56" t="str"/>
      <x:c r="N1320" s="56" t="n">
        <x:f>SUMIFS($G$4:$G$1673,$A$4:$A$1673,A1320)</x:f>
        <x:v>360</x:v>
      </x:c>
      <x:c r="O1320" s="56" t="str">
        <x:f>IF(N1320=360,"通过","失败")</x:f>
        <x:v>通过</x:v>
      </x:c>
      <x:c r="P1320" s="56" t="str"/>
      <x:c r="Q1320" s="59" t="str">
        <x:v>待确认</x:v>
      </x:c>
    </x:row>
    <x:row r="1321">
      <x:c r="A1321" s="56" t="str">
        <x:v>P033</x:v>
      </x:c>
      <x:c r="B1321" s="56" t="str">
        <x:v>HX-ADD-021</x:v>
      </x:c>
      <x:c r="C1321" s="56" t="str">
        <x:v>mdt</x:v>
      </x:c>
      <x:c r="D1321" s="56" t="n">
        <x:v>45</x:v>
      </x:c>
      <x:c r="E1321" s="56" t="str">
        <x:v>mdt.evidence</x:v>
      </x:c>
      <x:c r="F1321" s="56" t="str">
        <x:v>evidence</x:v>
      </x:c>
      <x:c r="G1321" s="56" t="n">
        <x:v>11</x:v>
      </x:c>
      <x:c r="H1321" s="56" t="str">
        <x:v>病例特异得分项</x:v>
      </x:c>
      <x:c r="I1321" s="56" t="str">
        <x:v>否</x:v>
      </x:c>
      <x:c r="J1321" s="56" t="str">
        <x:v>否</x:v>
      </x:c>
      <x:c r="K1321" s="56" t="str">
        <x:v>否</x:v>
      </x:c>
      <x:c r="L1321" s="56" t="str">
        <x:v>按结构化事件证据给予0/部分/满分；不能由总结反推已完成</x:v>
      </x:c>
      <x:c r="M1321" s="56" t="str"/>
      <x:c r="N1321" s="56" t="n">
        <x:f>SUMIFS($G$4:$G$1673,$A$4:$A$1673,A1321)</x:f>
        <x:v>360</x:v>
      </x:c>
      <x:c r="O1321" s="56" t="str">
        <x:f>IF(N1321=360,"通过","失败")</x:f>
        <x:v>通过</x:v>
      </x:c>
      <x:c r="P1321" s="56" t="str"/>
      <x:c r="Q1321" s="59" t="str">
        <x:v>待确认</x:v>
      </x:c>
    </x:row>
    <x:row r="1322">
      <x:c r="A1322" s="56" t="str">
        <x:v>P033</x:v>
      </x:c>
      <x:c r="B1322" s="56" t="str">
        <x:v>HX-ADD-021</x:v>
      </x:c>
      <x:c r="C1322" s="56" t="str">
        <x:v>treatment</x:v>
      </x:c>
      <x:c r="D1322" s="56" t="n">
        <x:v>50</x:v>
      </x:c>
      <x:c r="E1322" s="56" t="str">
        <x:v>treatment.immediate</x:v>
      </x:c>
      <x:c r="F1322" s="56" t="str">
        <x:v>immediate</x:v>
      </x:c>
      <x:c r="G1322" s="56" t="n">
        <x:v>13</x:v>
      </x:c>
      <x:c r="H1322" s="56" t="str">
        <x:v>病例特异得分项</x:v>
      </x:c>
      <x:c r="I1322" s="56" t="str">
        <x:v>否</x:v>
      </x:c>
      <x:c r="J1322" s="56" t="str">
        <x:v>否</x:v>
      </x:c>
      <x:c r="K1322" s="56" t="str">
        <x:v>否</x:v>
      </x:c>
      <x:c r="L1322" s="56" t="str">
        <x:v>按结构化事件证据给予0/部分/满分；不能由总结反推已完成</x:v>
      </x:c>
      <x:c r="M1322" s="56" t="str"/>
      <x:c r="N1322" s="56" t="n">
        <x:f>SUMIFS($G$4:$G$1673,$A$4:$A$1673,A1322)</x:f>
        <x:v>360</x:v>
      </x:c>
      <x:c r="O1322" s="56" t="str">
        <x:f>IF(N1322=360,"通过","失败")</x:f>
        <x:v>通过</x:v>
      </x:c>
      <x:c r="P1322" s="56" t="str"/>
      <x:c r="Q1322" s="59" t="str">
        <x:v>待确认</x:v>
      </x:c>
    </x:row>
    <x:row r="1323">
      <x:c r="A1323" s="56" t="str">
        <x:v>P033</x:v>
      </x:c>
      <x:c r="B1323" s="56" t="str">
        <x:v>HX-ADD-021</x:v>
      </x:c>
      <x:c r="C1323" s="56" t="str">
        <x:v>treatment</x:v>
      </x:c>
      <x:c r="D1323" s="56" t="n">
        <x:v>50</x:v>
      </x:c>
      <x:c r="E1323" s="56" t="str">
        <x:v>treatment.etiologic</x:v>
      </x:c>
      <x:c r="F1323" s="56" t="str">
        <x:v>etiologic</x:v>
      </x:c>
      <x:c r="G1323" s="56" t="n">
        <x:v>13</x:v>
      </x:c>
      <x:c r="H1323" s="56" t="str">
        <x:v>病例特异得分项</x:v>
      </x:c>
      <x:c r="I1323" s="56" t="str">
        <x:v>否</x:v>
      </x:c>
      <x:c r="J1323" s="56" t="str">
        <x:v>否</x:v>
      </x:c>
      <x:c r="K1323" s="56" t="str">
        <x:v>否</x:v>
      </x:c>
      <x:c r="L1323" s="56" t="str">
        <x:v>按结构化事件证据给予0/部分/满分；不能由总结反推已完成</x:v>
      </x:c>
      <x:c r="M1323" s="56" t="str"/>
      <x:c r="N1323" s="56" t="n">
        <x:f>SUMIFS($G$4:$G$1673,$A$4:$A$1673,A1323)</x:f>
        <x:v>360</x:v>
      </x:c>
      <x:c r="O1323" s="56" t="str">
        <x:f>IF(N1323=360,"通过","失败")</x:f>
        <x:v>通过</x:v>
      </x:c>
      <x:c r="P1323" s="56" t="str"/>
      <x:c r="Q1323" s="59" t="str">
        <x:v>待确认</x:v>
      </x:c>
    </x:row>
    <x:row r="1324">
      <x:c r="A1324" s="56" t="str">
        <x:v>P033</x:v>
      </x:c>
      <x:c r="B1324" s="56" t="str">
        <x:v>HX-ADD-021</x:v>
      </x:c>
      <x:c r="C1324" s="56" t="str">
        <x:v>treatment</x:v>
      </x:c>
      <x:c r="D1324" s="56" t="n">
        <x:v>50</x:v>
      </x:c>
      <x:c r="E1324" s="56" t="str">
        <x:v>treatment.definitive</x:v>
      </x:c>
      <x:c r="F1324" s="56" t="str">
        <x:v>definitive</x:v>
      </x:c>
      <x:c r="G1324" s="56" t="n">
        <x:v>12</x:v>
      </x:c>
      <x:c r="H1324" s="56" t="str">
        <x:v>病例特异得分项</x:v>
      </x:c>
      <x:c r="I1324" s="56" t="str">
        <x:v>否</x:v>
      </x:c>
      <x:c r="J1324" s="56" t="str">
        <x:v>否</x:v>
      </x:c>
      <x:c r="K1324" s="56" t="str">
        <x:v>否</x:v>
      </x:c>
      <x:c r="L1324" s="56" t="str">
        <x:v>按结构化事件证据给予0/部分/满分；不能由总结反推已完成</x:v>
      </x:c>
      <x:c r="M1324" s="56" t="str"/>
      <x:c r="N1324" s="56" t="n">
        <x:f>SUMIFS($G$4:$G$1673,$A$4:$A$1673,A1324)</x:f>
        <x:v>360</x:v>
      </x:c>
      <x:c r="O1324" s="56" t="str">
        <x:f>IF(N1324=360,"通过","失败")</x:f>
        <x:v>通过</x:v>
      </x:c>
      <x:c r="P1324" s="56" t="str"/>
      <x:c r="Q1324" s="59" t="str">
        <x:v>待确认</x:v>
      </x:c>
    </x:row>
    <x:row r="1325">
      <x:c r="A1325" s="56" t="str">
        <x:v>P033</x:v>
      </x:c>
      <x:c r="B1325" s="56" t="str">
        <x:v>HX-ADD-021</x:v>
      </x:c>
      <x:c r="C1325" s="56" t="str">
        <x:v>treatment</x:v>
      </x:c>
      <x:c r="D1325" s="56" t="n">
        <x:v>50</x:v>
      </x:c>
      <x:c r="E1325" s="56" t="str">
        <x:v>treatment.perioperative</x:v>
      </x:c>
      <x:c r="F1325" s="56" t="str">
        <x:v>perioperative</x:v>
      </x:c>
      <x:c r="G1325" s="56" t="n">
        <x:v>12</x:v>
      </x:c>
      <x:c r="H1325" s="56" t="str">
        <x:v>病例特异得分项</x:v>
      </x:c>
      <x:c r="I1325" s="56" t="str">
        <x:v>否</x:v>
      </x:c>
      <x:c r="J1325" s="56" t="str">
        <x:v>否</x:v>
      </x:c>
      <x:c r="K1325" s="56" t="str">
        <x:v>否</x:v>
      </x:c>
      <x:c r="L1325" s="56" t="str">
        <x:v>按结构化事件证据给予0/部分/满分；不能由总结反推已完成</x:v>
      </x:c>
      <x:c r="M1325" s="56" t="str"/>
      <x:c r="N1325" s="56" t="n">
        <x:f>SUMIFS($G$4:$G$1673,$A$4:$A$1673,A1325)</x:f>
        <x:v>360</x:v>
      </x:c>
      <x:c r="O1325" s="56" t="str">
        <x:f>IF(N1325=360,"通过","失败")</x:f>
        <x:v>通过</x:v>
      </x:c>
      <x:c r="P1325" s="56" t="str"/>
      <x:c r="Q1325" s="59" t="str">
        <x:v>待确认</x:v>
      </x:c>
    </x:row>
    <x:row r="1326">
      <x:c r="A1326" s="56" t="str">
        <x:v>P033</x:v>
      </x:c>
      <x:c r="B1326" s="56" t="str">
        <x:v>HX-ADD-021</x:v>
      </x:c>
      <x:c r="C1326" s="56" t="str">
        <x:v>followup</x:v>
      </x:c>
      <x:c r="D1326" s="56" t="n">
        <x:v>40</x:v>
      </x:c>
      <x:c r="E1326" s="56" t="str">
        <x:v>followup.plan</x:v>
      </x:c>
      <x:c r="F1326" s="56" t="str">
        <x:v>随访复查</x:v>
      </x:c>
      <x:c r="G1326" s="56" t="n">
        <x:v>10</x:v>
      </x:c>
      <x:c r="H1326" s="56" t="str">
        <x:v>普通得分项</x:v>
      </x:c>
      <x:c r="I1326" s="56" t="str">
        <x:v>否</x:v>
      </x:c>
      <x:c r="J1326" s="56" t="str">
        <x:v>否</x:v>
      </x:c>
      <x:c r="K1326" s="56" t="str">
        <x:v>否</x:v>
      </x:c>
      <x:c r="L1326" s="56" t="str">
        <x:v>按结构化事件证据给予0/部分/满分；不能由总结反推已完成</x:v>
      </x:c>
      <x:c r="M1326" s="56" t="str"/>
      <x:c r="N1326" s="56" t="n">
        <x:f>SUMIFS($G$4:$G$1673,$A$4:$A$1673,A1326)</x:f>
        <x:v>360</x:v>
      </x:c>
      <x:c r="O1326" s="56" t="str">
        <x:f>IF(N1326=360,"通过","失败")</x:f>
        <x:v>通过</x:v>
      </x:c>
      <x:c r="P1326" s="56" t="str"/>
      <x:c r="Q1326" s="59" t="str">
        <x:v>待确认</x:v>
      </x:c>
    </x:row>
    <x:row r="1327">
      <x:c r="A1327" s="56" t="str">
        <x:v>P033</x:v>
      </x:c>
      <x:c r="B1327" s="56" t="str">
        <x:v>HX-ADD-021</x:v>
      </x:c>
      <x:c r="C1327" s="56" t="str">
        <x:v>followup</x:v>
      </x:c>
      <x:c r="D1327" s="56" t="n">
        <x:v>40</x:v>
      </x:c>
      <x:c r="E1327" s="56" t="str">
        <x:v>followup.education</x:v>
      </x:c>
      <x:c r="F1327" s="56" t="str">
        <x:v>患者教育</x:v>
      </x:c>
      <x:c r="G1327" s="56" t="n">
        <x:v>10</x:v>
      </x:c>
      <x:c r="H1327" s="56" t="str">
        <x:v>普通得分项</x:v>
      </x:c>
      <x:c r="I1327" s="56" t="str">
        <x:v>否</x:v>
      </x:c>
      <x:c r="J1327" s="56" t="str">
        <x:v>否</x:v>
      </x:c>
      <x:c r="K1327" s="56" t="str">
        <x:v>否</x:v>
      </x:c>
      <x:c r="L1327" s="56" t="str">
        <x:v>按结构化事件证据给予0/部分/满分；不能由总结反推已完成</x:v>
      </x:c>
      <x:c r="M1327" s="56" t="str"/>
      <x:c r="N1327" s="56" t="n">
        <x:f>SUMIFS($G$4:$G$1673,$A$4:$A$1673,A1327)</x:f>
        <x:v>360</x:v>
      </x:c>
      <x:c r="O1327" s="56" t="str">
        <x:f>IF(N1327=360,"通过","失败")</x:f>
        <x:v>通过</x:v>
      </x:c>
      <x:c r="P1327" s="56" t="str"/>
      <x:c r="Q1327" s="59" t="str">
        <x:v>待确认</x:v>
      </x:c>
    </x:row>
    <x:row r="1328">
      <x:c r="A1328" s="56" t="str">
        <x:v>P033</x:v>
      </x:c>
      <x:c r="B1328" s="56" t="str">
        <x:v>HX-ADD-021</x:v>
      </x:c>
      <x:c r="C1328" s="56" t="str">
        <x:v>followup</x:v>
      </x:c>
      <x:c r="D1328" s="56" t="n">
        <x:v>40</x:v>
      </x:c>
      <x:c r="E1328" s="56" t="str">
        <x:v>followup.reflection</x:v>
      </x:c>
      <x:c r="F1328" s="56" t="str">
        <x:v>学习反思质量</x:v>
      </x:c>
      <x:c r="G1328" s="56" t="n">
        <x:v>10</x:v>
      </x:c>
      <x:c r="H1328" s="56" t="str">
        <x:v>普通得分项</x:v>
      </x:c>
      <x:c r="I1328" s="56" t="str">
        <x:v>否</x:v>
      </x:c>
      <x:c r="J1328" s="56" t="str">
        <x:v>否</x:v>
      </x:c>
      <x:c r="K1328" s="56" t="str">
        <x:v>否</x:v>
      </x:c>
      <x:c r="L1328" s="56" t="str">
        <x:v>按结构化事件证据给予0/部分/满分；不能由总结反推已完成</x:v>
      </x:c>
      <x:c r="M1328" s="56" t="str"/>
      <x:c r="N1328" s="56" t="n">
        <x:f>SUMIFS($G$4:$G$1673,$A$4:$A$1673,A1328)</x:f>
        <x:v>360</x:v>
      </x:c>
      <x:c r="O1328" s="56" t="str">
        <x:f>IF(N1328=360,"通过","失败")</x:f>
        <x:v>通过</x:v>
      </x:c>
      <x:c r="P1328" s="56" t="str"/>
      <x:c r="Q1328" s="59" t="str">
        <x:v>待确认</x:v>
      </x:c>
    </x:row>
    <x:row r="1329">
      <x:c r="A1329" s="56" t="str">
        <x:v>P033</x:v>
      </x:c>
      <x:c r="B1329" s="56" t="str">
        <x:v>HX-ADD-021</x:v>
      </x:c>
      <x:c r="C1329" s="56" t="str">
        <x:v>followup</x:v>
      </x:c>
      <x:c r="D1329" s="56" t="n">
        <x:v>40</x:v>
      </x:c>
      <x:c r="E1329" s="56" t="str">
        <x:v>followup.efficiency</x:v>
      </x:c>
      <x:c r="F1329" s="56" t="str">
        <x:v>操作效率</x:v>
      </x:c>
      <x:c r="G1329" s="56" t="n">
        <x:v>10</x:v>
      </x:c>
      <x:c r="H1329" s="56" t="str">
        <x:v>普通得分项</x:v>
      </x:c>
      <x:c r="I1329" s="56" t="str">
        <x:v>否</x:v>
      </x:c>
      <x:c r="J1329" s="56" t="str">
        <x:v>否</x:v>
      </x:c>
      <x:c r="K1329" s="56" t="str">
        <x:v>否</x:v>
      </x:c>
      <x:c r="L1329" s="56" t="str">
        <x:v>按结构化事件证据给予0/部分/满分；不能由总结反推已完成</x:v>
      </x:c>
      <x:c r="M1329" s="56" t="str"/>
      <x:c r="N1329" s="56" t="n">
        <x:f>SUMIFS($G$4:$G$1673,$A$4:$A$1673,A1329)</x:f>
        <x:v>360</x:v>
      </x:c>
      <x:c r="O1329" s="56" t="str">
        <x:f>IF(N1329=360,"通过","失败")</x:f>
        <x:v>通过</x:v>
      </x:c>
      <x:c r="P1329" s="56" t="str"/>
      <x:c r="Q1329" s="59" t="str">
        <x:v>待确认</x:v>
      </x:c>
    </x:row>
    <x:row r="1330">
      <x:c r="A1330" s="56" t="str">
        <x:v>P034</x:v>
      </x:c>
      <x:c r="B1330" s="56" t="str">
        <x:v>HX-ADD-022</x:v>
      </x:c>
      <x:c r="C1330" s="56" t="str">
        <x:v>history</x:v>
      </x:c>
      <x:c r="D1330" s="56" t="n">
        <x:v>50</x:v>
      </x:c>
      <x:c r="E1330" s="56" t="str">
        <x:v>history.hematuria_visibility</x:v>
      </x:c>
      <x:c r="F1330" s="56" t="str">
        <x:v>hematuria_visibility</x:v>
      </x:c>
      <x:c r="G1330" s="56" t="n">
        <x:v>5</x:v>
      </x:c>
      <x:c r="H1330" s="56" t="str">
        <x:v>普通得分项</x:v>
      </x:c>
      <x:c r="I1330" s="56" t="str">
        <x:v>否</x:v>
      </x:c>
      <x:c r="J1330" s="56" t="str">
        <x:v>否</x:v>
      </x:c>
      <x:c r="K1330" s="56" t="str">
        <x:v>否</x:v>
      </x:c>
      <x:c r="L1330" s="56" t="str">
        <x:v>按结构化事件证据给予0/部分/满分；不能由总结反推已完成</x:v>
      </x:c>
      <x:c r="M1330" s="56" t="str"/>
      <x:c r="N1330" s="56" t="n">
        <x:f>SUMIFS($G$4:$G$1673,$A$4:$A$1673,A1330)</x:f>
        <x:v>360</x:v>
      </x:c>
      <x:c r="O1330" s="56" t="str">
        <x:f>IF(N1330=360,"通过","失败")</x:f>
        <x:v>通过</x:v>
      </x:c>
      <x:c r="P1330" s="56" t="str"/>
      <x:c r="Q1330" s="59" t="str">
        <x:v>待确认</x:v>
      </x:c>
    </x:row>
    <x:row r="1331">
      <x:c r="A1331" s="56" t="str">
        <x:v>P034</x:v>
      </x:c>
      <x:c r="B1331" s="56" t="str">
        <x:v>HX-ADD-022</x:v>
      </x:c>
      <x:c r="C1331" s="56" t="str">
        <x:v>history</x:v>
      </x:c>
      <x:c r="D1331" s="56" t="n">
        <x:v>50</x:v>
      </x:c>
      <x:c r="E1331" s="56" t="str">
        <x:v>history.hematuria_onset</x:v>
      </x:c>
      <x:c r="F1331" s="56" t="str">
        <x:v>hematuria_onset</x:v>
      </x:c>
      <x:c r="G1331" s="56" t="n">
        <x:v>5</x:v>
      </x:c>
      <x:c r="H1331" s="56" t="str">
        <x:v>普通得分项</x:v>
      </x:c>
      <x:c r="I1331" s="56" t="str">
        <x:v>否</x:v>
      </x:c>
      <x:c r="J1331" s="56" t="str">
        <x:v>否</x:v>
      </x:c>
      <x:c r="K1331" s="56" t="str">
        <x:v>否</x:v>
      </x:c>
      <x:c r="L1331" s="56" t="str">
        <x:v>按结构化事件证据给予0/部分/满分；不能由总结反推已完成</x:v>
      </x:c>
      <x:c r="M1331" s="56" t="str"/>
      <x:c r="N1331" s="56" t="n">
        <x:f>SUMIFS($G$4:$G$1673,$A$4:$A$1673,A1331)</x:f>
        <x:v>360</x:v>
      </x:c>
      <x:c r="O1331" s="56" t="str">
        <x:f>IF(N1331=360,"通过","失败")</x:f>
        <x:v>通过</x:v>
      </x:c>
      <x:c r="P1331" s="56" t="str"/>
      <x:c r="Q1331" s="59" t="str">
        <x:v>待确认</x:v>
      </x:c>
    </x:row>
    <x:row r="1332">
      <x:c r="A1332" s="56" t="str">
        <x:v>P034</x:v>
      </x:c>
      <x:c r="B1332" s="56" t="str">
        <x:v>HX-ADD-022</x:v>
      </x:c>
      <x:c r="C1332" s="56" t="str">
        <x:v>history</x:v>
      </x:c>
      <x:c r="D1332" s="56" t="n">
        <x:v>50</x:v>
      </x:c>
      <x:c r="E1332" s="56" t="str">
        <x:v>history.hematuria_frequency</x:v>
      </x:c>
      <x:c r="F1332" s="56" t="str">
        <x:v>hematuria_frequency</x:v>
      </x:c>
      <x:c r="G1332" s="56" t="n">
        <x:v>4</x:v>
      </x:c>
      <x:c r="H1332" s="56" t="str">
        <x:v>普通得分项</x:v>
      </x:c>
      <x:c r="I1332" s="56" t="str">
        <x:v>否</x:v>
      </x:c>
      <x:c r="J1332" s="56" t="str">
        <x:v>否</x:v>
      </x:c>
      <x:c r="K1332" s="56" t="str">
        <x:v>否</x:v>
      </x:c>
      <x:c r="L1332" s="56" t="str">
        <x:v>按结构化事件证据给予0/部分/满分；不能由总结反推已完成</x:v>
      </x:c>
      <x:c r="M1332" s="56" t="str"/>
      <x:c r="N1332" s="56" t="n">
        <x:f>SUMIFS($G$4:$G$1673,$A$4:$A$1673,A1332)</x:f>
        <x:v>360</x:v>
      </x:c>
      <x:c r="O1332" s="56" t="str">
        <x:f>IF(N1332=360,"通过","失败")</x:f>
        <x:v>通过</x:v>
      </x:c>
      <x:c r="P1332" s="56" t="str"/>
      <x:c r="Q1332" s="59" t="str">
        <x:v>待确认</x:v>
      </x:c>
    </x:row>
    <x:row r="1333">
      <x:c r="A1333" s="56" t="str">
        <x:v>P034</x:v>
      </x:c>
      <x:c r="B1333" s="56" t="str">
        <x:v>HX-ADD-022</x:v>
      </x:c>
      <x:c r="C1333" s="56" t="str">
        <x:v>history</x:v>
      </x:c>
      <x:c r="D1333" s="56" t="n">
        <x:v>50</x:v>
      </x:c>
      <x:c r="E1333" s="56" t="str">
        <x:v>history.hematuria_phase</x:v>
      </x:c>
      <x:c r="F1333" s="56" t="str">
        <x:v>hematuria_phase</x:v>
      </x:c>
      <x:c r="G1333" s="56" t="n">
        <x:v>4</x:v>
      </x:c>
      <x:c r="H1333" s="56" t="str">
        <x:v>普通得分项</x:v>
      </x:c>
      <x:c r="I1333" s="56" t="str">
        <x:v>否</x:v>
      </x:c>
      <x:c r="J1333" s="56" t="str">
        <x:v>否</x:v>
      </x:c>
      <x:c r="K1333" s="56" t="str">
        <x:v>否</x:v>
      </x:c>
      <x:c r="L1333" s="56" t="str">
        <x:v>按结构化事件证据给予0/部分/满分；不能由总结反推已完成</x:v>
      </x:c>
      <x:c r="M1333" s="56" t="str"/>
      <x:c r="N1333" s="56" t="n">
        <x:f>SUMIFS($G$4:$G$1673,$A$4:$A$1673,A1333)</x:f>
        <x:v>360</x:v>
      </x:c>
      <x:c r="O1333" s="56" t="str">
        <x:f>IF(N1333=360,"通过","失败")</x:f>
        <x:v>通过</x:v>
      </x:c>
      <x:c r="P1333" s="56" t="str"/>
      <x:c r="Q1333" s="59" t="str">
        <x:v>待确认</x:v>
      </x:c>
    </x:row>
    <x:row r="1334">
      <x:c r="A1334" s="56" t="str">
        <x:v>P034</x:v>
      </x:c>
      <x:c r="B1334" s="56" t="str">
        <x:v>HX-ADD-022</x:v>
      </x:c>
      <x:c r="C1334" s="56" t="str">
        <x:v>history</x:v>
      </x:c>
      <x:c r="D1334" s="56" t="n">
        <x:v>50</x:v>
      </x:c>
      <x:c r="E1334" s="56" t="str">
        <x:v>history.urine_color</x:v>
      </x:c>
      <x:c r="F1334" s="56" t="str">
        <x:v>urine_color</x:v>
      </x:c>
      <x:c r="G1334" s="56" t="n">
        <x:v>4</x:v>
      </x:c>
      <x:c r="H1334" s="56" t="str">
        <x:v>普通得分项</x:v>
      </x:c>
      <x:c r="I1334" s="56" t="str">
        <x:v>否</x:v>
      </x:c>
      <x:c r="J1334" s="56" t="str">
        <x:v>否</x:v>
      </x:c>
      <x:c r="K1334" s="56" t="str">
        <x:v>否</x:v>
      </x:c>
      <x:c r="L1334" s="56" t="str">
        <x:v>按结构化事件证据给予0/部分/满分；不能由总结反推已完成</x:v>
      </x:c>
      <x:c r="M1334" s="56" t="str"/>
      <x:c r="N1334" s="56" t="n">
        <x:f>SUMIFS($G$4:$G$1673,$A$4:$A$1673,A1334)</x:f>
        <x:v>360</x:v>
      </x:c>
      <x:c r="O1334" s="56" t="str">
        <x:f>IF(N1334=360,"通过","失败")</x:f>
        <x:v>通过</x:v>
      </x:c>
      <x:c r="P1334" s="56" t="str"/>
      <x:c r="Q1334" s="59" t="str">
        <x:v>待确认</x:v>
      </x:c>
    </x:row>
    <x:row r="1335">
      <x:c r="A1335" s="56" t="str">
        <x:v>P034</x:v>
      </x:c>
      <x:c r="B1335" s="56" t="str">
        <x:v>HX-ADD-022</x:v>
      </x:c>
      <x:c r="C1335" s="56" t="str">
        <x:v>history</x:v>
      </x:c>
      <x:c r="D1335" s="56" t="n">
        <x:v>50</x:v>
      </x:c>
      <x:c r="E1335" s="56" t="str">
        <x:v>history.clots</x:v>
      </x:c>
      <x:c r="F1335" s="56" t="str">
        <x:v>clots</x:v>
      </x:c>
      <x:c r="G1335" s="56" t="n">
        <x:v>4</x:v>
      </x:c>
      <x:c r="H1335" s="56" t="str">
        <x:v>普通得分项</x:v>
      </x:c>
      <x:c r="I1335" s="56" t="str">
        <x:v>否</x:v>
      </x:c>
      <x:c r="J1335" s="56" t="str">
        <x:v>否</x:v>
      </x:c>
      <x:c r="K1335" s="56" t="str">
        <x:v>否</x:v>
      </x:c>
      <x:c r="L1335" s="56" t="str">
        <x:v>按结构化事件证据给予0/部分/满分；不能由总结反推已完成</x:v>
      </x:c>
      <x:c r="M1335" s="56" t="str"/>
      <x:c r="N1335" s="56" t="n">
        <x:f>SUMIFS($G$4:$G$1673,$A$4:$A$1673,A1335)</x:f>
        <x:v>360</x:v>
      </x:c>
      <x:c r="O1335" s="56" t="str">
        <x:f>IF(N1335=360,"通过","失败")</x:f>
        <x:v>通过</x:v>
      </x:c>
      <x:c r="P1335" s="56" t="str"/>
      <x:c r="Q1335" s="59" t="str">
        <x:v>待确认</x:v>
      </x:c>
    </x:row>
    <x:row r="1336">
      <x:c r="A1336" s="56" t="str">
        <x:v>P034</x:v>
      </x:c>
      <x:c r="B1336" s="56" t="str">
        <x:v>HX-ADD-022</x:v>
      </x:c>
      <x:c r="C1336" s="56" t="str">
        <x:v>history</x:v>
      </x:c>
      <x:c r="D1336" s="56" t="n">
        <x:v>50</x:v>
      </x:c>
      <x:c r="E1336" s="56" t="str">
        <x:v>history.pain</x:v>
      </x:c>
      <x:c r="F1336" s="56" t="str">
        <x:v>pain</x:v>
      </x:c>
      <x:c r="G1336" s="56" t="n">
        <x:v>4</x:v>
      </x:c>
      <x:c r="H1336" s="56" t="str">
        <x:v>普通得分项</x:v>
      </x:c>
      <x:c r="I1336" s="56" t="str">
        <x:v>否</x:v>
      </x:c>
      <x:c r="J1336" s="56" t="str">
        <x:v>否</x:v>
      </x:c>
      <x:c r="K1336" s="56" t="str">
        <x:v>否</x:v>
      </x:c>
      <x:c r="L1336" s="56" t="str">
        <x:v>按结构化事件证据给予0/部分/满分；不能由总结反推已完成</x:v>
      </x:c>
      <x:c r="M1336" s="56" t="str"/>
      <x:c r="N1336" s="56" t="n">
        <x:f>SUMIFS($G$4:$G$1673,$A$4:$A$1673,A1336)</x:f>
        <x:v>360</x:v>
      </x:c>
      <x:c r="O1336" s="56" t="str">
        <x:f>IF(N1336=360,"通过","失败")</x:f>
        <x:v>通过</x:v>
      </x:c>
      <x:c r="P1336" s="56" t="str"/>
      <x:c r="Q1336" s="59" t="str">
        <x:v>待确认</x:v>
      </x:c>
    </x:row>
    <x:row r="1337">
      <x:c r="A1337" s="56" t="str">
        <x:v>P034</x:v>
      </x:c>
      <x:c r="B1337" s="56" t="str">
        <x:v>HX-ADD-022</x:v>
      </x:c>
      <x:c r="C1337" s="56" t="str">
        <x:v>history</x:v>
      </x:c>
      <x:c r="D1337" s="56" t="n">
        <x:v>50</x:v>
      </x:c>
      <x:c r="E1337" s="56" t="str">
        <x:v>history.dysuria</x:v>
      </x:c>
      <x:c r="F1337" s="56" t="str">
        <x:v>dysuria</x:v>
      </x:c>
      <x:c r="G1337" s="56" t="n">
        <x:v>4</x:v>
      </x:c>
      <x:c r="H1337" s="56" t="str">
        <x:v>普通得分项</x:v>
      </x:c>
      <x:c r="I1337" s="56" t="str">
        <x:v>否</x:v>
      </x:c>
      <x:c r="J1337" s="56" t="str">
        <x:v>否</x:v>
      </x:c>
      <x:c r="K1337" s="56" t="str">
        <x:v>否</x:v>
      </x:c>
      <x:c r="L1337" s="56" t="str">
        <x:v>按结构化事件证据给予0/部分/满分；不能由总结反推已完成</x:v>
      </x:c>
      <x:c r="M1337" s="56" t="str"/>
      <x:c r="N1337" s="56" t="n">
        <x:f>SUMIFS($G$4:$G$1673,$A$4:$A$1673,A1337)</x:f>
        <x:v>360</x:v>
      </x:c>
      <x:c r="O1337" s="56" t="str">
        <x:f>IF(N1337=360,"通过","失败")</x:f>
        <x:v>通过</x:v>
      </x:c>
      <x:c r="P1337" s="56" t="str"/>
      <x:c r="Q1337" s="59" t="str">
        <x:v>待确认</x:v>
      </x:c>
    </x:row>
    <x:row r="1338">
      <x:c r="A1338" s="56" t="str">
        <x:v>P034</x:v>
      </x:c>
      <x:c r="B1338" s="56" t="str">
        <x:v>HX-ADD-022</x:v>
      </x:c>
      <x:c r="C1338" s="56" t="str">
        <x:v>history</x:v>
      </x:c>
      <x:c r="D1338" s="56" t="n">
        <x:v>50</x:v>
      </x:c>
      <x:c r="E1338" s="56" t="str">
        <x:v>history.urinary_frequency</x:v>
      </x:c>
      <x:c r="F1338" s="56" t="str">
        <x:v>urinary_frequency</x:v>
      </x:c>
      <x:c r="G1338" s="56" t="n">
        <x:v>4</x:v>
      </x:c>
      <x:c r="H1338" s="56" t="str">
        <x:v>普通得分项</x:v>
      </x:c>
      <x:c r="I1338" s="56" t="str">
        <x:v>否</x:v>
      </x:c>
      <x:c r="J1338" s="56" t="str">
        <x:v>否</x:v>
      </x:c>
      <x:c r="K1338" s="56" t="str">
        <x:v>否</x:v>
      </x:c>
      <x:c r="L1338" s="56" t="str">
        <x:v>按结构化事件证据给予0/部分/满分；不能由总结反推已完成</x:v>
      </x:c>
      <x:c r="M1338" s="56" t="str"/>
      <x:c r="N1338" s="56" t="n">
        <x:f>SUMIFS($G$4:$G$1673,$A$4:$A$1673,A1338)</x:f>
        <x:v>360</x:v>
      </x:c>
      <x:c r="O1338" s="56" t="str">
        <x:f>IF(N1338=360,"通过","失败")</x:f>
        <x:v>通过</x:v>
      </x:c>
      <x:c r="P1338" s="56" t="str"/>
      <x:c r="Q1338" s="59" t="str">
        <x:v>待确认</x:v>
      </x:c>
    </x:row>
    <x:row r="1339">
      <x:c r="A1339" s="56" t="str">
        <x:v>P034</x:v>
      </x:c>
      <x:c r="B1339" s="56" t="str">
        <x:v>HX-ADD-022</x:v>
      </x:c>
      <x:c r="C1339" s="56" t="str">
        <x:v>history</x:v>
      </x:c>
      <x:c r="D1339" s="56" t="n">
        <x:v>50</x:v>
      </x:c>
      <x:c r="E1339" s="56" t="str">
        <x:v>history.urinary_urgency</x:v>
      </x:c>
      <x:c r="F1339" s="56" t="str">
        <x:v>urinary_urgency</x:v>
      </x:c>
      <x:c r="G1339" s="56" t="n">
        <x:v>4</x:v>
      </x:c>
      <x:c r="H1339" s="56" t="str">
        <x:v>普通得分项</x:v>
      </x:c>
      <x:c r="I1339" s="56" t="str">
        <x:v>否</x:v>
      </x:c>
      <x:c r="J1339" s="56" t="str">
        <x:v>否</x:v>
      </x:c>
      <x:c r="K1339" s="56" t="str">
        <x:v>否</x:v>
      </x:c>
      <x:c r="L1339" s="56" t="str">
        <x:v>按结构化事件证据给予0/部分/满分；不能由总结反推已完成</x:v>
      </x:c>
      <x:c r="M1339" s="56" t="str"/>
      <x:c r="N1339" s="56" t="n">
        <x:f>SUMIFS($G$4:$G$1673,$A$4:$A$1673,A1339)</x:f>
        <x:v>360</x:v>
      </x:c>
      <x:c r="O1339" s="56" t="str">
        <x:f>IF(N1339=360,"通过","失败")</x:f>
        <x:v>通过</x:v>
      </x:c>
      <x:c r="P1339" s="56" t="str"/>
      <x:c r="Q1339" s="59" t="str">
        <x:v>待确认</x:v>
      </x:c>
    </x:row>
    <x:row r="1340">
      <x:c r="A1340" s="56" t="str">
        <x:v>P034</x:v>
      </x:c>
      <x:c r="B1340" s="56" t="str">
        <x:v>HX-ADD-022</x:v>
      </x:c>
      <x:c r="C1340" s="56" t="str">
        <x:v>history</x:v>
      </x:c>
      <x:c r="D1340" s="56" t="n">
        <x:v>50</x:v>
      </x:c>
      <x:c r="E1340" s="56" t="str">
        <x:v>history.flank_pain</x:v>
      </x:c>
      <x:c r="F1340" s="56" t="str">
        <x:v>flank_pain</x:v>
      </x:c>
      <x:c r="G1340" s="56" t="n">
        <x:v>4</x:v>
      </x:c>
      <x:c r="H1340" s="56" t="str">
        <x:v>普通得分项</x:v>
      </x:c>
      <x:c r="I1340" s="56" t="str">
        <x:v>否</x:v>
      </x:c>
      <x:c r="J1340" s="56" t="str">
        <x:v>否</x:v>
      </x:c>
      <x:c r="K1340" s="56" t="str">
        <x:v>否</x:v>
      </x:c>
      <x:c r="L1340" s="56" t="str">
        <x:v>按结构化事件证据给予0/部分/满分；不能由总结反推已完成</x:v>
      </x:c>
      <x:c r="M1340" s="56" t="str"/>
      <x:c r="N1340" s="56" t="n">
        <x:f>SUMIFS($G$4:$G$1673,$A$4:$A$1673,A1340)</x:f>
        <x:v>360</x:v>
      </x:c>
      <x:c r="O1340" s="56" t="str">
        <x:f>IF(N1340=360,"通过","失败")</x:f>
        <x:v>通过</x:v>
      </x:c>
      <x:c r="P1340" s="56" t="str"/>
      <x:c r="Q1340" s="59" t="str">
        <x:v>待确认</x:v>
      </x:c>
    </x:row>
    <x:row r="1341">
      <x:c r="A1341" s="56" t="str">
        <x:v>P034</x:v>
      </x:c>
      <x:c r="B1341" s="56" t="str">
        <x:v>HX-ADD-022</x:v>
      </x:c>
      <x:c r="C1341" s="56" t="str">
        <x:v>history</x:v>
      </x:c>
      <x:c r="D1341" s="56" t="n">
        <x:v>50</x:v>
      </x:c>
      <x:c r="E1341" s="56" t="str">
        <x:v>history.fever_chills</x:v>
      </x:c>
      <x:c r="F1341" s="56" t="str">
        <x:v>fever_chills</x:v>
      </x:c>
      <x:c r="G1341" s="56" t="n">
        <x:v>4</x:v>
      </x:c>
      <x:c r="H1341" s="56" t="str">
        <x:v>普通得分项</x:v>
      </x:c>
      <x:c r="I1341" s="56" t="str">
        <x:v>否</x:v>
      </x:c>
      <x:c r="J1341" s="56" t="str">
        <x:v>否</x:v>
      </x:c>
      <x:c r="K1341" s="56" t="str">
        <x:v>否</x:v>
      </x:c>
      <x:c r="L1341" s="56" t="str">
        <x:v>按结构化事件证据给予0/部分/满分；不能由总结反推已完成</x:v>
      </x:c>
      <x:c r="M1341" s="56" t="str"/>
      <x:c r="N1341" s="56" t="n">
        <x:f>SUMIFS($G$4:$G$1673,$A$4:$A$1673,A1341)</x:f>
        <x:v>360</x:v>
      </x:c>
      <x:c r="O1341" s="56" t="str">
        <x:f>IF(N1341=360,"通过","失败")</x:f>
        <x:v>通过</x:v>
      </x:c>
      <x:c r="P1341" s="56" t="str"/>
      <x:c r="Q1341" s="59" t="str">
        <x:v>待确认</x:v>
      </x:c>
    </x:row>
    <x:row r="1342">
      <x:c r="A1342" s="56" t="str">
        <x:v>P034</x:v>
      </x:c>
      <x:c r="B1342" s="56" t="str">
        <x:v>HX-ADD-022</x:v>
      </x:c>
      <x:c r="C1342" s="56" t="str">
        <x:v>risk</x:v>
      </x:c>
      <x:c r="D1342" s="56" t="n">
        <x:v>40</x:v>
      </x:c>
      <x:c r="E1342" s="56" t="str">
        <x:v>risk.glomerular_features</x:v>
      </x:c>
      <x:c r="F1342" s="56" t="str">
        <x:v>glomerular_features</x:v>
      </x:c>
      <x:c r="G1342" s="56" t="n">
        <x:v>10</x:v>
      </x:c>
      <x:c r="H1342" s="56" t="str">
        <x:v>普通得分项</x:v>
      </x:c>
      <x:c r="I1342" s="56" t="str">
        <x:v>否</x:v>
      </x:c>
      <x:c r="J1342" s="56" t="str">
        <x:v>否</x:v>
      </x:c>
      <x:c r="K1342" s="56" t="str">
        <x:v>否</x:v>
      </x:c>
      <x:c r="L1342" s="56" t="str">
        <x:v>按结构化事件证据给予0/部分/满分；不能由总结反推已完成</x:v>
      </x:c>
      <x:c r="M1342" s="56" t="str"/>
      <x:c r="N1342" s="56" t="n">
        <x:f>SUMIFS($G$4:$G$1673,$A$4:$A$1673,A1342)</x:f>
        <x:v>360</x:v>
      </x:c>
      <x:c r="O1342" s="56" t="str">
        <x:f>IF(N1342=360,"通过","失败")</x:f>
        <x:v>通过</x:v>
      </x:c>
      <x:c r="P1342" s="56" t="str"/>
      <x:c r="Q1342" s="59" t="str">
        <x:v>待确认</x:v>
      </x:c>
    </x:row>
    <x:row r="1343">
      <x:c r="A1343" s="56" t="str">
        <x:v>P034</x:v>
      </x:c>
      <x:c r="B1343" s="56" t="str">
        <x:v>HX-ADD-022</x:v>
      </x:c>
      <x:c r="C1343" s="56" t="str">
        <x:v>risk</x:v>
      </x:c>
      <x:c r="D1343" s="56" t="n">
        <x:v>40</x:v>
      </x:c>
      <x:c r="E1343" s="56" t="str">
        <x:v>risk.recent_uri</x:v>
      </x:c>
      <x:c r="F1343" s="56" t="str">
        <x:v>recent_uri</x:v>
      </x:c>
      <x:c r="G1343" s="56" t="n">
        <x:v>10</x:v>
      </x:c>
      <x:c r="H1343" s="56" t="str">
        <x:v>普通得分项</x:v>
      </x:c>
      <x:c r="I1343" s="56" t="str">
        <x:v>否</x:v>
      </x:c>
      <x:c r="J1343" s="56" t="str">
        <x:v>否</x:v>
      </x:c>
      <x:c r="K1343" s="56" t="str">
        <x:v>否</x:v>
      </x:c>
      <x:c r="L1343" s="56" t="str">
        <x:v>按结构化事件证据给予0/部分/满分；不能由总结反推已完成</x:v>
      </x:c>
      <x:c r="M1343" s="56" t="str"/>
      <x:c r="N1343" s="56" t="n">
        <x:f>SUMIFS($G$4:$G$1673,$A$4:$A$1673,A1343)</x:f>
        <x:v>360</x:v>
      </x:c>
      <x:c r="O1343" s="56" t="str">
        <x:f>IF(N1343=360,"通过","失败")</x:f>
        <x:v>通过</x:v>
      </x:c>
      <x:c r="P1343" s="56" t="str"/>
      <x:c r="Q1343" s="59" t="str">
        <x:v>待确认</x:v>
      </x:c>
    </x:row>
    <x:row r="1344">
      <x:c r="A1344" s="56" t="str">
        <x:v>P034</x:v>
      </x:c>
      <x:c r="B1344" s="56" t="str">
        <x:v>HX-ADD-022</x:v>
      </x:c>
      <x:c r="C1344" s="56" t="str">
        <x:v>risk</x:v>
      </x:c>
      <x:c r="D1344" s="56" t="n">
        <x:v>40</x:v>
      </x:c>
      <x:c r="E1344" s="56" t="str">
        <x:v>risk.family_history</x:v>
      </x:c>
      <x:c r="F1344" s="56" t="str">
        <x:v>family_history</x:v>
      </x:c>
      <x:c r="G1344" s="56" t="n">
        <x:v>10</x:v>
      </x:c>
      <x:c r="H1344" s="56" t="str">
        <x:v>普通得分项</x:v>
      </x:c>
      <x:c r="I1344" s="56" t="str">
        <x:v>否</x:v>
      </x:c>
      <x:c r="J1344" s="56" t="str">
        <x:v>否</x:v>
      </x:c>
      <x:c r="K1344" s="56" t="str">
        <x:v>否</x:v>
      </x:c>
      <x:c r="L1344" s="56" t="str">
        <x:v>按结构化事件证据给予0/部分/满分；不能由总结反推已完成</x:v>
      </x:c>
      <x:c r="M1344" s="56" t="str"/>
      <x:c r="N1344" s="56" t="n">
        <x:f>SUMIFS($G$4:$G$1673,$A$4:$A$1673,A1344)</x:f>
        <x:v>360</x:v>
      </x:c>
      <x:c r="O1344" s="56" t="str">
        <x:f>IF(N1344=360,"通过","失败")</x:f>
        <x:v>通过</x:v>
      </x:c>
      <x:c r="P1344" s="56" t="str"/>
      <x:c r="Q1344" s="59" t="str">
        <x:v>待确认</x:v>
      </x:c>
    </x:row>
    <x:row r="1345">
      <x:c r="A1345" s="56" t="str">
        <x:v>P034</x:v>
      </x:c>
      <x:c r="B1345" s="56" t="str">
        <x:v>HX-ADD-022</x:v>
      </x:c>
      <x:c r="C1345" s="56" t="str">
        <x:v>risk</x:v>
      </x:c>
      <x:c r="D1345" s="56" t="n">
        <x:v>40</x:v>
      </x:c>
      <x:c r="E1345" s="56" t="str">
        <x:v>risk.bleeding_tendency</x:v>
      </x:c>
      <x:c r="F1345" s="56" t="str">
        <x:v>bleeding_tendency</x:v>
      </x:c>
      <x:c r="G1345" s="56" t="n">
        <x:v>10</x:v>
      </x:c>
      <x:c r="H1345" s="56" t="str">
        <x:v>普通得分项</x:v>
      </x:c>
      <x:c r="I1345" s="56" t="str">
        <x:v>否</x:v>
      </x:c>
      <x:c r="J1345" s="56" t="str">
        <x:v>否</x:v>
      </x:c>
      <x:c r="K1345" s="56" t="str">
        <x:v>否</x:v>
      </x:c>
      <x:c r="L1345" s="56" t="str">
        <x:v>按结构化事件证据给予0/部分/满分；不能由总结反推已完成</x:v>
      </x:c>
      <x:c r="M1345" s="56" t="str"/>
      <x:c r="N1345" s="56" t="n">
        <x:f>SUMIFS($G$4:$G$1673,$A$4:$A$1673,A1345)</x:f>
        <x:v>360</x:v>
      </x:c>
      <x:c r="O1345" s="56" t="str">
        <x:f>IF(N1345=360,"通过","失败")</x:f>
        <x:v>通过</x:v>
      </x:c>
      <x:c r="P1345" s="56" t="str"/>
      <x:c r="Q1345" s="59" t="str">
        <x:v>待确认</x:v>
      </x:c>
    </x:row>
    <x:row r="1346">
      <x:c r="A1346" s="56" t="str">
        <x:v>P034</x:v>
      </x:c>
      <x:c r="B1346" s="56" t="str">
        <x:v>HX-ADD-022</x:v>
      </x:c>
      <x:c r="C1346" s="56" t="str">
        <x:v>exam</x:v>
      </x:c>
      <x:c r="D1346" s="56" t="n">
        <x:v>35</x:v>
      </x:c>
      <x:c r="E1346" s="56" t="str">
        <x:v>exam.temperature</x:v>
      </x:c>
      <x:c r="F1346" s="56" t="str">
        <x:v>体温</x:v>
      </x:c>
      <x:c r="G1346" s="56" t="n">
        <x:v>12</x:v>
      </x:c>
      <x:c r="H1346" s="56" t="str">
        <x:v>普通得分项</x:v>
      </x:c>
      <x:c r="I1346" s="56" t="str">
        <x:v>否</x:v>
      </x:c>
      <x:c r="J1346" s="56" t="str">
        <x:v>否</x:v>
      </x:c>
      <x:c r="K1346" s="56" t="str">
        <x:v>否</x:v>
      </x:c>
      <x:c r="L1346" s="56" t="str">
        <x:v>按结构化事件证据给予0/部分/满分；不能由总结反推已完成</x:v>
      </x:c>
      <x:c r="M1346" s="56" t="str"/>
      <x:c r="N1346" s="56" t="n">
        <x:f>SUMIFS($G$4:$G$1673,$A$4:$A$1673,A1346)</x:f>
        <x:v>360</x:v>
      </x:c>
      <x:c r="O1346" s="56" t="str">
        <x:f>IF(N1346=360,"通过","失败")</x:f>
        <x:v>通过</x:v>
      </x:c>
      <x:c r="P1346" s="56" t="str"/>
      <x:c r="Q1346" s="59" t="str">
        <x:v>待确认</x:v>
      </x:c>
    </x:row>
    <x:row r="1347">
      <x:c r="A1347" s="56" t="str">
        <x:v>P034</x:v>
      </x:c>
      <x:c r="B1347" s="56" t="str">
        <x:v>HX-ADD-022</x:v>
      </x:c>
      <x:c r="C1347" s="56" t="str">
        <x:v>exam</x:v>
      </x:c>
      <x:c r="D1347" s="56" t="n">
        <x:v>35</x:v>
      </x:c>
      <x:c r="E1347" s="56" t="str">
        <x:v>exam.blood_pressure</x:v>
      </x:c>
      <x:c r="F1347" s="56" t="str">
        <x:v>血压</x:v>
      </x:c>
      <x:c r="G1347" s="56" t="n">
        <x:v>12</x:v>
      </x:c>
      <x:c r="H1347" s="56" t="str">
        <x:v>普通得分项</x:v>
      </x:c>
      <x:c r="I1347" s="56" t="str">
        <x:v>否</x:v>
      </x:c>
      <x:c r="J1347" s="56" t="str">
        <x:v>否</x:v>
      </x:c>
      <x:c r="K1347" s="56" t="str">
        <x:v>否</x:v>
      </x:c>
      <x:c r="L1347" s="56" t="str">
        <x:v>按结构化事件证据给予0/部分/满分；不能由总结反推已完成</x:v>
      </x:c>
      <x:c r="M1347" s="56" t="str"/>
      <x:c r="N1347" s="56" t="n">
        <x:f>SUMIFS($G$4:$G$1673,$A$4:$A$1673,A1347)</x:f>
        <x:v>360</x:v>
      </x:c>
      <x:c r="O1347" s="56" t="str">
        <x:f>IF(N1347=360,"通过","失败")</x:f>
        <x:v>通过</x:v>
      </x:c>
      <x:c r="P1347" s="56" t="str"/>
      <x:c r="Q1347" s="59" t="str">
        <x:v>待确认</x:v>
      </x:c>
    </x:row>
    <x:row r="1348">
      <x:c r="A1348" s="56" t="str">
        <x:v>P034</x:v>
      </x:c>
      <x:c r="B1348" s="56" t="str">
        <x:v>HX-ADD-022</x:v>
      </x:c>
      <x:c r="C1348" s="56" t="str">
        <x:v>exam</x:v>
      </x:c>
      <x:c r="D1348" s="56" t="n">
        <x:v>35</x:v>
      </x:c>
      <x:c r="E1348" s="56" t="str">
        <x:v>exam.targeted</x:v>
      </x:c>
      <x:c r="F1348" s="56" t="str">
        <x:v>病例针对性查体</x:v>
      </x:c>
      <x:c r="G1348" s="56" t="n">
        <x:v>11</x:v>
      </x:c>
      <x:c r="H1348" s="56" t="str">
        <x:v>普通得分项</x:v>
      </x:c>
      <x:c r="I1348" s="56" t="str">
        <x:v>否</x:v>
      </x:c>
      <x:c r="J1348" s="56" t="str">
        <x:v>否</x:v>
      </x:c>
      <x:c r="K1348" s="56" t="str">
        <x:v>否</x:v>
      </x:c>
      <x:c r="L1348" s="56" t="str">
        <x:v>按结构化事件证据给予0/部分/满分；不能由总结反推已完成</x:v>
      </x:c>
      <x:c r="M1348" s="56" t="str"/>
      <x:c r="N1348" s="56" t="n">
        <x:f>SUMIFS($G$4:$G$1673,$A$4:$A$1673,A1348)</x:f>
        <x:v>360</x:v>
      </x:c>
      <x:c r="O1348" s="56" t="str">
        <x:f>IF(N1348=360,"通过","失败")</x:f>
        <x:v>通过</x:v>
      </x:c>
      <x:c r="P1348" s="56" t="str"/>
      <x:c r="Q1348" s="59" t="str">
        <x:v>待确认</x:v>
      </x:c>
    </x:row>
    <x:row r="1349">
      <x:c r="A1349" s="56" t="str">
        <x:v>P034</x:v>
      </x:c>
      <x:c r="B1349" s="56" t="str">
        <x:v>HX-ADD-022</x:v>
      </x:c>
      <x:c r="C1349" s="56" t="str">
        <x:v>diagnosis</x:v>
      </x:c>
      <x:c r="D1349" s="56" t="n">
        <x:v>45</x:v>
      </x:c>
      <x:c r="E1349" s="56" t="str">
        <x:v>diagnosis.primary</x:v>
      </x:c>
      <x:c r="F1349" s="56" t="str">
        <x:v>最可能诊断及依据</x:v>
      </x:c>
      <x:c r="G1349" s="56" t="n">
        <x:v>15</x:v>
      </x:c>
      <x:c r="H1349" s="56" t="str">
        <x:v>普通得分项</x:v>
      </x:c>
      <x:c r="I1349" s="56" t="str">
        <x:v>否</x:v>
      </x:c>
      <x:c r="J1349" s="56" t="str">
        <x:v>否</x:v>
      </x:c>
      <x:c r="K1349" s="56" t="str">
        <x:v>否</x:v>
      </x:c>
      <x:c r="L1349" s="56" t="str">
        <x:v>按结构化事件证据给予0/部分/满分；不能由总结反推已完成</x:v>
      </x:c>
      <x:c r="M1349" s="56" t="str"/>
      <x:c r="N1349" s="56" t="n">
        <x:f>SUMIFS($G$4:$G$1673,$A$4:$A$1673,A1349)</x:f>
        <x:v>360</x:v>
      </x:c>
      <x:c r="O1349" s="56" t="str">
        <x:f>IF(N1349=360,"通过","失败")</x:f>
        <x:v>通过</x:v>
      </x:c>
      <x:c r="P1349" s="56" t="str"/>
      <x:c r="Q1349" s="59" t="str">
        <x:v>待确认</x:v>
      </x:c>
    </x:row>
    <x:row r="1350">
      <x:c r="A1350" s="56" t="str">
        <x:v>P034</x:v>
      </x:c>
      <x:c r="B1350" s="56" t="str">
        <x:v>HX-ADD-022</x:v>
      </x:c>
      <x:c r="C1350" s="56" t="str">
        <x:v>diagnosis</x:v>
      </x:c>
      <x:c r="D1350" s="56" t="n">
        <x:v>45</x:v>
      </x:c>
      <x:c r="E1350" s="56" t="str">
        <x:v>diagnosis.differentials</x:v>
      </x:c>
      <x:c r="F1350" s="56" t="str">
        <x:v>至少3项鉴别及支持/反对点</x:v>
      </x:c>
      <x:c r="G1350" s="56" t="n">
        <x:v>15</x:v>
      </x:c>
      <x:c r="H1350" s="56" t="str">
        <x:v>普通得分项</x:v>
      </x:c>
      <x:c r="I1350" s="56" t="str">
        <x:v>否</x:v>
      </x:c>
      <x:c r="J1350" s="56" t="str">
        <x:v>否</x:v>
      </x:c>
      <x:c r="K1350" s="56" t="str">
        <x:v>否</x:v>
      </x:c>
      <x:c r="L1350" s="56" t="str">
        <x:v>按结构化事件证据给予0/部分/满分；不能由总结反推已完成</x:v>
      </x:c>
      <x:c r="M1350" s="56" t="str"/>
      <x:c r="N1350" s="56" t="n">
        <x:f>SUMIFS($G$4:$G$1673,$A$4:$A$1673,A1350)</x:f>
        <x:v>360</x:v>
      </x:c>
      <x:c r="O1350" s="56" t="str">
        <x:f>IF(N1350=360,"通过","失败")</x:f>
        <x:v>通过</x:v>
      </x:c>
      <x:c r="P1350" s="56" t="str"/>
      <x:c r="Q1350" s="59" t="str">
        <x:v>待确认</x:v>
      </x:c>
    </x:row>
    <x:row r="1351">
      <x:c r="A1351" s="56" t="str">
        <x:v>P034</x:v>
      </x:c>
      <x:c r="B1351" s="56" t="str">
        <x:v>HX-ADD-022</x:v>
      </x:c>
      <x:c r="C1351" s="56" t="str">
        <x:v>diagnosis</x:v>
      </x:c>
      <x:c r="D1351" s="56" t="n">
        <x:v>45</x:v>
      </x:c>
      <x:c r="E1351" s="56" t="str">
        <x:v>diagnosis.confirmation</x:v>
      </x:c>
      <x:c r="F1351" s="56" t="str">
        <x:v>确认计划</x:v>
      </x:c>
      <x:c r="G1351" s="56" t="n">
        <x:v>15</x:v>
      </x:c>
      <x:c r="H1351" s="56" t="str">
        <x:v>普通得分项</x:v>
      </x:c>
      <x:c r="I1351" s="56" t="str">
        <x:v>否</x:v>
      </x:c>
      <x:c r="J1351" s="56" t="str">
        <x:v>否</x:v>
      </x:c>
      <x:c r="K1351" s="56" t="str">
        <x:v>否</x:v>
      </x:c>
      <x:c r="L1351" s="56" t="str">
        <x:v>按结构化事件证据给予0/部分/满分；不能由总结反推已完成</x:v>
      </x:c>
      <x:c r="M1351" s="56" t="str"/>
      <x:c r="N1351" s="56" t="n">
        <x:f>SUMIFS($G$4:$G$1673,$A$4:$A$1673,A1351)</x:f>
        <x:v>360</x:v>
      </x:c>
      <x:c r="O1351" s="56" t="str">
        <x:f>IF(N1351=360,"通过","失败")</x:f>
        <x:v>通过</x:v>
      </x:c>
      <x:c r="P1351" s="56" t="str"/>
      <x:c r="Q1351" s="59" t="str">
        <x:v>待确认</x:v>
      </x:c>
    </x:row>
    <x:row r="1352">
      <x:c r="A1352" s="56" t="str">
        <x:v>P034</x:v>
      </x:c>
      <x:c r="B1352" s="56" t="str">
        <x:v>HX-ADD-022</x:v>
      </x:c>
      <x:c r="C1352" s="56" t="str">
        <x:v>orders</x:v>
      </x:c>
      <x:c r="D1352" s="56" t="n">
        <x:v>55</x:v>
      </x:c>
      <x:c r="E1352" s="56" t="str">
        <x:v>orders.LAB-UR-002</x:v>
      </x:c>
      <x:c r="F1352" s="56" t="str">
        <x:v>LAB-UR-002</x:v>
      </x:c>
      <x:c r="G1352" s="56" t="n">
        <x:v>10</x:v>
      </x:c>
      <x:c r="H1352" s="56" t="str">
        <x:v>病例特异得分项</x:v>
      </x:c>
      <x:c r="I1352" s="56" t="str">
        <x:v>否</x:v>
      </x:c>
      <x:c r="J1352" s="56" t="str">
        <x:v>否</x:v>
      </x:c>
      <x:c r="K1352" s="56" t="str">
        <x:v>否</x:v>
      </x:c>
      <x:c r="L1352" s="56" t="str">
        <x:v>按结构化事件证据给予0/部分/满分；不能由总结反推已完成</x:v>
      </x:c>
      <x:c r="M1352" s="56" t="str"/>
      <x:c r="N1352" s="56" t="n">
        <x:f>SUMIFS($G$4:$G$1673,$A$4:$A$1673,A1352)</x:f>
        <x:v>360</x:v>
      </x:c>
      <x:c r="O1352" s="56" t="str">
        <x:f>IF(N1352=360,"通过","失败")</x:f>
        <x:v>通过</x:v>
      </x:c>
      <x:c r="P1352" s="56" t="str"/>
      <x:c r="Q1352" s="59" t="str">
        <x:v>待确认</x:v>
      </x:c>
    </x:row>
    <x:row r="1353">
      <x:c r="A1353" s="56" t="str">
        <x:v>P034</x:v>
      </x:c>
      <x:c r="B1353" s="56" t="str">
        <x:v>HX-ADD-022</x:v>
      </x:c>
      <x:c r="C1353" s="56" t="str">
        <x:v>orders</x:v>
      </x:c>
      <x:c r="D1353" s="56" t="n">
        <x:v>55</x:v>
      </x:c>
      <x:c r="E1353" s="56" t="str">
        <x:v>orders.LAB-UR-003</x:v>
      </x:c>
      <x:c r="F1353" s="56" t="str">
        <x:v>LAB-UR-003</x:v>
      </x:c>
      <x:c r="G1353" s="56" t="n">
        <x:v>9</x:v>
      </x:c>
      <x:c r="H1353" s="56" t="str">
        <x:v>病例特异得分项</x:v>
      </x:c>
      <x:c r="I1353" s="56" t="str">
        <x:v>否</x:v>
      </x:c>
      <x:c r="J1353" s="56" t="str">
        <x:v>否</x:v>
      </x:c>
      <x:c r="K1353" s="56" t="str">
        <x:v>否</x:v>
      </x:c>
      <x:c r="L1353" s="56" t="str">
        <x:v>按结构化事件证据给予0/部分/满分；不能由总结反推已完成</x:v>
      </x:c>
      <x:c r="M1353" s="56" t="str"/>
      <x:c r="N1353" s="56" t="n">
        <x:f>SUMIFS($G$4:$G$1673,$A$4:$A$1673,A1353)</x:f>
        <x:v>360</x:v>
      </x:c>
      <x:c r="O1353" s="56" t="str">
        <x:f>IF(N1353=360,"通过","失败")</x:f>
        <x:v>通过</x:v>
      </x:c>
      <x:c r="P1353" s="56" t="str"/>
      <x:c r="Q1353" s="59" t="str">
        <x:v>待确认</x:v>
      </x:c>
    </x:row>
    <x:row r="1354">
      <x:c r="A1354" s="56" t="str">
        <x:v>P034</x:v>
      </x:c>
      <x:c r="B1354" s="56" t="str">
        <x:v>HX-ADD-022</x:v>
      </x:c>
      <x:c r="C1354" s="56" t="str">
        <x:v>orders</x:v>
      </x:c>
      <x:c r="D1354" s="56" t="n">
        <x:v>55</x:v>
      </x:c>
      <x:c r="E1354" s="56" t="str">
        <x:v>orders.LAB-UR-004</x:v>
      </x:c>
      <x:c r="F1354" s="56" t="str">
        <x:v>LAB-UR-004</x:v>
      </x:c>
      <x:c r="G1354" s="56" t="n">
        <x:v>9</x:v>
      </x:c>
      <x:c r="H1354" s="56" t="str">
        <x:v>病例特异得分项</x:v>
      </x:c>
      <x:c r="I1354" s="56" t="str">
        <x:v>否</x:v>
      </x:c>
      <x:c r="J1354" s="56" t="str">
        <x:v>否</x:v>
      </x:c>
      <x:c r="K1354" s="56" t="str">
        <x:v>否</x:v>
      </x:c>
      <x:c r="L1354" s="56" t="str">
        <x:v>按结构化事件证据给予0/部分/满分；不能由总结反推已完成</x:v>
      </x:c>
      <x:c r="M1354" s="56" t="str"/>
      <x:c r="N1354" s="56" t="n">
        <x:f>SUMIFS($G$4:$G$1673,$A$4:$A$1673,A1354)</x:f>
        <x:v>360</x:v>
      </x:c>
      <x:c r="O1354" s="56" t="str">
        <x:f>IF(N1354=360,"通过","失败")</x:f>
        <x:v>通过</x:v>
      </x:c>
      <x:c r="P1354" s="56" t="str"/>
      <x:c r="Q1354" s="59" t="str">
        <x:v>待确认</x:v>
      </x:c>
    </x:row>
    <x:row r="1355">
      <x:c r="A1355" s="56" t="str">
        <x:v>P034</x:v>
      </x:c>
      <x:c r="B1355" s="56" t="str">
        <x:v>HX-ADD-022</x:v>
      </x:c>
      <x:c r="C1355" s="56" t="str">
        <x:v>orders</x:v>
      </x:c>
      <x:c r="D1355" s="56" t="n">
        <x:v>55</x:v>
      </x:c>
      <x:c r="E1355" s="56" t="str">
        <x:v>orders.LAB-BL-003</x:v>
      </x:c>
      <x:c r="F1355" s="56" t="str">
        <x:v>LAB-BL-003</x:v>
      </x:c>
      <x:c r="G1355" s="56" t="n">
        <x:v>9</x:v>
      </x:c>
      <x:c r="H1355" s="56" t="str">
        <x:v>病例特异得分项</x:v>
      </x:c>
      <x:c r="I1355" s="56" t="str">
        <x:v>否</x:v>
      </x:c>
      <x:c r="J1355" s="56" t="str">
        <x:v>否</x:v>
      </x:c>
      <x:c r="K1355" s="56" t="str">
        <x:v>否</x:v>
      </x:c>
      <x:c r="L1355" s="56" t="str">
        <x:v>按结构化事件证据给予0/部分/满分；不能由总结反推已完成</x:v>
      </x:c>
      <x:c r="M1355" s="56" t="str"/>
      <x:c r="N1355" s="56" t="n">
        <x:f>SUMIFS($G$4:$G$1673,$A$4:$A$1673,A1355)</x:f>
        <x:v>360</x:v>
      </x:c>
      <x:c r="O1355" s="56" t="str">
        <x:f>IF(N1355=360,"通过","失败")</x:f>
        <x:v>通过</x:v>
      </x:c>
      <x:c r="P1355" s="56" t="str"/>
      <x:c r="Q1355" s="59" t="str">
        <x:v>待确认</x:v>
      </x:c>
    </x:row>
    <x:row r="1356">
      <x:c r="A1356" s="56" t="str">
        <x:v>P034</x:v>
      </x:c>
      <x:c r="B1356" s="56" t="str">
        <x:v>HX-ADD-022</x:v>
      </x:c>
      <x:c r="C1356" s="56" t="str">
        <x:v>orders</x:v>
      </x:c>
      <x:c r="D1356" s="56" t="n">
        <x:v>55</x:v>
      </x:c>
      <x:c r="E1356" s="56" t="str">
        <x:v>orders.LAB-BL-011</x:v>
      </x:c>
      <x:c r="F1356" s="56" t="str">
        <x:v>LAB-BL-011</x:v>
      </x:c>
      <x:c r="G1356" s="56" t="n">
        <x:v>9</x:v>
      </x:c>
      <x:c r="H1356" s="56" t="str">
        <x:v>病例特异得分项</x:v>
      </x:c>
      <x:c r="I1356" s="56" t="str">
        <x:v>否</x:v>
      </x:c>
      <x:c r="J1356" s="56" t="str">
        <x:v>否</x:v>
      </x:c>
      <x:c r="K1356" s="56" t="str">
        <x:v>否</x:v>
      </x:c>
      <x:c r="L1356" s="56" t="str">
        <x:v>按结构化事件证据给予0/部分/满分；不能由总结反推已完成</x:v>
      </x:c>
      <x:c r="M1356" s="56" t="str"/>
      <x:c r="N1356" s="56" t="n">
        <x:f>SUMIFS($G$4:$G$1673,$A$4:$A$1673,A1356)</x:f>
        <x:v>360</x:v>
      </x:c>
      <x:c r="O1356" s="56" t="str">
        <x:f>IF(N1356=360,"通过","失败")</x:f>
        <x:v>通过</x:v>
      </x:c>
      <x:c r="P1356" s="56" t="str"/>
      <x:c r="Q1356" s="59" t="str">
        <x:v>待确认</x:v>
      </x:c>
    </x:row>
    <x:row r="1357">
      <x:c r="A1357" s="56" t="str">
        <x:v>P034</x:v>
      </x:c>
      <x:c r="B1357" s="56" t="str">
        <x:v>HX-ADD-022</x:v>
      </x:c>
      <x:c r="C1357" s="56" t="str">
        <x:v>orders</x:v>
      </x:c>
      <x:c r="D1357" s="56" t="n">
        <x:v>55</x:v>
      </x:c>
      <x:c r="E1357" s="56" t="str">
        <x:v>orders.LAB-PATH-003</x:v>
      </x:c>
      <x:c r="F1357" s="56" t="str">
        <x:v>LAB-PATH-003</x:v>
      </x:c>
      <x:c r="G1357" s="56" t="n">
        <x:v>9</x:v>
      </x:c>
      <x:c r="H1357" s="56" t="str">
        <x:v>病例特异得分项</x:v>
      </x:c>
      <x:c r="I1357" s="56" t="str">
        <x:v>否</x:v>
      </x:c>
      <x:c r="J1357" s="56" t="str">
        <x:v>否</x:v>
      </x:c>
      <x:c r="K1357" s="56" t="str">
        <x:v>否</x:v>
      </x:c>
      <x:c r="L1357" s="56" t="str">
        <x:v>按结构化事件证据给予0/部分/满分；不能由总结反推已完成</x:v>
      </x:c>
      <x:c r="M1357" s="56" t="str"/>
      <x:c r="N1357" s="56" t="n">
        <x:f>SUMIFS($G$4:$G$1673,$A$4:$A$1673,A1357)</x:f>
        <x:v>360</x:v>
      </x:c>
      <x:c r="O1357" s="56" t="str">
        <x:f>IF(N1357=360,"通过","失败")</x:f>
        <x:v>通过</x:v>
      </x:c>
      <x:c r="P1357" s="56" t="str"/>
      <x:c r="Q1357" s="59" t="str">
        <x:v>待确认</x:v>
      </x:c>
    </x:row>
    <x:row r="1358">
      <x:c r="A1358" s="56" t="str">
        <x:v>P034</x:v>
      </x:c>
      <x:c r="B1358" s="56" t="str">
        <x:v>HX-ADD-022</x:v>
      </x:c>
      <x:c r="C1358" s="56" t="str">
        <x:v>mdt</x:v>
      </x:c>
      <x:c r="D1358" s="56" t="n">
        <x:v>45</x:v>
      </x:c>
      <x:c r="E1358" s="56" t="str">
        <x:v>mdt.department</x:v>
      </x:c>
      <x:c r="F1358" s="56" t="str">
        <x:v>department</x:v>
      </x:c>
      <x:c r="G1358" s="56" t="n">
        <x:v>12</x:v>
      </x:c>
      <x:c r="H1358" s="56" t="str">
        <x:v>病例特异得分项</x:v>
      </x:c>
      <x:c r="I1358" s="56" t="str">
        <x:v>否</x:v>
      </x:c>
      <x:c r="J1358" s="56" t="str">
        <x:v>否</x:v>
      </x:c>
      <x:c r="K1358" s="56" t="str">
        <x:v>否</x:v>
      </x:c>
      <x:c r="L1358" s="56" t="str">
        <x:v>按结构化事件证据给予0/部分/满分；不能由总结反推已完成</x:v>
      </x:c>
      <x:c r="M1358" s="56" t="str"/>
      <x:c r="N1358" s="56" t="n">
        <x:f>SUMIFS($G$4:$G$1673,$A$4:$A$1673,A1358)</x:f>
        <x:v>360</x:v>
      </x:c>
      <x:c r="O1358" s="56" t="str">
        <x:f>IF(N1358=360,"通过","失败")</x:f>
        <x:v>通过</x:v>
      </x:c>
      <x:c r="P1358" s="56" t="str"/>
      <x:c r="Q1358" s="59" t="str">
        <x:v>待确认</x:v>
      </x:c>
    </x:row>
    <x:row r="1359">
      <x:c r="A1359" s="56" t="str">
        <x:v>P034</x:v>
      </x:c>
      <x:c r="B1359" s="56" t="str">
        <x:v>HX-ADD-022</x:v>
      </x:c>
      <x:c r="C1359" s="56" t="str">
        <x:v>mdt</x:v>
      </x:c>
      <x:c r="D1359" s="56" t="n">
        <x:v>45</x:v>
      </x:c>
      <x:c r="E1359" s="56" t="str">
        <x:v>mdt.trigger</x:v>
      </x:c>
      <x:c r="F1359" s="56" t="str">
        <x:v>trigger</x:v>
      </x:c>
      <x:c r="G1359" s="56" t="n">
        <x:v>11</x:v>
      </x:c>
      <x:c r="H1359" s="56" t="str">
        <x:v>病例特异得分项</x:v>
      </x:c>
      <x:c r="I1359" s="56" t="str">
        <x:v>否</x:v>
      </x:c>
      <x:c r="J1359" s="56" t="str">
        <x:v>否</x:v>
      </x:c>
      <x:c r="K1359" s="56" t="str">
        <x:v>否</x:v>
      </x:c>
      <x:c r="L1359" s="56" t="str">
        <x:v>按结构化事件证据给予0/部分/满分；不能由总结反推已完成</x:v>
      </x:c>
      <x:c r="M1359" s="56" t="str"/>
      <x:c r="N1359" s="56" t="n">
        <x:f>SUMIFS($G$4:$G$1673,$A$4:$A$1673,A1359)</x:f>
        <x:v>360</x:v>
      </x:c>
      <x:c r="O1359" s="56" t="str">
        <x:f>IF(N1359=360,"通过","失败")</x:f>
        <x:v>通过</x:v>
      </x:c>
      <x:c r="P1359" s="56" t="str"/>
      <x:c r="Q1359" s="59" t="str">
        <x:v>待确认</x:v>
      </x:c>
    </x:row>
    <x:row r="1360">
      <x:c r="A1360" s="56" t="str">
        <x:v>P034</x:v>
      </x:c>
      <x:c r="B1360" s="56" t="str">
        <x:v>HX-ADD-022</x:v>
      </x:c>
      <x:c r="C1360" s="56" t="str">
        <x:v>mdt</x:v>
      </x:c>
      <x:c r="D1360" s="56" t="n">
        <x:v>45</x:v>
      </x:c>
      <x:c r="E1360" s="56" t="str">
        <x:v>mdt.question</x:v>
      </x:c>
      <x:c r="F1360" s="56" t="str">
        <x:v>question</x:v>
      </x:c>
      <x:c r="G1360" s="56" t="n">
        <x:v>11</x:v>
      </x:c>
      <x:c r="H1360" s="56" t="str">
        <x:v>病例特异得分项</x:v>
      </x:c>
      <x:c r="I1360" s="56" t="str">
        <x:v>否</x:v>
      </x:c>
      <x:c r="J1360" s="56" t="str">
        <x:v>否</x:v>
      </x:c>
      <x:c r="K1360" s="56" t="str">
        <x:v>否</x:v>
      </x:c>
      <x:c r="L1360" s="56" t="str">
        <x:v>按结构化事件证据给予0/部分/满分；不能由总结反推已完成</x:v>
      </x:c>
      <x:c r="M1360" s="56" t="str"/>
      <x:c r="N1360" s="56" t="n">
        <x:f>SUMIFS($G$4:$G$1673,$A$4:$A$1673,A1360)</x:f>
        <x:v>360</x:v>
      </x:c>
      <x:c r="O1360" s="56" t="str">
        <x:f>IF(N1360=360,"通过","失败")</x:f>
        <x:v>通过</x:v>
      </x:c>
      <x:c r="P1360" s="56" t="str"/>
      <x:c r="Q1360" s="59" t="str">
        <x:v>待确认</x:v>
      </x:c>
    </x:row>
    <x:row r="1361">
      <x:c r="A1361" s="56" t="str">
        <x:v>P034</x:v>
      </x:c>
      <x:c r="B1361" s="56" t="str">
        <x:v>HX-ADD-022</x:v>
      </x:c>
      <x:c r="C1361" s="56" t="str">
        <x:v>mdt</x:v>
      </x:c>
      <x:c r="D1361" s="56" t="n">
        <x:v>45</x:v>
      </x:c>
      <x:c r="E1361" s="56" t="str">
        <x:v>mdt.evidence</x:v>
      </x:c>
      <x:c r="F1361" s="56" t="str">
        <x:v>evidence</x:v>
      </x:c>
      <x:c r="G1361" s="56" t="n">
        <x:v>11</x:v>
      </x:c>
      <x:c r="H1361" s="56" t="str">
        <x:v>病例特异得分项</x:v>
      </x:c>
      <x:c r="I1361" s="56" t="str">
        <x:v>否</x:v>
      </x:c>
      <x:c r="J1361" s="56" t="str">
        <x:v>否</x:v>
      </x:c>
      <x:c r="K1361" s="56" t="str">
        <x:v>否</x:v>
      </x:c>
      <x:c r="L1361" s="56" t="str">
        <x:v>按结构化事件证据给予0/部分/满分；不能由总结反推已完成</x:v>
      </x:c>
      <x:c r="M1361" s="56" t="str"/>
      <x:c r="N1361" s="56" t="n">
        <x:f>SUMIFS($G$4:$G$1673,$A$4:$A$1673,A1361)</x:f>
        <x:v>360</x:v>
      </x:c>
      <x:c r="O1361" s="56" t="str">
        <x:f>IF(N1361=360,"通过","失败")</x:f>
        <x:v>通过</x:v>
      </x:c>
      <x:c r="P1361" s="56" t="str"/>
      <x:c r="Q1361" s="59" t="str">
        <x:v>待确认</x:v>
      </x:c>
    </x:row>
    <x:row r="1362">
      <x:c r="A1362" s="56" t="str">
        <x:v>P034</x:v>
      </x:c>
      <x:c r="B1362" s="56" t="str">
        <x:v>HX-ADD-022</x:v>
      </x:c>
      <x:c r="C1362" s="56" t="str">
        <x:v>treatment</x:v>
      </x:c>
      <x:c r="D1362" s="56" t="n">
        <x:v>50</x:v>
      </x:c>
      <x:c r="E1362" s="56" t="str">
        <x:v>treatment.immediate</x:v>
      </x:c>
      <x:c r="F1362" s="56" t="str">
        <x:v>immediate</x:v>
      </x:c>
      <x:c r="G1362" s="56" t="n">
        <x:v>13</x:v>
      </x:c>
      <x:c r="H1362" s="56" t="str">
        <x:v>病例特异得分项</x:v>
      </x:c>
      <x:c r="I1362" s="56" t="str">
        <x:v>否</x:v>
      </x:c>
      <x:c r="J1362" s="56" t="str">
        <x:v>否</x:v>
      </x:c>
      <x:c r="K1362" s="56" t="str">
        <x:v>否</x:v>
      </x:c>
      <x:c r="L1362" s="56" t="str">
        <x:v>按结构化事件证据给予0/部分/满分；不能由总结反推已完成</x:v>
      </x:c>
      <x:c r="M1362" s="56" t="str"/>
      <x:c r="N1362" s="56" t="n">
        <x:f>SUMIFS($G$4:$G$1673,$A$4:$A$1673,A1362)</x:f>
        <x:v>360</x:v>
      </x:c>
      <x:c r="O1362" s="56" t="str">
        <x:f>IF(N1362=360,"通过","失败")</x:f>
        <x:v>通过</x:v>
      </x:c>
      <x:c r="P1362" s="56" t="str"/>
      <x:c r="Q1362" s="59" t="str">
        <x:v>待确认</x:v>
      </x:c>
    </x:row>
    <x:row r="1363">
      <x:c r="A1363" s="56" t="str">
        <x:v>P034</x:v>
      </x:c>
      <x:c r="B1363" s="56" t="str">
        <x:v>HX-ADD-022</x:v>
      </x:c>
      <x:c r="C1363" s="56" t="str">
        <x:v>treatment</x:v>
      </x:c>
      <x:c r="D1363" s="56" t="n">
        <x:v>50</x:v>
      </x:c>
      <x:c r="E1363" s="56" t="str">
        <x:v>treatment.etiologic</x:v>
      </x:c>
      <x:c r="F1363" s="56" t="str">
        <x:v>etiologic</x:v>
      </x:c>
      <x:c r="G1363" s="56" t="n">
        <x:v>13</x:v>
      </x:c>
      <x:c r="H1363" s="56" t="str">
        <x:v>病例特异得分项</x:v>
      </x:c>
      <x:c r="I1363" s="56" t="str">
        <x:v>否</x:v>
      </x:c>
      <x:c r="J1363" s="56" t="str">
        <x:v>否</x:v>
      </x:c>
      <x:c r="K1363" s="56" t="str">
        <x:v>否</x:v>
      </x:c>
      <x:c r="L1363" s="56" t="str">
        <x:v>按结构化事件证据给予0/部分/满分；不能由总结反推已完成</x:v>
      </x:c>
      <x:c r="M1363" s="56" t="str"/>
      <x:c r="N1363" s="56" t="n">
        <x:f>SUMIFS($G$4:$G$1673,$A$4:$A$1673,A1363)</x:f>
        <x:v>360</x:v>
      </x:c>
      <x:c r="O1363" s="56" t="str">
        <x:f>IF(N1363=360,"通过","失败")</x:f>
        <x:v>通过</x:v>
      </x:c>
      <x:c r="P1363" s="56" t="str"/>
      <x:c r="Q1363" s="59" t="str">
        <x:v>待确认</x:v>
      </x:c>
    </x:row>
    <x:row r="1364">
      <x:c r="A1364" s="56" t="str">
        <x:v>P034</x:v>
      </x:c>
      <x:c r="B1364" s="56" t="str">
        <x:v>HX-ADD-022</x:v>
      </x:c>
      <x:c r="C1364" s="56" t="str">
        <x:v>treatment</x:v>
      </x:c>
      <x:c r="D1364" s="56" t="n">
        <x:v>50</x:v>
      </x:c>
      <x:c r="E1364" s="56" t="str">
        <x:v>treatment.definitive</x:v>
      </x:c>
      <x:c r="F1364" s="56" t="str">
        <x:v>definitive</x:v>
      </x:c>
      <x:c r="G1364" s="56" t="n">
        <x:v>12</x:v>
      </x:c>
      <x:c r="H1364" s="56" t="str">
        <x:v>病例特异得分项</x:v>
      </x:c>
      <x:c r="I1364" s="56" t="str">
        <x:v>否</x:v>
      </x:c>
      <x:c r="J1364" s="56" t="str">
        <x:v>否</x:v>
      </x:c>
      <x:c r="K1364" s="56" t="str">
        <x:v>否</x:v>
      </x:c>
      <x:c r="L1364" s="56" t="str">
        <x:v>按结构化事件证据给予0/部分/满分；不能由总结反推已完成</x:v>
      </x:c>
      <x:c r="M1364" s="56" t="str"/>
      <x:c r="N1364" s="56" t="n">
        <x:f>SUMIFS($G$4:$G$1673,$A$4:$A$1673,A1364)</x:f>
        <x:v>360</x:v>
      </x:c>
      <x:c r="O1364" s="56" t="str">
        <x:f>IF(N1364=360,"通过","失败")</x:f>
        <x:v>通过</x:v>
      </x:c>
      <x:c r="P1364" s="56" t="str"/>
      <x:c r="Q1364" s="59" t="str">
        <x:v>待确认</x:v>
      </x:c>
    </x:row>
    <x:row r="1365">
      <x:c r="A1365" s="56" t="str">
        <x:v>P034</x:v>
      </x:c>
      <x:c r="B1365" s="56" t="str">
        <x:v>HX-ADD-022</x:v>
      </x:c>
      <x:c r="C1365" s="56" t="str">
        <x:v>treatment</x:v>
      </x:c>
      <x:c r="D1365" s="56" t="n">
        <x:v>50</x:v>
      </x:c>
      <x:c r="E1365" s="56" t="str">
        <x:v>treatment.perioperative</x:v>
      </x:c>
      <x:c r="F1365" s="56" t="str">
        <x:v>perioperative</x:v>
      </x:c>
      <x:c r="G1365" s="56" t="n">
        <x:v>12</x:v>
      </x:c>
      <x:c r="H1365" s="56" t="str">
        <x:v>病例特异得分项</x:v>
      </x:c>
      <x:c r="I1365" s="56" t="str">
        <x:v>否</x:v>
      </x:c>
      <x:c r="J1365" s="56" t="str">
        <x:v>否</x:v>
      </x:c>
      <x:c r="K1365" s="56" t="str">
        <x:v>否</x:v>
      </x:c>
      <x:c r="L1365" s="56" t="str">
        <x:v>按结构化事件证据给予0/部分/满分；不能由总结反推已完成</x:v>
      </x:c>
      <x:c r="M1365" s="56" t="str"/>
      <x:c r="N1365" s="56" t="n">
        <x:f>SUMIFS($G$4:$G$1673,$A$4:$A$1673,A1365)</x:f>
        <x:v>360</x:v>
      </x:c>
      <x:c r="O1365" s="56" t="str">
        <x:f>IF(N1365=360,"通过","失败")</x:f>
        <x:v>通过</x:v>
      </x:c>
      <x:c r="P1365" s="56" t="str"/>
      <x:c r="Q1365" s="59" t="str">
        <x:v>待确认</x:v>
      </x:c>
    </x:row>
    <x:row r="1366">
      <x:c r="A1366" s="56" t="str">
        <x:v>P034</x:v>
      </x:c>
      <x:c r="B1366" s="56" t="str">
        <x:v>HX-ADD-022</x:v>
      </x:c>
      <x:c r="C1366" s="56" t="str">
        <x:v>followup</x:v>
      </x:c>
      <x:c r="D1366" s="56" t="n">
        <x:v>40</x:v>
      </x:c>
      <x:c r="E1366" s="56" t="str">
        <x:v>followup.plan</x:v>
      </x:c>
      <x:c r="F1366" s="56" t="str">
        <x:v>随访复查</x:v>
      </x:c>
      <x:c r="G1366" s="56" t="n">
        <x:v>10</x:v>
      </x:c>
      <x:c r="H1366" s="56" t="str">
        <x:v>普通得分项</x:v>
      </x:c>
      <x:c r="I1366" s="56" t="str">
        <x:v>否</x:v>
      </x:c>
      <x:c r="J1366" s="56" t="str">
        <x:v>否</x:v>
      </x:c>
      <x:c r="K1366" s="56" t="str">
        <x:v>否</x:v>
      </x:c>
      <x:c r="L1366" s="56" t="str">
        <x:v>按结构化事件证据给予0/部分/满分；不能由总结反推已完成</x:v>
      </x:c>
      <x:c r="M1366" s="56" t="str"/>
      <x:c r="N1366" s="56" t="n">
        <x:f>SUMIFS($G$4:$G$1673,$A$4:$A$1673,A1366)</x:f>
        <x:v>360</x:v>
      </x:c>
      <x:c r="O1366" s="56" t="str">
        <x:f>IF(N1366=360,"通过","失败")</x:f>
        <x:v>通过</x:v>
      </x:c>
      <x:c r="P1366" s="56" t="str"/>
      <x:c r="Q1366" s="59" t="str">
        <x:v>待确认</x:v>
      </x:c>
    </x:row>
    <x:row r="1367">
      <x:c r="A1367" s="56" t="str">
        <x:v>P034</x:v>
      </x:c>
      <x:c r="B1367" s="56" t="str">
        <x:v>HX-ADD-022</x:v>
      </x:c>
      <x:c r="C1367" s="56" t="str">
        <x:v>followup</x:v>
      </x:c>
      <x:c r="D1367" s="56" t="n">
        <x:v>40</x:v>
      </x:c>
      <x:c r="E1367" s="56" t="str">
        <x:v>followup.education</x:v>
      </x:c>
      <x:c r="F1367" s="56" t="str">
        <x:v>患者教育</x:v>
      </x:c>
      <x:c r="G1367" s="56" t="n">
        <x:v>10</x:v>
      </x:c>
      <x:c r="H1367" s="56" t="str">
        <x:v>普通得分项</x:v>
      </x:c>
      <x:c r="I1367" s="56" t="str">
        <x:v>否</x:v>
      </x:c>
      <x:c r="J1367" s="56" t="str">
        <x:v>否</x:v>
      </x:c>
      <x:c r="K1367" s="56" t="str">
        <x:v>否</x:v>
      </x:c>
      <x:c r="L1367" s="56" t="str">
        <x:v>按结构化事件证据给予0/部分/满分；不能由总结反推已完成</x:v>
      </x:c>
      <x:c r="M1367" s="56" t="str"/>
      <x:c r="N1367" s="56" t="n">
        <x:f>SUMIFS($G$4:$G$1673,$A$4:$A$1673,A1367)</x:f>
        <x:v>360</x:v>
      </x:c>
      <x:c r="O1367" s="56" t="str">
        <x:f>IF(N1367=360,"通过","失败")</x:f>
        <x:v>通过</x:v>
      </x:c>
      <x:c r="P1367" s="56" t="str"/>
      <x:c r="Q1367" s="59" t="str">
        <x:v>待确认</x:v>
      </x:c>
    </x:row>
    <x:row r="1368">
      <x:c r="A1368" s="56" t="str">
        <x:v>P034</x:v>
      </x:c>
      <x:c r="B1368" s="56" t="str">
        <x:v>HX-ADD-022</x:v>
      </x:c>
      <x:c r="C1368" s="56" t="str">
        <x:v>followup</x:v>
      </x:c>
      <x:c r="D1368" s="56" t="n">
        <x:v>40</x:v>
      </x:c>
      <x:c r="E1368" s="56" t="str">
        <x:v>followup.reflection</x:v>
      </x:c>
      <x:c r="F1368" s="56" t="str">
        <x:v>学习反思质量</x:v>
      </x:c>
      <x:c r="G1368" s="56" t="n">
        <x:v>10</x:v>
      </x:c>
      <x:c r="H1368" s="56" t="str">
        <x:v>普通得分项</x:v>
      </x:c>
      <x:c r="I1368" s="56" t="str">
        <x:v>否</x:v>
      </x:c>
      <x:c r="J1368" s="56" t="str">
        <x:v>否</x:v>
      </x:c>
      <x:c r="K1368" s="56" t="str">
        <x:v>否</x:v>
      </x:c>
      <x:c r="L1368" s="56" t="str">
        <x:v>按结构化事件证据给予0/部分/满分；不能由总结反推已完成</x:v>
      </x:c>
      <x:c r="M1368" s="56" t="str"/>
      <x:c r="N1368" s="56" t="n">
        <x:f>SUMIFS($G$4:$G$1673,$A$4:$A$1673,A1368)</x:f>
        <x:v>360</x:v>
      </x:c>
      <x:c r="O1368" s="56" t="str">
        <x:f>IF(N1368=360,"通过","失败")</x:f>
        <x:v>通过</x:v>
      </x:c>
      <x:c r="P1368" s="56" t="str"/>
      <x:c r="Q1368" s="59" t="str">
        <x:v>待确认</x:v>
      </x:c>
    </x:row>
    <x:row r="1369">
      <x:c r="A1369" s="56" t="str">
        <x:v>P034</x:v>
      </x:c>
      <x:c r="B1369" s="56" t="str">
        <x:v>HX-ADD-022</x:v>
      </x:c>
      <x:c r="C1369" s="56" t="str">
        <x:v>followup</x:v>
      </x:c>
      <x:c r="D1369" s="56" t="n">
        <x:v>40</x:v>
      </x:c>
      <x:c r="E1369" s="56" t="str">
        <x:v>followup.efficiency</x:v>
      </x:c>
      <x:c r="F1369" s="56" t="str">
        <x:v>操作效率</x:v>
      </x:c>
      <x:c r="G1369" s="56" t="n">
        <x:v>10</x:v>
      </x:c>
      <x:c r="H1369" s="56" t="str">
        <x:v>普通得分项</x:v>
      </x:c>
      <x:c r="I1369" s="56" t="str">
        <x:v>否</x:v>
      </x:c>
      <x:c r="J1369" s="56" t="str">
        <x:v>否</x:v>
      </x:c>
      <x:c r="K1369" s="56" t="str">
        <x:v>否</x:v>
      </x:c>
      <x:c r="L1369" s="56" t="str">
        <x:v>按结构化事件证据给予0/部分/满分；不能由总结反推已完成</x:v>
      </x:c>
      <x:c r="M1369" s="56" t="str"/>
      <x:c r="N1369" s="56" t="n">
        <x:f>SUMIFS($G$4:$G$1673,$A$4:$A$1673,A1369)</x:f>
        <x:v>360</x:v>
      </x:c>
      <x:c r="O1369" s="56" t="str">
        <x:f>IF(N1369=360,"通过","失败")</x:f>
        <x:v>通过</x:v>
      </x:c>
      <x:c r="P1369" s="56" t="str"/>
      <x:c r="Q1369" s="59" t="str">
        <x:v>待确认</x:v>
      </x:c>
    </x:row>
    <x:row r="1370">
      <x:c r="A1370" s="56" t="str">
        <x:v>P035</x:v>
      </x:c>
      <x:c r="B1370" s="56" t="str">
        <x:v>HX-ADD-023</x:v>
      </x:c>
      <x:c r="C1370" s="56" t="str">
        <x:v>history</x:v>
      </x:c>
      <x:c r="D1370" s="56" t="n">
        <x:v>50</x:v>
      </x:c>
      <x:c r="E1370" s="56" t="str">
        <x:v>history.hematuria_visibility</x:v>
      </x:c>
      <x:c r="F1370" s="56" t="str">
        <x:v>hematuria_visibility</x:v>
      </x:c>
      <x:c r="G1370" s="56" t="n">
        <x:v>5</x:v>
      </x:c>
      <x:c r="H1370" s="56" t="str">
        <x:v>普通得分项</x:v>
      </x:c>
      <x:c r="I1370" s="56" t="str">
        <x:v>否</x:v>
      </x:c>
      <x:c r="J1370" s="56" t="str">
        <x:v>否</x:v>
      </x:c>
      <x:c r="K1370" s="56" t="str">
        <x:v>否</x:v>
      </x:c>
      <x:c r="L1370" s="56" t="str">
        <x:v>按结构化事件证据给予0/部分/满分；不能由总结反推已完成</x:v>
      </x:c>
      <x:c r="M1370" s="56" t="str"/>
      <x:c r="N1370" s="56" t="n">
        <x:f>SUMIFS($G$4:$G$1673,$A$4:$A$1673,A1370)</x:f>
        <x:v>360</x:v>
      </x:c>
      <x:c r="O1370" s="56" t="str">
        <x:f>IF(N1370=360,"通过","失败")</x:f>
        <x:v>通过</x:v>
      </x:c>
      <x:c r="P1370" s="56" t="str"/>
      <x:c r="Q1370" s="59" t="str">
        <x:v>待确认</x:v>
      </x:c>
    </x:row>
    <x:row r="1371">
      <x:c r="A1371" s="56" t="str">
        <x:v>P035</x:v>
      </x:c>
      <x:c r="B1371" s="56" t="str">
        <x:v>HX-ADD-023</x:v>
      </x:c>
      <x:c r="C1371" s="56" t="str">
        <x:v>history</x:v>
      </x:c>
      <x:c r="D1371" s="56" t="n">
        <x:v>50</x:v>
      </x:c>
      <x:c r="E1371" s="56" t="str">
        <x:v>history.hematuria_onset</x:v>
      </x:c>
      <x:c r="F1371" s="56" t="str">
        <x:v>hematuria_onset</x:v>
      </x:c>
      <x:c r="G1371" s="56" t="n">
        <x:v>5</x:v>
      </x:c>
      <x:c r="H1371" s="56" t="str">
        <x:v>普通得分项</x:v>
      </x:c>
      <x:c r="I1371" s="56" t="str">
        <x:v>否</x:v>
      </x:c>
      <x:c r="J1371" s="56" t="str">
        <x:v>否</x:v>
      </x:c>
      <x:c r="K1371" s="56" t="str">
        <x:v>否</x:v>
      </x:c>
      <x:c r="L1371" s="56" t="str">
        <x:v>按结构化事件证据给予0/部分/满分；不能由总结反推已完成</x:v>
      </x:c>
      <x:c r="M1371" s="56" t="str"/>
      <x:c r="N1371" s="56" t="n">
        <x:f>SUMIFS($G$4:$G$1673,$A$4:$A$1673,A1371)</x:f>
        <x:v>360</x:v>
      </x:c>
      <x:c r="O1371" s="56" t="str">
        <x:f>IF(N1371=360,"通过","失败")</x:f>
        <x:v>通过</x:v>
      </x:c>
      <x:c r="P1371" s="56" t="str"/>
      <x:c r="Q1371" s="59" t="str">
        <x:v>待确认</x:v>
      </x:c>
    </x:row>
    <x:row r="1372">
      <x:c r="A1372" s="56" t="str">
        <x:v>P035</x:v>
      </x:c>
      <x:c r="B1372" s="56" t="str">
        <x:v>HX-ADD-023</x:v>
      </x:c>
      <x:c r="C1372" s="56" t="str">
        <x:v>history</x:v>
      </x:c>
      <x:c r="D1372" s="56" t="n">
        <x:v>50</x:v>
      </x:c>
      <x:c r="E1372" s="56" t="str">
        <x:v>history.hematuria_frequency</x:v>
      </x:c>
      <x:c r="F1372" s="56" t="str">
        <x:v>hematuria_frequency</x:v>
      </x:c>
      <x:c r="G1372" s="56" t="n">
        <x:v>4</x:v>
      </x:c>
      <x:c r="H1372" s="56" t="str">
        <x:v>普通得分项</x:v>
      </x:c>
      <x:c r="I1372" s="56" t="str">
        <x:v>否</x:v>
      </x:c>
      <x:c r="J1372" s="56" t="str">
        <x:v>否</x:v>
      </x:c>
      <x:c r="K1372" s="56" t="str">
        <x:v>否</x:v>
      </x:c>
      <x:c r="L1372" s="56" t="str">
        <x:v>按结构化事件证据给予0/部分/满分；不能由总结反推已完成</x:v>
      </x:c>
      <x:c r="M1372" s="56" t="str"/>
      <x:c r="N1372" s="56" t="n">
        <x:f>SUMIFS($G$4:$G$1673,$A$4:$A$1673,A1372)</x:f>
        <x:v>360</x:v>
      </x:c>
      <x:c r="O1372" s="56" t="str">
        <x:f>IF(N1372=360,"通过","失败")</x:f>
        <x:v>通过</x:v>
      </x:c>
      <x:c r="P1372" s="56" t="str"/>
      <x:c r="Q1372" s="59" t="str">
        <x:v>待确认</x:v>
      </x:c>
    </x:row>
    <x:row r="1373">
      <x:c r="A1373" s="56" t="str">
        <x:v>P035</x:v>
      </x:c>
      <x:c r="B1373" s="56" t="str">
        <x:v>HX-ADD-023</x:v>
      </x:c>
      <x:c r="C1373" s="56" t="str">
        <x:v>history</x:v>
      </x:c>
      <x:c r="D1373" s="56" t="n">
        <x:v>50</x:v>
      </x:c>
      <x:c r="E1373" s="56" t="str">
        <x:v>history.hematuria_phase</x:v>
      </x:c>
      <x:c r="F1373" s="56" t="str">
        <x:v>hematuria_phase</x:v>
      </x:c>
      <x:c r="G1373" s="56" t="n">
        <x:v>4</x:v>
      </x:c>
      <x:c r="H1373" s="56" t="str">
        <x:v>普通得分项</x:v>
      </x:c>
      <x:c r="I1373" s="56" t="str">
        <x:v>否</x:v>
      </x:c>
      <x:c r="J1373" s="56" t="str">
        <x:v>否</x:v>
      </x:c>
      <x:c r="K1373" s="56" t="str">
        <x:v>否</x:v>
      </x:c>
      <x:c r="L1373" s="56" t="str">
        <x:v>按结构化事件证据给予0/部分/满分；不能由总结反推已完成</x:v>
      </x:c>
      <x:c r="M1373" s="56" t="str"/>
      <x:c r="N1373" s="56" t="n">
        <x:f>SUMIFS($G$4:$G$1673,$A$4:$A$1673,A1373)</x:f>
        <x:v>360</x:v>
      </x:c>
      <x:c r="O1373" s="56" t="str">
        <x:f>IF(N1373=360,"通过","失败")</x:f>
        <x:v>通过</x:v>
      </x:c>
      <x:c r="P1373" s="56" t="str"/>
      <x:c r="Q1373" s="59" t="str">
        <x:v>待确认</x:v>
      </x:c>
    </x:row>
    <x:row r="1374">
      <x:c r="A1374" s="56" t="str">
        <x:v>P035</x:v>
      </x:c>
      <x:c r="B1374" s="56" t="str">
        <x:v>HX-ADD-023</x:v>
      </x:c>
      <x:c r="C1374" s="56" t="str">
        <x:v>history</x:v>
      </x:c>
      <x:c r="D1374" s="56" t="n">
        <x:v>50</x:v>
      </x:c>
      <x:c r="E1374" s="56" t="str">
        <x:v>history.urine_color</x:v>
      </x:c>
      <x:c r="F1374" s="56" t="str">
        <x:v>urine_color</x:v>
      </x:c>
      <x:c r="G1374" s="56" t="n">
        <x:v>4</x:v>
      </x:c>
      <x:c r="H1374" s="56" t="str">
        <x:v>普通得分项</x:v>
      </x:c>
      <x:c r="I1374" s="56" t="str">
        <x:v>否</x:v>
      </x:c>
      <x:c r="J1374" s="56" t="str">
        <x:v>否</x:v>
      </x:c>
      <x:c r="K1374" s="56" t="str">
        <x:v>否</x:v>
      </x:c>
      <x:c r="L1374" s="56" t="str">
        <x:v>按结构化事件证据给予0/部分/满分；不能由总结反推已完成</x:v>
      </x:c>
      <x:c r="M1374" s="56" t="str"/>
      <x:c r="N1374" s="56" t="n">
        <x:f>SUMIFS($G$4:$G$1673,$A$4:$A$1673,A1374)</x:f>
        <x:v>360</x:v>
      </x:c>
      <x:c r="O1374" s="56" t="str">
        <x:f>IF(N1374=360,"通过","失败")</x:f>
        <x:v>通过</x:v>
      </x:c>
      <x:c r="P1374" s="56" t="str"/>
      <x:c r="Q1374" s="59" t="str">
        <x:v>待确认</x:v>
      </x:c>
    </x:row>
    <x:row r="1375">
      <x:c r="A1375" s="56" t="str">
        <x:v>P035</x:v>
      </x:c>
      <x:c r="B1375" s="56" t="str">
        <x:v>HX-ADD-023</x:v>
      </x:c>
      <x:c r="C1375" s="56" t="str">
        <x:v>history</x:v>
      </x:c>
      <x:c r="D1375" s="56" t="n">
        <x:v>50</x:v>
      </x:c>
      <x:c r="E1375" s="56" t="str">
        <x:v>history.clots</x:v>
      </x:c>
      <x:c r="F1375" s="56" t="str">
        <x:v>clots</x:v>
      </x:c>
      <x:c r="G1375" s="56" t="n">
        <x:v>4</x:v>
      </x:c>
      <x:c r="H1375" s="56" t="str">
        <x:v>普通得分项</x:v>
      </x:c>
      <x:c r="I1375" s="56" t="str">
        <x:v>否</x:v>
      </x:c>
      <x:c r="J1375" s="56" t="str">
        <x:v>否</x:v>
      </x:c>
      <x:c r="K1375" s="56" t="str">
        <x:v>否</x:v>
      </x:c>
      <x:c r="L1375" s="56" t="str">
        <x:v>按结构化事件证据给予0/部分/满分；不能由总结反推已完成</x:v>
      </x:c>
      <x:c r="M1375" s="56" t="str"/>
      <x:c r="N1375" s="56" t="n">
        <x:f>SUMIFS($G$4:$G$1673,$A$4:$A$1673,A1375)</x:f>
        <x:v>360</x:v>
      </x:c>
      <x:c r="O1375" s="56" t="str">
        <x:f>IF(N1375=360,"通过","失败")</x:f>
        <x:v>通过</x:v>
      </x:c>
      <x:c r="P1375" s="56" t="str"/>
      <x:c r="Q1375" s="59" t="str">
        <x:v>待确认</x:v>
      </x:c>
    </x:row>
    <x:row r="1376">
      <x:c r="A1376" s="56" t="str">
        <x:v>P035</x:v>
      </x:c>
      <x:c r="B1376" s="56" t="str">
        <x:v>HX-ADD-023</x:v>
      </x:c>
      <x:c r="C1376" s="56" t="str">
        <x:v>history</x:v>
      </x:c>
      <x:c r="D1376" s="56" t="n">
        <x:v>50</x:v>
      </x:c>
      <x:c r="E1376" s="56" t="str">
        <x:v>history.pain</x:v>
      </x:c>
      <x:c r="F1376" s="56" t="str">
        <x:v>pain</x:v>
      </x:c>
      <x:c r="G1376" s="56" t="n">
        <x:v>4</x:v>
      </x:c>
      <x:c r="H1376" s="56" t="str">
        <x:v>普通得分项</x:v>
      </x:c>
      <x:c r="I1376" s="56" t="str">
        <x:v>否</x:v>
      </x:c>
      <x:c r="J1376" s="56" t="str">
        <x:v>否</x:v>
      </x:c>
      <x:c r="K1376" s="56" t="str">
        <x:v>否</x:v>
      </x:c>
      <x:c r="L1376" s="56" t="str">
        <x:v>按结构化事件证据给予0/部分/满分；不能由总结反推已完成</x:v>
      </x:c>
      <x:c r="M1376" s="56" t="str"/>
      <x:c r="N1376" s="56" t="n">
        <x:f>SUMIFS($G$4:$G$1673,$A$4:$A$1673,A1376)</x:f>
        <x:v>360</x:v>
      </x:c>
      <x:c r="O1376" s="56" t="str">
        <x:f>IF(N1376=360,"通过","失败")</x:f>
        <x:v>通过</x:v>
      </x:c>
      <x:c r="P1376" s="56" t="str"/>
      <x:c r="Q1376" s="59" t="str">
        <x:v>待确认</x:v>
      </x:c>
    </x:row>
    <x:row r="1377">
      <x:c r="A1377" s="56" t="str">
        <x:v>P035</x:v>
      </x:c>
      <x:c r="B1377" s="56" t="str">
        <x:v>HX-ADD-023</x:v>
      </x:c>
      <x:c r="C1377" s="56" t="str">
        <x:v>history</x:v>
      </x:c>
      <x:c r="D1377" s="56" t="n">
        <x:v>50</x:v>
      </x:c>
      <x:c r="E1377" s="56" t="str">
        <x:v>history.dysuria</x:v>
      </x:c>
      <x:c r="F1377" s="56" t="str">
        <x:v>dysuria</x:v>
      </x:c>
      <x:c r="G1377" s="56" t="n">
        <x:v>4</x:v>
      </x:c>
      <x:c r="H1377" s="56" t="str">
        <x:v>普通得分项</x:v>
      </x:c>
      <x:c r="I1377" s="56" t="str">
        <x:v>否</x:v>
      </x:c>
      <x:c r="J1377" s="56" t="str">
        <x:v>否</x:v>
      </x:c>
      <x:c r="K1377" s="56" t="str">
        <x:v>否</x:v>
      </x:c>
      <x:c r="L1377" s="56" t="str">
        <x:v>按结构化事件证据给予0/部分/满分；不能由总结反推已完成</x:v>
      </x:c>
      <x:c r="M1377" s="56" t="str"/>
      <x:c r="N1377" s="56" t="n">
        <x:f>SUMIFS($G$4:$G$1673,$A$4:$A$1673,A1377)</x:f>
        <x:v>360</x:v>
      </x:c>
      <x:c r="O1377" s="56" t="str">
        <x:f>IF(N1377=360,"通过","失败")</x:f>
        <x:v>通过</x:v>
      </x:c>
      <x:c r="P1377" s="56" t="str"/>
      <x:c r="Q1377" s="59" t="str">
        <x:v>待确认</x:v>
      </x:c>
    </x:row>
    <x:row r="1378">
      <x:c r="A1378" s="56" t="str">
        <x:v>P035</x:v>
      </x:c>
      <x:c r="B1378" s="56" t="str">
        <x:v>HX-ADD-023</x:v>
      </x:c>
      <x:c r="C1378" s="56" t="str">
        <x:v>history</x:v>
      </x:c>
      <x:c r="D1378" s="56" t="n">
        <x:v>50</x:v>
      </x:c>
      <x:c r="E1378" s="56" t="str">
        <x:v>history.urinary_frequency</x:v>
      </x:c>
      <x:c r="F1378" s="56" t="str">
        <x:v>urinary_frequency</x:v>
      </x:c>
      <x:c r="G1378" s="56" t="n">
        <x:v>4</x:v>
      </x:c>
      <x:c r="H1378" s="56" t="str">
        <x:v>普通得分项</x:v>
      </x:c>
      <x:c r="I1378" s="56" t="str">
        <x:v>否</x:v>
      </x:c>
      <x:c r="J1378" s="56" t="str">
        <x:v>否</x:v>
      </x:c>
      <x:c r="K1378" s="56" t="str">
        <x:v>否</x:v>
      </x:c>
      <x:c r="L1378" s="56" t="str">
        <x:v>按结构化事件证据给予0/部分/满分；不能由总结反推已完成</x:v>
      </x:c>
      <x:c r="M1378" s="56" t="str"/>
      <x:c r="N1378" s="56" t="n">
        <x:f>SUMIFS($G$4:$G$1673,$A$4:$A$1673,A1378)</x:f>
        <x:v>360</x:v>
      </x:c>
      <x:c r="O1378" s="56" t="str">
        <x:f>IF(N1378=360,"通过","失败")</x:f>
        <x:v>通过</x:v>
      </x:c>
      <x:c r="P1378" s="56" t="str"/>
      <x:c r="Q1378" s="59" t="str">
        <x:v>待确认</x:v>
      </x:c>
    </x:row>
    <x:row r="1379">
      <x:c r="A1379" s="56" t="str">
        <x:v>P035</x:v>
      </x:c>
      <x:c r="B1379" s="56" t="str">
        <x:v>HX-ADD-023</x:v>
      </x:c>
      <x:c r="C1379" s="56" t="str">
        <x:v>history</x:v>
      </x:c>
      <x:c r="D1379" s="56" t="n">
        <x:v>50</x:v>
      </x:c>
      <x:c r="E1379" s="56" t="str">
        <x:v>history.urinary_urgency</x:v>
      </x:c>
      <x:c r="F1379" s="56" t="str">
        <x:v>urinary_urgency</x:v>
      </x:c>
      <x:c r="G1379" s="56" t="n">
        <x:v>4</x:v>
      </x:c>
      <x:c r="H1379" s="56" t="str">
        <x:v>普通得分项</x:v>
      </x:c>
      <x:c r="I1379" s="56" t="str">
        <x:v>否</x:v>
      </x:c>
      <x:c r="J1379" s="56" t="str">
        <x:v>否</x:v>
      </x:c>
      <x:c r="K1379" s="56" t="str">
        <x:v>否</x:v>
      </x:c>
      <x:c r="L1379" s="56" t="str">
        <x:v>按结构化事件证据给予0/部分/满分；不能由总结反推已完成</x:v>
      </x:c>
      <x:c r="M1379" s="56" t="str"/>
      <x:c r="N1379" s="56" t="n">
        <x:f>SUMIFS($G$4:$G$1673,$A$4:$A$1673,A1379)</x:f>
        <x:v>360</x:v>
      </x:c>
      <x:c r="O1379" s="56" t="str">
        <x:f>IF(N1379=360,"通过","失败")</x:f>
        <x:v>通过</x:v>
      </x:c>
      <x:c r="P1379" s="56" t="str"/>
      <x:c r="Q1379" s="59" t="str">
        <x:v>待确认</x:v>
      </x:c>
    </x:row>
    <x:row r="1380">
      <x:c r="A1380" s="56" t="str">
        <x:v>P035</x:v>
      </x:c>
      <x:c r="B1380" s="56" t="str">
        <x:v>HX-ADD-023</x:v>
      </x:c>
      <x:c r="C1380" s="56" t="str">
        <x:v>history</x:v>
      </x:c>
      <x:c r="D1380" s="56" t="n">
        <x:v>50</x:v>
      </x:c>
      <x:c r="E1380" s="56" t="str">
        <x:v>history.flank_pain</x:v>
      </x:c>
      <x:c r="F1380" s="56" t="str">
        <x:v>flank_pain</x:v>
      </x:c>
      <x:c r="G1380" s="56" t="n">
        <x:v>4</x:v>
      </x:c>
      <x:c r="H1380" s="56" t="str">
        <x:v>普通得分项</x:v>
      </x:c>
      <x:c r="I1380" s="56" t="str">
        <x:v>否</x:v>
      </x:c>
      <x:c r="J1380" s="56" t="str">
        <x:v>否</x:v>
      </x:c>
      <x:c r="K1380" s="56" t="str">
        <x:v>否</x:v>
      </x:c>
      <x:c r="L1380" s="56" t="str">
        <x:v>按结构化事件证据给予0/部分/满分；不能由总结反推已完成</x:v>
      </x:c>
      <x:c r="M1380" s="56" t="str"/>
      <x:c r="N1380" s="56" t="n">
        <x:f>SUMIFS($G$4:$G$1673,$A$4:$A$1673,A1380)</x:f>
        <x:v>360</x:v>
      </x:c>
      <x:c r="O1380" s="56" t="str">
        <x:f>IF(N1380=360,"通过","失败")</x:f>
        <x:v>通过</x:v>
      </x:c>
      <x:c r="P1380" s="56" t="str"/>
      <x:c r="Q1380" s="59" t="str">
        <x:v>待确认</x:v>
      </x:c>
    </x:row>
    <x:row r="1381">
      <x:c r="A1381" s="56" t="str">
        <x:v>P035</x:v>
      </x:c>
      <x:c r="B1381" s="56" t="str">
        <x:v>HX-ADD-023</x:v>
      </x:c>
      <x:c r="C1381" s="56" t="str">
        <x:v>history</x:v>
      </x:c>
      <x:c r="D1381" s="56" t="n">
        <x:v>50</x:v>
      </x:c>
      <x:c r="E1381" s="56" t="str">
        <x:v>history.fever_chills</x:v>
      </x:c>
      <x:c r="F1381" s="56" t="str">
        <x:v>fever_chills</x:v>
      </x:c>
      <x:c r="G1381" s="56" t="n">
        <x:v>4</x:v>
      </x:c>
      <x:c r="H1381" s="56" t="str">
        <x:v>普通得分项</x:v>
      </x:c>
      <x:c r="I1381" s="56" t="str">
        <x:v>否</x:v>
      </x:c>
      <x:c r="J1381" s="56" t="str">
        <x:v>否</x:v>
      </x:c>
      <x:c r="K1381" s="56" t="str">
        <x:v>否</x:v>
      </x:c>
      <x:c r="L1381" s="56" t="str">
        <x:v>按结构化事件证据给予0/部分/满分；不能由总结反推已完成</x:v>
      </x:c>
      <x:c r="M1381" s="56" t="str"/>
      <x:c r="N1381" s="56" t="n">
        <x:f>SUMIFS($G$4:$G$1673,$A$4:$A$1673,A1381)</x:f>
        <x:v>360</x:v>
      </x:c>
      <x:c r="O1381" s="56" t="str">
        <x:f>IF(N1381=360,"通过","失败")</x:f>
        <x:v>通过</x:v>
      </x:c>
      <x:c r="P1381" s="56" t="str"/>
      <x:c r="Q1381" s="59" t="str">
        <x:v>待确认</x:v>
      </x:c>
    </x:row>
    <x:row r="1382">
      <x:c r="A1382" s="56" t="str">
        <x:v>P035</x:v>
      </x:c>
      <x:c r="B1382" s="56" t="str">
        <x:v>HX-ADD-023</x:v>
      </x:c>
      <x:c r="C1382" s="56" t="str">
        <x:v>risk</x:v>
      </x:c>
      <x:c r="D1382" s="56" t="n">
        <x:v>40</x:v>
      </x:c>
      <x:c r="E1382" s="56" t="str">
        <x:v>risk.glomerular_features</x:v>
      </x:c>
      <x:c r="F1382" s="56" t="str">
        <x:v>glomerular_features</x:v>
      </x:c>
      <x:c r="G1382" s="56" t="n">
        <x:v>8</x:v>
      </x:c>
      <x:c r="H1382" s="56" t="str">
        <x:v>普通得分项</x:v>
      </x:c>
      <x:c r="I1382" s="56" t="str">
        <x:v>否</x:v>
      </x:c>
      <x:c r="J1382" s="56" t="str">
        <x:v>否</x:v>
      </x:c>
      <x:c r="K1382" s="56" t="str">
        <x:v>否</x:v>
      </x:c>
      <x:c r="L1382" s="56" t="str">
        <x:v>按结构化事件证据给予0/部分/满分；不能由总结反推已完成</x:v>
      </x:c>
      <x:c r="M1382" s="56" t="str"/>
      <x:c r="N1382" s="56" t="n">
        <x:f>SUMIFS($G$4:$G$1673,$A$4:$A$1673,A1382)</x:f>
        <x:v>360</x:v>
      </x:c>
      <x:c r="O1382" s="56" t="str">
        <x:f>IF(N1382=360,"通过","失败")</x:f>
        <x:v>通过</x:v>
      </x:c>
      <x:c r="P1382" s="56" t="str"/>
      <x:c r="Q1382" s="59" t="str">
        <x:v>待确认</x:v>
      </x:c>
    </x:row>
    <x:row r="1383">
      <x:c r="A1383" s="56" t="str">
        <x:v>P035</x:v>
      </x:c>
      <x:c r="B1383" s="56" t="str">
        <x:v>HX-ADD-023</x:v>
      </x:c>
      <x:c r="C1383" s="56" t="str">
        <x:v>risk</x:v>
      </x:c>
      <x:c r="D1383" s="56" t="n">
        <x:v>40</x:v>
      </x:c>
      <x:c r="E1383" s="56" t="str">
        <x:v>risk.recent_uri</x:v>
      </x:c>
      <x:c r="F1383" s="56" t="str">
        <x:v>recent_uri</x:v>
      </x:c>
      <x:c r="G1383" s="56" t="n">
        <x:v>8</x:v>
      </x:c>
      <x:c r="H1383" s="56" t="str">
        <x:v>普通得分项</x:v>
      </x:c>
      <x:c r="I1383" s="56" t="str">
        <x:v>否</x:v>
      </x:c>
      <x:c r="J1383" s="56" t="str">
        <x:v>否</x:v>
      </x:c>
      <x:c r="K1383" s="56" t="str">
        <x:v>否</x:v>
      </x:c>
      <x:c r="L1383" s="56" t="str">
        <x:v>按结构化事件证据给予0/部分/满分；不能由总结反推已完成</x:v>
      </x:c>
      <x:c r="M1383" s="56" t="str"/>
      <x:c r="N1383" s="56" t="n">
        <x:f>SUMIFS($G$4:$G$1673,$A$4:$A$1673,A1383)</x:f>
        <x:v>360</x:v>
      </x:c>
      <x:c r="O1383" s="56" t="str">
        <x:f>IF(N1383=360,"通过","失败")</x:f>
        <x:v>通过</x:v>
      </x:c>
      <x:c r="P1383" s="56" t="str"/>
      <x:c r="Q1383" s="59" t="str">
        <x:v>待确认</x:v>
      </x:c>
    </x:row>
    <x:row r="1384">
      <x:c r="A1384" s="56" t="str">
        <x:v>P035</x:v>
      </x:c>
      <x:c r="B1384" s="56" t="str">
        <x:v>HX-ADD-023</x:v>
      </x:c>
      <x:c r="C1384" s="56" t="str">
        <x:v>risk</x:v>
      </x:c>
      <x:c r="D1384" s="56" t="n">
        <x:v>40</x:v>
      </x:c>
      <x:c r="E1384" s="56" t="str">
        <x:v>risk.family_history</x:v>
      </x:c>
      <x:c r="F1384" s="56" t="str">
        <x:v>family_history</x:v>
      </x:c>
      <x:c r="G1384" s="56" t="n">
        <x:v>8</x:v>
      </x:c>
      <x:c r="H1384" s="56" t="str">
        <x:v>普通得分项</x:v>
      </x:c>
      <x:c r="I1384" s="56" t="str">
        <x:v>否</x:v>
      </x:c>
      <x:c r="J1384" s="56" t="str">
        <x:v>否</x:v>
      </x:c>
      <x:c r="K1384" s="56" t="str">
        <x:v>否</x:v>
      </x:c>
      <x:c r="L1384" s="56" t="str">
        <x:v>按结构化事件证据给予0/部分/满分；不能由总结反推已完成</x:v>
      </x:c>
      <x:c r="M1384" s="56" t="str"/>
      <x:c r="N1384" s="56" t="n">
        <x:f>SUMIFS($G$4:$G$1673,$A$4:$A$1673,A1384)</x:f>
        <x:v>360</x:v>
      </x:c>
      <x:c r="O1384" s="56" t="str">
        <x:f>IF(N1384=360,"通过","失败")</x:f>
        <x:v>通过</x:v>
      </x:c>
      <x:c r="P1384" s="56" t="str"/>
      <x:c r="Q1384" s="59" t="str">
        <x:v>待确认</x:v>
      </x:c>
    </x:row>
    <x:row r="1385">
      <x:c r="A1385" s="56" t="str">
        <x:v>P035</x:v>
      </x:c>
      <x:c r="B1385" s="56" t="str">
        <x:v>HX-ADD-023</x:v>
      </x:c>
      <x:c r="C1385" s="56" t="str">
        <x:v>risk</x:v>
      </x:c>
      <x:c r="D1385" s="56" t="n">
        <x:v>40</x:v>
      </x:c>
      <x:c r="E1385" s="56" t="str">
        <x:v>risk.bleeding_tendency</x:v>
      </x:c>
      <x:c r="F1385" s="56" t="str">
        <x:v>bleeding_tendency</x:v>
      </x:c>
      <x:c r="G1385" s="56" t="n">
        <x:v>8</x:v>
      </x:c>
      <x:c r="H1385" s="56" t="str">
        <x:v>普通得分项</x:v>
      </x:c>
      <x:c r="I1385" s="56" t="str">
        <x:v>否</x:v>
      </x:c>
      <x:c r="J1385" s="56" t="str">
        <x:v>否</x:v>
      </x:c>
      <x:c r="K1385" s="56" t="str">
        <x:v>否</x:v>
      </x:c>
      <x:c r="L1385" s="56" t="str">
        <x:v>按结构化事件证据给予0/部分/满分；不能由总结反推已完成</x:v>
      </x:c>
      <x:c r="M1385" s="56" t="str"/>
      <x:c r="N1385" s="56" t="n">
        <x:f>SUMIFS($G$4:$G$1673,$A$4:$A$1673,A1385)</x:f>
        <x:v>360</x:v>
      </x:c>
      <x:c r="O1385" s="56" t="str">
        <x:f>IF(N1385=360,"通过","失败")</x:f>
        <x:v>通过</x:v>
      </x:c>
      <x:c r="P1385" s="56" t="str"/>
      <x:c r="Q1385" s="59" t="str">
        <x:v>待确认</x:v>
      </x:c>
    </x:row>
    <x:row r="1386">
      <x:c r="A1386" s="56" t="str">
        <x:v>P035</x:v>
      </x:c>
      <x:c r="B1386" s="56" t="str">
        <x:v>HX-ADD-023</x:v>
      </x:c>
      <x:c r="C1386" s="56" t="str">
        <x:v>risk</x:v>
      </x:c>
      <x:c r="D1386" s="56" t="n">
        <x:v>40</x:v>
      </x:c>
      <x:c r="E1386" s="56" t="str">
        <x:v>risk.gynecologic_contamination</x:v>
      </x:c>
      <x:c r="F1386" s="56" t="str">
        <x:v>gynecologic_contamination</x:v>
      </x:c>
      <x:c r="G1386" s="56" t="n">
        <x:v>8</x:v>
      </x:c>
      <x:c r="H1386" s="56" t="str">
        <x:v>普通得分项</x:v>
      </x:c>
      <x:c r="I1386" s="56" t="str">
        <x:v>否</x:v>
      </x:c>
      <x:c r="J1386" s="56" t="str">
        <x:v>否</x:v>
      </x:c>
      <x:c r="K1386" s="56" t="str">
        <x:v>否</x:v>
      </x:c>
      <x:c r="L1386" s="56" t="str">
        <x:v>按结构化事件证据给予0/部分/满分；不能由总结反推已完成</x:v>
      </x:c>
      <x:c r="M1386" s="56" t="str"/>
      <x:c r="N1386" s="56" t="n">
        <x:f>SUMIFS($G$4:$G$1673,$A$4:$A$1673,A1386)</x:f>
        <x:v>360</x:v>
      </x:c>
      <x:c r="O1386" s="56" t="str">
        <x:f>IF(N1386=360,"通过","失败")</x:f>
        <x:v>通过</x:v>
      </x:c>
      <x:c r="P1386" s="56" t="str"/>
      <x:c r="Q1386" s="59" t="str">
        <x:v>待确认</x:v>
      </x:c>
    </x:row>
    <x:row r="1387">
      <x:c r="A1387" s="56" t="str">
        <x:v>P035</x:v>
      </x:c>
      <x:c r="B1387" s="56" t="str">
        <x:v>HX-ADD-023</x:v>
      </x:c>
      <x:c r="C1387" s="56" t="str">
        <x:v>exam</x:v>
      </x:c>
      <x:c r="D1387" s="56" t="n">
        <x:v>35</x:v>
      </x:c>
      <x:c r="E1387" s="56" t="str">
        <x:v>exam.temperature</x:v>
      </x:c>
      <x:c r="F1387" s="56" t="str">
        <x:v>体温</x:v>
      </x:c>
      <x:c r="G1387" s="56" t="n">
        <x:v>12</x:v>
      </x:c>
      <x:c r="H1387" s="56" t="str">
        <x:v>普通得分项</x:v>
      </x:c>
      <x:c r="I1387" s="56" t="str">
        <x:v>否</x:v>
      </x:c>
      <x:c r="J1387" s="56" t="str">
        <x:v>否</x:v>
      </x:c>
      <x:c r="K1387" s="56" t="str">
        <x:v>否</x:v>
      </x:c>
      <x:c r="L1387" s="56" t="str">
        <x:v>按结构化事件证据给予0/部分/满分；不能由总结反推已完成</x:v>
      </x:c>
      <x:c r="M1387" s="56" t="str"/>
      <x:c r="N1387" s="56" t="n">
        <x:f>SUMIFS($G$4:$G$1673,$A$4:$A$1673,A1387)</x:f>
        <x:v>360</x:v>
      </x:c>
      <x:c r="O1387" s="56" t="str">
        <x:f>IF(N1387=360,"通过","失败")</x:f>
        <x:v>通过</x:v>
      </x:c>
      <x:c r="P1387" s="56" t="str"/>
      <x:c r="Q1387" s="59" t="str">
        <x:v>待确认</x:v>
      </x:c>
    </x:row>
    <x:row r="1388">
      <x:c r="A1388" s="56" t="str">
        <x:v>P035</x:v>
      </x:c>
      <x:c r="B1388" s="56" t="str">
        <x:v>HX-ADD-023</x:v>
      </x:c>
      <x:c r="C1388" s="56" t="str">
        <x:v>exam</x:v>
      </x:c>
      <x:c r="D1388" s="56" t="n">
        <x:v>35</x:v>
      </x:c>
      <x:c r="E1388" s="56" t="str">
        <x:v>exam.blood_pressure</x:v>
      </x:c>
      <x:c r="F1388" s="56" t="str">
        <x:v>血压</x:v>
      </x:c>
      <x:c r="G1388" s="56" t="n">
        <x:v>12</x:v>
      </x:c>
      <x:c r="H1388" s="56" t="str">
        <x:v>普通得分项</x:v>
      </x:c>
      <x:c r="I1388" s="56" t="str">
        <x:v>否</x:v>
      </x:c>
      <x:c r="J1388" s="56" t="str">
        <x:v>否</x:v>
      </x:c>
      <x:c r="K1388" s="56" t="str">
        <x:v>否</x:v>
      </x:c>
      <x:c r="L1388" s="56" t="str">
        <x:v>按结构化事件证据给予0/部分/满分；不能由总结反推已完成</x:v>
      </x:c>
      <x:c r="M1388" s="56" t="str"/>
      <x:c r="N1388" s="56" t="n">
        <x:f>SUMIFS($G$4:$G$1673,$A$4:$A$1673,A1388)</x:f>
        <x:v>360</x:v>
      </x:c>
      <x:c r="O1388" s="56" t="str">
        <x:f>IF(N1388=360,"通过","失败")</x:f>
        <x:v>通过</x:v>
      </x:c>
      <x:c r="P1388" s="56" t="str"/>
      <x:c r="Q1388" s="59" t="str">
        <x:v>待确认</x:v>
      </x:c>
    </x:row>
    <x:row r="1389">
      <x:c r="A1389" s="56" t="str">
        <x:v>P035</x:v>
      </x:c>
      <x:c r="B1389" s="56" t="str">
        <x:v>HX-ADD-023</x:v>
      </x:c>
      <x:c r="C1389" s="56" t="str">
        <x:v>exam</x:v>
      </x:c>
      <x:c r="D1389" s="56" t="n">
        <x:v>35</x:v>
      </x:c>
      <x:c r="E1389" s="56" t="str">
        <x:v>exam.targeted</x:v>
      </x:c>
      <x:c r="F1389" s="56" t="str">
        <x:v>病例针对性查体</x:v>
      </x:c>
      <x:c r="G1389" s="56" t="n">
        <x:v>11</x:v>
      </x:c>
      <x:c r="H1389" s="56" t="str">
        <x:v>普通得分项</x:v>
      </x:c>
      <x:c r="I1389" s="56" t="str">
        <x:v>否</x:v>
      </x:c>
      <x:c r="J1389" s="56" t="str">
        <x:v>否</x:v>
      </x:c>
      <x:c r="K1389" s="56" t="str">
        <x:v>否</x:v>
      </x:c>
      <x:c r="L1389" s="56" t="str">
        <x:v>按结构化事件证据给予0/部分/满分；不能由总结反推已完成</x:v>
      </x:c>
      <x:c r="M1389" s="56" t="str"/>
      <x:c r="N1389" s="56" t="n">
        <x:f>SUMIFS($G$4:$G$1673,$A$4:$A$1673,A1389)</x:f>
        <x:v>360</x:v>
      </x:c>
      <x:c r="O1389" s="56" t="str">
        <x:f>IF(N1389=360,"通过","失败")</x:f>
        <x:v>通过</x:v>
      </x:c>
      <x:c r="P1389" s="56" t="str"/>
      <x:c r="Q1389" s="59" t="str">
        <x:v>待确认</x:v>
      </x:c>
    </x:row>
    <x:row r="1390">
      <x:c r="A1390" s="56" t="str">
        <x:v>P035</x:v>
      </x:c>
      <x:c r="B1390" s="56" t="str">
        <x:v>HX-ADD-023</x:v>
      </x:c>
      <x:c r="C1390" s="56" t="str">
        <x:v>diagnosis</x:v>
      </x:c>
      <x:c r="D1390" s="56" t="n">
        <x:v>45</x:v>
      </x:c>
      <x:c r="E1390" s="56" t="str">
        <x:v>diagnosis.primary</x:v>
      </x:c>
      <x:c r="F1390" s="56" t="str">
        <x:v>最可能诊断及依据</x:v>
      </x:c>
      <x:c r="G1390" s="56" t="n">
        <x:v>15</x:v>
      </x:c>
      <x:c r="H1390" s="56" t="str">
        <x:v>普通得分项</x:v>
      </x:c>
      <x:c r="I1390" s="56" t="str">
        <x:v>否</x:v>
      </x:c>
      <x:c r="J1390" s="56" t="str">
        <x:v>否</x:v>
      </x:c>
      <x:c r="K1390" s="56" t="str">
        <x:v>否</x:v>
      </x:c>
      <x:c r="L1390" s="56" t="str">
        <x:v>按结构化事件证据给予0/部分/满分；不能由总结反推已完成</x:v>
      </x:c>
      <x:c r="M1390" s="56" t="str"/>
      <x:c r="N1390" s="56" t="n">
        <x:f>SUMIFS($G$4:$G$1673,$A$4:$A$1673,A1390)</x:f>
        <x:v>360</x:v>
      </x:c>
      <x:c r="O1390" s="56" t="str">
        <x:f>IF(N1390=360,"通过","失败")</x:f>
        <x:v>通过</x:v>
      </x:c>
      <x:c r="P1390" s="56" t="str"/>
      <x:c r="Q1390" s="59" t="str">
        <x:v>待确认</x:v>
      </x:c>
    </x:row>
    <x:row r="1391">
      <x:c r="A1391" s="56" t="str">
        <x:v>P035</x:v>
      </x:c>
      <x:c r="B1391" s="56" t="str">
        <x:v>HX-ADD-023</x:v>
      </x:c>
      <x:c r="C1391" s="56" t="str">
        <x:v>diagnosis</x:v>
      </x:c>
      <x:c r="D1391" s="56" t="n">
        <x:v>45</x:v>
      </x:c>
      <x:c r="E1391" s="56" t="str">
        <x:v>diagnosis.differentials</x:v>
      </x:c>
      <x:c r="F1391" s="56" t="str">
        <x:v>至少3项鉴别及支持/反对点</x:v>
      </x:c>
      <x:c r="G1391" s="56" t="n">
        <x:v>15</x:v>
      </x:c>
      <x:c r="H1391" s="56" t="str">
        <x:v>普通得分项</x:v>
      </x:c>
      <x:c r="I1391" s="56" t="str">
        <x:v>否</x:v>
      </x:c>
      <x:c r="J1391" s="56" t="str">
        <x:v>否</x:v>
      </x:c>
      <x:c r="K1391" s="56" t="str">
        <x:v>否</x:v>
      </x:c>
      <x:c r="L1391" s="56" t="str">
        <x:v>按结构化事件证据给予0/部分/满分；不能由总结反推已完成</x:v>
      </x:c>
      <x:c r="M1391" s="56" t="str"/>
      <x:c r="N1391" s="56" t="n">
        <x:f>SUMIFS($G$4:$G$1673,$A$4:$A$1673,A1391)</x:f>
        <x:v>360</x:v>
      </x:c>
      <x:c r="O1391" s="56" t="str">
        <x:f>IF(N1391=360,"通过","失败")</x:f>
        <x:v>通过</x:v>
      </x:c>
      <x:c r="P1391" s="56" t="str"/>
      <x:c r="Q1391" s="59" t="str">
        <x:v>待确认</x:v>
      </x:c>
    </x:row>
    <x:row r="1392">
      <x:c r="A1392" s="56" t="str">
        <x:v>P035</x:v>
      </x:c>
      <x:c r="B1392" s="56" t="str">
        <x:v>HX-ADD-023</x:v>
      </x:c>
      <x:c r="C1392" s="56" t="str">
        <x:v>diagnosis</x:v>
      </x:c>
      <x:c r="D1392" s="56" t="n">
        <x:v>45</x:v>
      </x:c>
      <x:c r="E1392" s="56" t="str">
        <x:v>diagnosis.confirmation</x:v>
      </x:c>
      <x:c r="F1392" s="56" t="str">
        <x:v>确认计划</x:v>
      </x:c>
      <x:c r="G1392" s="56" t="n">
        <x:v>15</x:v>
      </x:c>
      <x:c r="H1392" s="56" t="str">
        <x:v>普通得分项</x:v>
      </x:c>
      <x:c r="I1392" s="56" t="str">
        <x:v>否</x:v>
      </x:c>
      <x:c r="J1392" s="56" t="str">
        <x:v>否</x:v>
      </x:c>
      <x:c r="K1392" s="56" t="str">
        <x:v>否</x:v>
      </x:c>
      <x:c r="L1392" s="56" t="str">
        <x:v>按结构化事件证据给予0/部分/满分；不能由总结反推已完成</x:v>
      </x:c>
      <x:c r="M1392" s="56" t="str"/>
      <x:c r="N1392" s="56" t="n">
        <x:f>SUMIFS($G$4:$G$1673,$A$4:$A$1673,A1392)</x:f>
        <x:v>360</x:v>
      </x:c>
      <x:c r="O1392" s="56" t="str">
        <x:f>IF(N1392=360,"通过","失败")</x:f>
        <x:v>通过</x:v>
      </x:c>
      <x:c r="P1392" s="56" t="str"/>
      <x:c r="Q1392" s="59" t="str">
        <x:v>待确认</x:v>
      </x:c>
    </x:row>
    <x:row r="1393">
      <x:c r="A1393" s="56" t="str">
        <x:v>P035</x:v>
      </x:c>
      <x:c r="B1393" s="56" t="str">
        <x:v>HX-ADD-023</x:v>
      </x:c>
      <x:c r="C1393" s="56" t="str">
        <x:v>orders</x:v>
      </x:c>
      <x:c r="D1393" s="56" t="n">
        <x:v>55</x:v>
      </x:c>
      <x:c r="E1393" s="56" t="str">
        <x:v>orders.LAB-UR-002</x:v>
      </x:c>
      <x:c r="F1393" s="56" t="str">
        <x:v>LAB-UR-002</x:v>
      </x:c>
      <x:c r="G1393" s="56" t="n">
        <x:v>10</x:v>
      </x:c>
      <x:c r="H1393" s="56" t="str">
        <x:v>病例特异得分项</x:v>
      </x:c>
      <x:c r="I1393" s="56" t="str">
        <x:v>否</x:v>
      </x:c>
      <x:c r="J1393" s="56" t="str">
        <x:v>否</x:v>
      </x:c>
      <x:c r="K1393" s="56" t="str">
        <x:v>否</x:v>
      </x:c>
      <x:c r="L1393" s="56" t="str">
        <x:v>按结构化事件证据给予0/部分/满分；不能由总结反推已完成</x:v>
      </x:c>
      <x:c r="M1393" s="56" t="str"/>
      <x:c r="N1393" s="56" t="n">
        <x:f>SUMIFS($G$4:$G$1673,$A$4:$A$1673,A1393)</x:f>
        <x:v>360</x:v>
      </x:c>
      <x:c r="O1393" s="56" t="str">
        <x:f>IF(N1393=360,"通过","失败")</x:f>
        <x:v>通过</x:v>
      </x:c>
      <x:c r="P1393" s="56" t="str"/>
      <x:c r="Q1393" s="59" t="str">
        <x:v>待确认</x:v>
      </x:c>
    </x:row>
    <x:row r="1394">
      <x:c r="A1394" s="56" t="str">
        <x:v>P035</x:v>
      </x:c>
      <x:c r="B1394" s="56" t="str">
        <x:v>HX-ADD-023</x:v>
      </x:c>
      <x:c r="C1394" s="56" t="str">
        <x:v>orders</x:v>
      </x:c>
      <x:c r="D1394" s="56" t="n">
        <x:v>55</x:v>
      </x:c>
      <x:c r="E1394" s="56" t="str">
        <x:v>orders.LAB-UR-003</x:v>
      </x:c>
      <x:c r="F1394" s="56" t="str">
        <x:v>LAB-UR-003</x:v>
      </x:c>
      <x:c r="G1394" s="56" t="n">
        <x:v>9</x:v>
      </x:c>
      <x:c r="H1394" s="56" t="str">
        <x:v>病例特异得分项</x:v>
      </x:c>
      <x:c r="I1394" s="56" t="str">
        <x:v>否</x:v>
      </x:c>
      <x:c r="J1394" s="56" t="str">
        <x:v>否</x:v>
      </x:c>
      <x:c r="K1394" s="56" t="str">
        <x:v>否</x:v>
      </x:c>
      <x:c r="L1394" s="56" t="str">
        <x:v>按结构化事件证据给予0/部分/满分；不能由总结反推已完成</x:v>
      </x:c>
      <x:c r="M1394" s="56" t="str"/>
      <x:c r="N1394" s="56" t="n">
        <x:f>SUMIFS($G$4:$G$1673,$A$4:$A$1673,A1394)</x:f>
        <x:v>360</x:v>
      </x:c>
      <x:c r="O1394" s="56" t="str">
        <x:f>IF(N1394=360,"通过","失败")</x:f>
        <x:v>通过</x:v>
      </x:c>
      <x:c r="P1394" s="56" t="str"/>
      <x:c r="Q1394" s="59" t="str">
        <x:v>待确认</x:v>
      </x:c>
    </x:row>
    <x:row r="1395">
      <x:c r="A1395" s="56" t="str">
        <x:v>P035</x:v>
      </x:c>
      <x:c r="B1395" s="56" t="str">
        <x:v>HX-ADD-023</x:v>
      </x:c>
      <x:c r="C1395" s="56" t="str">
        <x:v>orders</x:v>
      </x:c>
      <x:c r="D1395" s="56" t="n">
        <x:v>55</x:v>
      </x:c>
      <x:c r="E1395" s="56" t="str">
        <x:v>orders.LAB-UR-004</x:v>
      </x:c>
      <x:c r="F1395" s="56" t="str">
        <x:v>LAB-UR-004</x:v>
      </x:c>
      <x:c r="G1395" s="56" t="n">
        <x:v>9</x:v>
      </x:c>
      <x:c r="H1395" s="56" t="str">
        <x:v>病例特异得分项</x:v>
      </x:c>
      <x:c r="I1395" s="56" t="str">
        <x:v>否</x:v>
      </x:c>
      <x:c r="J1395" s="56" t="str">
        <x:v>否</x:v>
      </x:c>
      <x:c r="K1395" s="56" t="str">
        <x:v>否</x:v>
      </x:c>
      <x:c r="L1395" s="56" t="str">
        <x:v>按结构化事件证据给予0/部分/满分；不能由总结反推已完成</x:v>
      </x:c>
      <x:c r="M1395" s="56" t="str"/>
      <x:c r="N1395" s="56" t="n">
        <x:f>SUMIFS($G$4:$G$1673,$A$4:$A$1673,A1395)</x:f>
        <x:v>360</x:v>
      </x:c>
      <x:c r="O1395" s="56" t="str">
        <x:f>IF(N1395=360,"通过","失败")</x:f>
        <x:v>通过</x:v>
      </x:c>
      <x:c r="P1395" s="56" t="str"/>
      <x:c r="Q1395" s="59" t="str">
        <x:v>待确认</x:v>
      </x:c>
    </x:row>
    <x:row r="1396">
      <x:c r="A1396" s="56" t="str">
        <x:v>P035</x:v>
      </x:c>
      <x:c r="B1396" s="56" t="str">
        <x:v>HX-ADD-023</x:v>
      </x:c>
      <x:c r="C1396" s="56" t="str">
        <x:v>orders</x:v>
      </x:c>
      <x:c r="D1396" s="56" t="n">
        <x:v>55</x:v>
      </x:c>
      <x:c r="E1396" s="56" t="str">
        <x:v>orders.LAB-BL-003</x:v>
      </x:c>
      <x:c r="F1396" s="56" t="str">
        <x:v>LAB-BL-003</x:v>
      </x:c>
      <x:c r="G1396" s="56" t="n">
        <x:v>9</x:v>
      </x:c>
      <x:c r="H1396" s="56" t="str">
        <x:v>病例特异得分项</x:v>
      </x:c>
      <x:c r="I1396" s="56" t="str">
        <x:v>否</x:v>
      </x:c>
      <x:c r="J1396" s="56" t="str">
        <x:v>否</x:v>
      </x:c>
      <x:c r="K1396" s="56" t="str">
        <x:v>否</x:v>
      </x:c>
      <x:c r="L1396" s="56" t="str">
        <x:v>按结构化事件证据给予0/部分/满分；不能由总结反推已完成</x:v>
      </x:c>
      <x:c r="M1396" s="56" t="str"/>
      <x:c r="N1396" s="56" t="n">
        <x:f>SUMIFS($G$4:$G$1673,$A$4:$A$1673,A1396)</x:f>
        <x:v>360</x:v>
      </x:c>
      <x:c r="O1396" s="56" t="str">
        <x:f>IF(N1396=360,"通过","失败")</x:f>
        <x:v>通过</x:v>
      </x:c>
      <x:c r="P1396" s="56" t="str"/>
      <x:c r="Q1396" s="59" t="str">
        <x:v>待确认</x:v>
      </x:c>
    </x:row>
    <x:row r="1397">
      <x:c r="A1397" s="56" t="str">
        <x:v>P035</x:v>
      </x:c>
      <x:c r="B1397" s="56" t="str">
        <x:v>HX-ADD-023</x:v>
      </x:c>
      <x:c r="C1397" s="56" t="str">
        <x:v>orders</x:v>
      </x:c>
      <x:c r="D1397" s="56" t="n">
        <x:v>55</x:v>
      </x:c>
      <x:c r="E1397" s="56" t="str">
        <x:v>orders.LAB-BL-011</x:v>
      </x:c>
      <x:c r="F1397" s="56" t="str">
        <x:v>LAB-BL-011</x:v>
      </x:c>
      <x:c r="G1397" s="56" t="n">
        <x:v>9</x:v>
      </x:c>
      <x:c r="H1397" s="56" t="str">
        <x:v>病例特异得分项</x:v>
      </x:c>
      <x:c r="I1397" s="56" t="str">
        <x:v>否</x:v>
      </x:c>
      <x:c r="J1397" s="56" t="str">
        <x:v>否</x:v>
      </x:c>
      <x:c r="K1397" s="56" t="str">
        <x:v>否</x:v>
      </x:c>
      <x:c r="L1397" s="56" t="str">
        <x:v>按结构化事件证据给予0/部分/满分；不能由总结反推已完成</x:v>
      </x:c>
      <x:c r="M1397" s="56" t="str"/>
      <x:c r="N1397" s="56" t="n">
        <x:f>SUMIFS($G$4:$G$1673,$A$4:$A$1673,A1397)</x:f>
        <x:v>360</x:v>
      </x:c>
      <x:c r="O1397" s="56" t="str">
        <x:f>IF(N1397=360,"通过","失败")</x:f>
        <x:v>通过</x:v>
      </x:c>
      <x:c r="P1397" s="56" t="str"/>
      <x:c r="Q1397" s="59" t="str">
        <x:v>待确认</x:v>
      </x:c>
    </x:row>
    <x:row r="1398">
      <x:c r="A1398" s="56" t="str">
        <x:v>P035</x:v>
      </x:c>
      <x:c r="B1398" s="56" t="str">
        <x:v>HX-ADD-023</x:v>
      </x:c>
      <x:c r="C1398" s="56" t="str">
        <x:v>orders</x:v>
      </x:c>
      <x:c r="D1398" s="56" t="n">
        <x:v>55</x:v>
      </x:c>
      <x:c r="E1398" s="56" t="str">
        <x:v>orders.LAB-PATH-003</x:v>
      </x:c>
      <x:c r="F1398" s="56" t="str">
        <x:v>LAB-PATH-003</x:v>
      </x:c>
      <x:c r="G1398" s="56" t="n">
        <x:v>9</x:v>
      </x:c>
      <x:c r="H1398" s="56" t="str">
        <x:v>病例特异得分项</x:v>
      </x:c>
      <x:c r="I1398" s="56" t="str">
        <x:v>否</x:v>
      </x:c>
      <x:c r="J1398" s="56" t="str">
        <x:v>否</x:v>
      </x:c>
      <x:c r="K1398" s="56" t="str">
        <x:v>否</x:v>
      </x:c>
      <x:c r="L1398" s="56" t="str">
        <x:v>按结构化事件证据给予0/部分/满分；不能由总结反推已完成</x:v>
      </x:c>
      <x:c r="M1398" s="56" t="str"/>
      <x:c r="N1398" s="56" t="n">
        <x:f>SUMIFS($G$4:$G$1673,$A$4:$A$1673,A1398)</x:f>
        <x:v>360</x:v>
      </x:c>
      <x:c r="O1398" s="56" t="str">
        <x:f>IF(N1398=360,"通过","失败")</x:f>
        <x:v>通过</x:v>
      </x:c>
      <x:c r="P1398" s="56" t="str"/>
      <x:c r="Q1398" s="59" t="str">
        <x:v>待确认</x:v>
      </x:c>
    </x:row>
    <x:row r="1399">
      <x:c r="A1399" s="56" t="str">
        <x:v>P035</x:v>
      </x:c>
      <x:c r="B1399" s="56" t="str">
        <x:v>HX-ADD-023</x:v>
      </x:c>
      <x:c r="C1399" s="56" t="str">
        <x:v>mdt</x:v>
      </x:c>
      <x:c r="D1399" s="56" t="n">
        <x:v>45</x:v>
      </x:c>
      <x:c r="E1399" s="56" t="str">
        <x:v>mdt.department</x:v>
      </x:c>
      <x:c r="F1399" s="56" t="str">
        <x:v>department</x:v>
      </x:c>
      <x:c r="G1399" s="56" t="n">
        <x:v>12</x:v>
      </x:c>
      <x:c r="H1399" s="56" t="str">
        <x:v>病例特异得分项</x:v>
      </x:c>
      <x:c r="I1399" s="56" t="str">
        <x:v>否</x:v>
      </x:c>
      <x:c r="J1399" s="56" t="str">
        <x:v>否</x:v>
      </x:c>
      <x:c r="K1399" s="56" t="str">
        <x:v>否</x:v>
      </x:c>
      <x:c r="L1399" s="56" t="str">
        <x:v>按结构化事件证据给予0/部分/满分；不能由总结反推已完成</x:v>
      </x:c>
      <x:c r="M1399" s="56" t="str"/>
      <x:c r="N1399" s="56" t="n">
        <x:f>SUMIFS($G$4:$G$1673,$A$4:$A$1673,A1399)</x:f>
        <x:v>360</x:v>
      </x:c>
      <x:c r="O1399" s="56" t="str">
        <x:f>IF(N1399=360,"通过","失败")</x:f>
        <x:v>通过</x:v>
      </x:c>
      <x:c r="P1399" s="56" t="str"/>
      <x:c r="Q1399" s="59" t="str">
        <x:v>待确认</x:v>
      </x:c>
    </x:row>
    <x:row r="1400">
      <x:c r="A1400" s="56" t="str">
        <x:v>P035</x:v>
      </x:c>
      <x:c r="B1400" s="56" t="str">
        <x:v>HX-ADD-023</x:v>
      </x:c>
      <x:c r="C1400" s="56" t="str">
        <x:v>mdt</x:v>
      </x:c>
      <x:c r="D1400" s="56" t="n">
        <x:v>45</x:v>
      </x:c>
      <x:c r="E1400" s="56" t="str">
        <x:v>mdt.trigger</x:v>
      </x:c>
      <x:c r="F1400" s="56" t="str">
        <x:v>trigger</x:v>
      </x:c>
      <x:c r="G1400" s="56" t="n">
        <x:v>11</x:v>
      </x:c>
      <x:c r="H1400" s="56" t="str">
        <x:v>病例特异得分项</x:v>
      </x:c>
      <x:c r="I1400" s="56" t="str">
        <x:v>否</x:v>
      </x:c>
      <x:c r="J1400" s="56" t="str">
        <x:v>否</x:v>
      </x:c>
      <x:c r="K1400" s="56" t="str">
        <x:v>否</x:v>
      </x:c>
      <x:c r="L1400" s="56" t="str">
        <x:v>按结构化事件证据给予0/部分/满分；不能由总结反推已完成</x:v>
      </x:c>
      <x:c r="M1400" s="56" t="str"/>
      <x:c r="N1400" s="56" t="n">
        <x:f>SUMIFS($G$4:$G$1673,$A$4:$A$1673,A1400)</x:f>
        <x:v>360</x:v>
      </x:c>
      <x:c r="O1400" s="56" t="str">
        <x:f>IF(N1400=360,"通过","失败")</x:f>
        <x:v>通过</x:v>
      </x:c>
      <x:c r="P1400" s="56" t="str"/>
      <x:c r="Q1400" s="59" t="str">
        <x:v>待确认</x:v>
      </x:c>
    </x:row>
    <x:row r="1401">
      <x:c r="A1401" s="56" t="str">
        <x:v>P035</x:v>
      </x:c>
      <x:c r="B1401" s="56" t="str">
        <x:v>HX-ADD-023</x:v>
      </x:c>
      <x:c r="C1401" s="56" t="str">
        <x:v>mdt</x:v>
      </x:c>
      <x:c r="D1401" s="56" t="n">
        <x:v>45</x:v>
      </x:c>
      <x:c r="E1401" s="56" t="str">
        <x:v>mdt.question</x:v>
      </x:c>
      <x:c r="F1401" s="56" t="str">
        <x:v>question</x:v>
      </x:c>
      <x:c r="G1401" s="56" t="n">
        <x:v>11</x:v>
      </x:c>
      <x:c r="H1401" s="56" t="str">
        <x:v>病例特异得分项</x:v>
      </x:c>
      <x:c r="I1401" s="56" t="str">
        <x:v>否</x:v>
      </x:c>
      <x:c r="J1401" s="56" t="str">
        <x:v>否</x:v>
      </x:c>
      <x:c r="K1401" s="56" t="str">
        <x:v>否</x:v>
      </x:c>
      <x:c r="L1401" s="56" t="str">
        <x:v>按结构化事件证据给予0/部分/满分；不能由总结反推已完成</x:v>
      </x:c>
      <x:c r="M1401" s="56" t="str"/>
      <x:c r="N1401" s="56" t="n">
        <x:f>SUMIFS($G$4:$G$1673,$A$4:$A$1673,A1401)</x:f>
        <x:v>360</x:v>
      </x:c>
      <x:c r="O1401" s="56" t="str">
        <x:f>IF(N1401=360,"通过","失败")</x:f>
        <x:v>通过</x:v>
      </x:c>
      <x:c r="P1401" s="56" t="str"/>
      <x:c r="Q1401" s="59" t="str">
        <x:v>待确认</x:v>
      </x:c>
    </x:row>
    <x:row r="1402">
      <x:c r="A1402" s="56" t="str">
        <x:v>P035</x:v>
      </x:c>
      <x:c r="B1402" s="56" t="str">
        <x:v>HX-ADD-023</x:v>
      </x:c>
      <x:c r="C1402" s="56" t="str">
        <x:v>mdt</x:v>
      </x:c>
      <x:c r="D1402" s="56" t="n">
        <x:v>45</x:v>
      </x:c>
      <x:c r="E1402" s="56" t="str">
        <x:v>mdt.evidence</x:v>
      </x:c>
      <x:c r="F1402" s="56" t="str">
        <x:v>evidence</x:v>
      </x:c>
      <x:c r="G1402" s="56" t="n">
        <x:v>11</x:v>
      </x:c>
      <x:c r="H1402" s="56" t="str">
        <x:v>病例特异得分项</x:v>
      </x:c>
      <x:c r="I1402" s="56" t="str">
        <x:v>否</x:v>
      </x:c>
      <x:c r="J1402" s="56" t="str">
        <x:v>否</x:v>
      </x:c>
      <x:c r="K1402" s="56" t="str">
        <x:v>否</x:v>
      </x:c>
      <x:c r="L1402" s="56" t="str">
        <x:v>按结构化事件证据给予0/部分/满分；不能由总结反推已完成</x:v>
      </x:c>
      <x:c r="M1402" s="56" t="str"/>
      <x:c r="N1402" s="56" t="n">
        <x:f>SUMIFS($G$4:$G$1673,$A$4:$A$1673,A1402)</x:f>
        <x:v>360</x:v>
      </x:c>
      <x:c r="O1402" s="56" t="str">
        <x:f>IF(N1402=360,"通过","失败")</x:f>
        <x:v>通过</x:v>
      </x:c>
      <x:c r="P1402" s="56" t="str"/>
      <x:c r="Q1402" s="59" t="str">
        <x:v>待确认</x:v>
      </x:c>
    </x:row>
    <x:row r="1403">
      <x:c r="A1403" s="56" t="str">
        <x:v>P035</x:v>
      </x:c>
      <x:c r="B1403" s="56" t="str">
        <x:v>HX-ADD-023</x:v>
      </x:c>
      <x:c r="C1403" s="56" t="str">
        <x:v>treatment</x:v>
      </x:c>
      <x:c r="D1403" s="56" t="n">
        <x:v>50</x:v>
      </x:c>
      <x:c r="E1403" s="56" t="str">
        <x:v>treatment.immediate</x:v>
      </x:c>
      <x:c r="F1403" s="56" t="str">
        <x:v>immediate</x:v>
      </x:c>
      <x:c r="G1403" s="56" t="n">
        <x:v>13</x:v>
      </x:c>
      <x:c r="H1403" s="56" t="str">
        <x:v>病例特异得分项</x:v>
      </x:c>
      <x:c r="I1403" s="56" t="str">
        <x:v>否</x:v>
      </x:c>
      <x:c r="J1403" s="56" t="str">
        <x:v>否</x:v>
      </x:c>
      <x:c r="K1403" s="56" t="str">
        <x:v>否</x:v>
      </x:c>
      <x:c r="L1403" s="56" t="str">
        <x:v>按结构化事件证据给予0/部分/满分；不能由总结反推已完成</x:v>
      </x:c>
      <x:c r="M1403" s="56" t="str"/>
      <x:c r="N1403" s="56" t="n">
        <x:f>SUMIFS($G$4:$G$1673,$A$4:$A$1673,A1403)</x:f>
        <x:v>360</x:v>
      </x:c>
      <x:c r="O1403" s="56" t="str">
        <x:f>IF(N1403=360,"通过","失败")</x:f>
        <x:v>通过</x:v>
      </x:c>
      <x:c r="P1403" s="56" t="str"/>
      <x:c r="Q1403" s="59" t="str">
        <x:v>待确认</x:v>
      </x:c>
    </x:row>
    <x:row r="1404">
      <x:c r="A1404" s="56" t="str">
        <x:v>P035</x:v>
      </x:c>
      <x:c r="B1404" s="56" t="str">
        <x:v>HX-ADD-023</x:v>
      </x:c>
      <x:c r="C1404" s="56" t="str">
        <x:v>treatment</x:v>
      </x:c>
      <x:c r="D1404" s="56" t="n">
        <x:v>50</x:v>
      </x:c>
      <x:c r="E1404" s="56" t="str">
        <x:v>treatment.etiologic</x:v>
      </x:c>
      <x:c r="F1404" s="56" t="str">
        <x:v>etiologic</x:v>
      </x:c>
      <x:c r="G1404" s="56" t="n">
        <x:v>13</x:v>
      </x:c>
      <x:c r="H1404" s="56" t="str">
        <x:v>病例特异得分项</x:v>
      </x:c>
      <x:c r="I1404" s="56" t="str">
        <x:v>否</x:v>
      </x:c>
      <x:c r="J1404" s="56" t="str">
        <x:v>否</x:v>
      </x:c>
      <x:c r="K1404" s="56" t="str">
        <x:v>否</x:v>
      </x:c>
      <x:c r="L1404" s="56" t="str">
        <x:v>按结构化事件证据给予0/部分/满分；不能由总结反推已完成</x:v>
      </x:c>
      <x:c r="M1404" s="56" t="str"/>
      <x:c r="N1404" s="56" t="n">
        <x:f>SUMIFS($G$4:$G$1673,$A$4:$A$1673,A1404)</x:f>
        <x:v>360</x:v>
      </x:c>
      <x:c r="O1404" s="56" t="str">
        <x:f>IF(N1404=360,"通过","失败")</x:f>
        <x:v>通过</x:v>
      </x:c>
      <x:c r="P1404" s="56" t="str"/>
      <x:c r="Q1404" s="59" t="str">
        <x:v>待确认</x:v>
      </x:c>
    </x:row>
    <x:row r="1405">
      <x:c r="A1405" s="56" t="str">
        <x:v>P035</x:v>
      </x:c>
      <x:c r="B1405" s="56" t="str">
        <x:v>HX-ADD-023</x:v>
      </x:c>
      <x:c r="C1405" s="56" t="str">
        <x:v>treatment</x:v>
      </x:c>
      <x:c r="D1405" s="56" t="n">
        <x:v>50</x:v>
      </x:c>
      <x:c r="E1405" s="56" t="str">
        <x:v>treatment.definitive</x:v>
      </x:c>
      <x:c r="F1405" s="56" t="str">
        <x:v>definitive</x:v>
      </x:c>
      <x:c r="G1405" s="56" t="n">
        <x:v>12</x:v>
      </x:c>
      <x:c r="H1405" s="56" t="str">
        <x:v>病例特异得分项</x:v>
      </x:c>
      <x:c r="I1405" s="56" t="str">
        <x:v>否</x:v>
      </x:c>
      <x:c r="J1405" s="56" t="str">
        <x:v>否</x:v>
      </x:c>
      <x:c r="K1405" s="56" t="str">
        <x:v>否</x:v>
      </x:c>
      <x:c r="L1405" s="56" t="str">
        <x:v>按结构化事件证据给予0/部分/满分；不能由总结反推已完成</x:v>
      </x:c>
      <x:c r="M1405" s="56" t="str"/>
      <x:c r="N1405" s="56" t="n">
        <x:f>SUMIFS($G$4:$G$1673,$A$4:$A$1673,A1405)</x:f>
        <x:v>360</x:v>
      </x:c>
      <x:c r="O1405" s="56" t="str">
        <x:f>IF(N1405=360,"通过","失败")</x:f>
        <x:v>通过</x:v>
      </x:c>
      <x:c r="P1405" s="56" t="str"/>
      <x:c r="Q1405" s="59" t="str">
        <x:v>待确认</x:v>
      </x:c>
    </x:row>
    <x:row r="1406">
      <x:c r="A1406" s="56" t="str">
        <x:v>P035</x:v>
      </x:c>
      <x:c r="B1406" s="56" t="str">
        <x:v>HX-ADD-023</x:v>
      </x:c>
      <x:c r="C1406" s="56" t="str">
        <x:v>treatment</x:v>
      </x:c>
      <x:c r="D1406" s="56" t="n">
        <x:v>50</x:v>
      </x:c>
      <x:c r="E1406" s="56" t="str">
        <x:v>treatment.perioperative</x:v>
      </x:c>
      <x:c r="F1406" s="56" t="str">
        <x:v>perioperative</x:v>
      </x:c>
      <x:c r="G1406" s="56" t="n">
        <x:v>12</x:v>
      </x:c>
      <x:c r="H1406" s="56" t="str">
        <x:v>病例特异得分项</x:v>
      </x:c>
      <x:c r="I1406" s="56" t="str">
        <x:v>否</x:v>
      </x:c>
      <x:c r="J1406" s="56" t="str">
        <x:v>否</x:v>
      </x:c>
      <x:c r="K1406" s="56" t="str">
        <x:v>否</x:v>
      </x:c>
      <x:c r="L1406" s="56" t="str">
        <x:v>按结构化事件证据给予0/部分/满分；不能由总结反推已完成</x:v>
      </x:c>
      <x:c r="M1406" s="56" t="str"/>
      <x:c r="N1406" s="56" t="n">
        <x:f>SUMIFS($G$4:$G$1673,$A$4:$A$1673,A1406)</x:f>
        <x:v>360</x:v>
      </x:c>
      <x:c r="O1406" s="56" t="str">
        <x:f>IF(N1406=360,"通过","失败")</x:f>
        <x:v>通过</x:v>
      </x:c>
      <x:c r="P1406" s="56" t="str"/>
      <x:c r="Q1406" s="59" t="str">
        <x:v>待确认</x:v>
      </x:c>
    </x:row>
    <x:row r="1407">
      <x:c r="A1407" s="56" t="str">
        <x:v>P035</x:v>
      </x:c>
      <x:c r="B1407" s="56" t="str">
        <x:v>HX-ADD-023</x:v>
      </x:c>
      <x:c r="C1407" s="56" t="str">
        <x:v>followup</x:v>
      </x:c>
      <x:c r="D1407" s="56" t="n">
        <x:v>40</x:v>
      </x:c>
      <x:c r="E1407" s="56" t="str">
        <x:v>followup.plan</x:v>
      </x:c>
      <x:c r="F1407" s="56" t="str">
        <x:v>随访复查</x:v>
      </x:c>
      <x:c r="G1407" s="56" t="n">
        <x:v>10</x:v>
      </x:c>
      <x:c r="H1407" s="56" t="str">
        <x:v>普通得分项</x:v>
      </x:c>
      <x:c r="I1407" s="56" t="str">
        <x:v>否</x:v>
      </x:c>
      <x:c r="J1407" s="56" t="str">
        <x:v>否</x:v>
      </x:c>
      <x:c r="K1407" s="56" t="str">
        <x:v>否</x:v>
      </x:c>
      <x:c r="L1407" s="56" t="str">
        <x:v>按结构化事件证据给予0/部分/满分；不能由总结反推已完成</x:v>
      </x:c>
      <x:c r="M1407" s="56" t="str"/>
      <x:c r="N1407" s="56" t="n">
        <x:f>SUMIFS($G$4:$G$1673,$A$4:$A$1673,A1407)</x:f>
        <x:v>360</x:v>
      </x:c>
      <x:c r="O1407" s="56" t="str">
        <x:f>IF(N1407=360,"通过","失败")</x:f>
        <x:v>通过</x:v>
      </x:c>
      <x:c r="P1407" s="56" t="str"/>
      <x:c r="Q1407" s="59" t="str">
        <x:v>待确认</x:v>
      </x:c>
    </x:row>
    <x:row r="1408">
      <x:c r="A1408" s="56" t="str">
        <x:v>P035</x:v>
      </x:c>
      <x:c r="B1408" s="56" t="str">
        <x:v>HX-ADD-023</x:v>
      </x:c>
      <x:c r="C1408" s="56" t="str">
        <x:v>followup</x:v>
      </x:c>
      <x:c r="D1408" s="56" t="n">
        <x:v>40</x:v>
      </x:c>
      <x:c r="E1408" s="56" t="str">
        <x:v>followup.education</x:v>
      </x:c>
      <x:c r="F1408" s="56" t="str">
        <x:v>患者教育</x:v>
      </x:c>
      <x:c r="G1408" s="56" t="n">
        <x:v>10</x:v>
      </x:c>
      <x:c r="H1408" s="56" t="str">
        <x:v>普通得分项</x:v>
      </x:c>
      <x:c r="I1408" s="56" t="str">
        <x:v>否</x:v>
      </x:c>
      <x:c r="J1408" s="56" t="str">
        <x:v>否</x:v>
      </x:c>
      <x:c r="K1408" s="56" t="str">
        <x:v>否</x:v>
      </x:c>
      <x:c r="L1408" s="56" t="str">
        <x:v>按结构化事件证据给予0/部分/满分；不能由总结反推已完成</x:v>
      </x:c>
      <x:c r="M1408" s="56" t="str"/>
      <x:c r="N1408" s="56" t="n">
        <x:f>SUMIFS($G$4:$G$1673,$A$4:$A$1673,A1408)</x:f>
        <x:v>360</x:v>
      </x:c>
      <x:c r="O1408" s="56" t="str">
        <x:f>IF(N1408=360,"通过","失败")</x:f>
        <x:v>通过</x:v>
      </x:c>
      <x:c r="P1408" s="56" t="str"/>
      <x:c r="Q1408" s="59" t="str">
        <x:v>待确认</x:v>
      </x:c>
    </x:row>
    <x:row r="1409">
      <x:c r="A1409" s="56" t="str">
        <x:v>P035</x:v>
      </x:c>
      <x:c r="B1409" s="56" t="str">
        <x:v>HX-ADD-023</x:v>
      </x:c>
      <x:c r="C1409" s="56" t="str">
        <x:v>followup</x:v>
      </x:c>
      <x:c r="D1409" s="56" t="n">
        <x:v>40</x:v>
      </x:c>
      <x:c r="E1409" s="56" t="str">
        <x:v>followup.reflection</x:v>
      </x:c>
      <x:c r="F1409" s="56" t="str">
        <x:v>学习反思质量</x:v>
      </x:c>
      <x:c r="G1409" s="56" t="n">
        <x:v>10</x:v>
      </x:c>
      <x:c r="H1409" s="56" t="str">
        <x:v>普通得分项</x:v>
      </x:c>
      <x:c r="I1409" s="56" t="str">
        <x:v>否</x:v>
      </x:c>
      <x:c r="J1409" s="56" t="str">
        <x:v>否</x:v>
      </x:c>
      <x:c r="K1409" s="56" t="str">
        <x:v>否</x:v>
      </x:c>
      <x:c r="L1409" s="56" t="str">
        <x:v>按结构化事件证据给予0/部分/满分；不能由总结反推已完成</x:v>
      </x:c>
      <x:c r="M1409" s="56" t="str"/>
      <x:c r="N1409" s="56" t="n">
        <x:f>SUMIFS($G$4:$G$1673,$A$4:$A$1673,A1409)</x:f>
        <x:v>360</x:v>
      </x:c>
      <x:c r="O1409" s="56" t="str">
        <x:f>IF(N1409=360,"通过","失败")</x:f>
        <x:v>通过</x:v>
      </x:c>
      <x:c r="P1409" s="56" t="str"/>
      <x:c r="Q1409" s="59" t="str">
        <x:v>待确认</x:v>
      </x:c>
    </x:row>
    <x:row r="1410">
      <x:c r="A1410" s="56" t="str">
        <x:v>P035</x:v>
      </x:c>
      <x:c r="B1410" s="56" t="str">
        <x:v>HX-ADD-023</x:v>
      </x:c>
      <x:c r="C1410" s="56" t="str">
        <x:v>followup</x:v>
      </x:c>
      <x:c r="D1410" s="56" t="n">
        <x:v>40</x:v>
      </x:c>
      <x:c r="E1410" s="56" t="str">
        <x:v>followup.efficiency</x:v>
      </x:c>
      <x:c r="F1410" s="56" t="str">
        <x:v>操作效率</x:v>
      </x:c>
      <x:c r="G1410" s="56" t="n">
        <x:v>10</x:v>
      </x:c>
      <x:c r="H1410" s="56" t="str">
        <x:v>普通得分项</x:v>
      </x:c>
      <x:c r="I1410" s="56" t="str">
        <x:v>否</x:v>
      </x:c>
      <x:c r="J1410" s="56" t="str">
        <x:v>否</x:v>
      </x:c>
      <x:c r="K1410" s="56" t="str">
        <x:v>否</x:v>
      </x:c>
      <x:c r="L1410" s="56" t="str">
        <x:v>按结构化事件证据给予0/部分/满分；不能由总结反推已完成</x:v>
      </x:c>
      <x:c r="M1410" s="56" t="str"/>
      <x:c r="N1410" s="56" t="n">
        <x:f>SUMIFS($G$4:$G$1673,$A$4:$A$1673,A1410)</x:f>
        <x:v>360</x:v>
      </x:c>
      <x:c r="O1410" s="56" t="str">
        <x:f>IF(N1410=360,"通过","失败")</x:f>
        <x:v>通过</x:v>
      </x:c>
      <x:c r="P1410" s="56" t="str"/>
      <x:c r="Q1410" s="59" t="str">
        <x:v>待确认</x:v>
      </x:c>
    </x:row>
    <x:row r="1411">
      <x:c r="A1411" s="56" t="str">
        <x:v>P036</x:v>
      </x:c>
      <x:c r="B1411" s="56" t="str">
        <x:v>HX-ADD-024</x:v>
      </x:c>
      <x:c r="C1411" s="56" t="str">
        <x:v>history</x:v>
      </x:c>
      <x:c r="D1411" s="56" t="n">
        <x:v>50</x:v>
      </x:c>
      <x:c r="E1411" s="56" t="str">
        <x:v>history.hematuria_visibility</x:v>
      </x:c>
      <x:c r="F1411" s="56" t="str">
        <x:v>hematuria_visibility</x:v>
      </x:c>
      <x:c r="G1411" s="56" t="n">
        <x:v>5</x:v>
      </x:c>
      <x:c r="H1411" s="56" t="str">
        <x:v>普通得分项</x:v>
      </x:c>
      <x:c r="I1411" s="56" t="str">
        <x:v>否</x:v>
      </x:c>
      <x:c r="J1411" s="56" t="str">
        <x:v>否</x:v>
      </x:c>
      <x:c r="K1411" s="56" t="str">
        <x:v>否</x:v>
      </x:c>
      <x:c r="L1411" s="56" t="str">
        <x:v>按结构化事件证据给予0/部分/满分；不能由总结反推已完成</x:v>
      </x:c>
      <x:c r="M1411" s="56" t="str"/>
      <x:c r="N1411" s="56" t="n">
        <x:f>SUMIFS($G$4:$G$1673,$A$4:$A$1673,A1411)</x:f>
        <x:v>360</x:v>
      </x:c>
      <x:c r="O1411" s="56" t="str">
        <x:f>IF(N1411=360,"通过","失败")</x:f>
        <x:v>通过</x:v>
      </x:c>
      <x:c r="P1411" s="56" t="str"/>
      <x:c r="Q1411" s="59" t="str">
        <x:v>待确认</x:v>
      </x:c>
    </x:row>
    <x:row r="1412">
      <x:c r="A1412" s="56" t="str">
        <x:v>P036</x:v>
      </x:c>
      <x:c r="B1412" s="56" t="str">
        <x:v>HX-ADD-024</x:v>
      </x:c>
      <x:c r="C1412" s="56" t="str">
        <x:v>history</x:v>
      </x:c>
      <x:c r="D1412" s="56" t="n">
        <x:v>50</x:v>
      </x:c>
      <x:c r="E1412" s="56" t="str">
        <x:v>history.hematuria_onset</x:v>
      </x:c>
      <x:c r="F1412" s="56" t="str">
        <x:v>hematuria_onset</x:v>
      </x:c>
      <x:c r="G1412" s="56" t="n">
        <x:v>5</x:v>
      </x:c>
      <x:c r="H1412" s="56" t="str">
        <x:v>普通得分项</x:v>
      </x:c>
      <x:c r="I1412" s="56" t="str">
        <x:v>否</x:v>
      </x:c>
      <x:c r="J1412" s="56" t="str">
        <x:v>否</x:v>
      </x:c>
      <x:c r="K1412" s="56" t="str">
        <x:v>否</x:v>
      </x:c>
      <x:c r="L1412" s="56" t="str">
        <x:v>按结构化事件证据给予0/部分/满分；不能由总结反推已完成</x:v>
      </x:c>
      <x:c r="M1412" s="56" t="str"/>
      <x:c r="N1412" s="56" t="n">
        <x:f>SUMIFS($G$4:$G$1673,$A$4:$A$1673,A1412)</x:f>
        <x:v>360</x:v>
      </x:c>
      <x:c r="O1412" s="56" t="str">
        <x:f>IF(N1412=360,"通过","失败")</x:f>
        <x:v>通过</x:v>
      </x:c>
      <x:c r="P1412" s="56" t="str"/>
      <x:c r="Q1412" s="59" t="str">
        <x:v>待确认</x:v>
      </x:c>
    </x:row>
    <x:row r="1413">
      <x:c r="A1413" s="56" t="str">
        <x:v>P036</x:v>
      </x:c>
      <x:c r="B1413" s="56" t="str">
        <x:v>HX-ADD-024</x:v>
      </x:c>
      <x:c r="C1413" s="56" t="str">
        <x:v>history</x:v>
      </x:c>
      <x:c r="D1413" s="56" t="n">
        <x:v>50</x:v>
      </x:c>
      <x:c r="E1413" s="56" t="str">
        <x:v>history.hematuria_frequency</x:v>
      </x:c>
      <x:c r="F1413" s="56" t="str">
        <x:v>hematuria_frequency</x:v>
      </x:c>
      <x:c r="G1413" s="56" t="n">
        <x:v>4</x:v>
      </x:c>
      <x:c r="H1413" s="56" t="str">
        <x:v>普通得分项</x:v>
      </x:c>
      <x:c r="I1413" s="56" t="str">
        <x:v>否</x:v>
      </x:c>
      <x:c r="J1413" s="56" t="str">
        <x:v>否</x:v>
      </x:c>
      <x:c r="K1413" s="56" t="str">
        <x:v>否</x:v>
      </x:c>
      <x:c r="L1413" s="56" t="str">
        <x:v>按结构化事件证据给予0/部分/满分；不能由总结反推已完成</x:v>
      </x:c>
      <x:c r="M1413" s="56" t="str"/>
      <x:c r="N1413" s="56" t="n">
        <x:f>SUMIFS($G$4:$G$1673,$A$4:$A$1673,A1413)</x:f>
        <x:v>360</x:v>
      </x:c>
      <x:c r="O1413" s="56" t="str">
        <x:f>IF(N1413=360,"通过","失败")</x:f>
        <x:v>通过</x:v>
      </x:c>
      <x:c r="P1413" s="56" t="str"/>
      <x:c r="Q1413" s="59" t="str">
        <x:v>待确认</x:v>
      </x:c>
    </x:row>
    <x:row r="1414">
      <x:c r="A1414" s="56" t="str">
        <x:v>P036</x:v>
      </x:c>
      <x:c r="B1414" s="56" t="str">
        <x:v>HX-ADD-024</x:v>
      </x:c>
      <x:c r="C1414" s="56" t="str">
        <x:v>history</x:v>
      </x:c>
      <x:c r="D1414" s="56" t="n">
        <x:v>50</x:v>
      </x:c>
      <x:c r="E1414" s="56" t="str">
        <x:v>history.hematuria_phase</x:v>
      </x:c>
      <x:c r="F1414" s="56" t="str">
        <x:v>hematuria_phase</x:v>
      </x:c>
      <x:c r="G1414" s="56" t="n">
        <x:v>4</x:v>
      </x:c>
      <x:c r="H1414" s="56" t="str">
        <x:v>普通得分项</x:v>
      </x:c>
      <x:c r="I1414" s="56" t="str">
        <x:v>否</x:v>
      </x:c>
      <x:c r="J1414" s="56" t="str">
        <x:v>否</x:v>
      </x:c>
      <x:c r="K1414" s="56" t="str">
        <x:v>否</x:v>
      </x:c>
      <x:c r="L1414" s="56" t="str">
        <x:v>按结构化事件证据给予0/部分/满分；不能由总结反推已完成</x:v>
      </x:c>
      <x:c r="M1414" s="56" t="str"/>
      <x:c r="N1414" s="56" t="n">
        <x:f>SUMIFS($G$4:$G$1673,$A$4:$A$1673,A1414)</x:f>
        <x:v>360</x:v>
      </x:c>
      <x:c r="O1414" s="56" t="str">
        <x:f>IF(N1414=360,"通过","失败")</x:f>
        <x:v>通过</x:v>
      </x:c>
      <x:c r="P1414" s="56" t="str"/>
      <x:c r="Q1414" s="59" t="str">
        <x:v>待确认</x:v>
      </x:c>
    </x:row>
    <x:row r="1415">
      <x:c r="A1415" s="56" t="str">
        <x:v>P036</x:v>
      </x:c>
      <x:c r="B1415" s="56" t="str">
        <x:v>HX-ADD-024</x:v>
      </x:c>
      <x:c r="C1415" s="56" t="str">
        <x:v>history</x:v>
      </x:c>
      <x:c r="D1415" s="56" t="n">
        <x:v>50</x:v>
      </x:c>
      <x:c r="E1415" s="56" t="str">
        <x:v>history.urine_color</x:v>
      </x:c>
      <x:c r="F1415" s="56" t="str">
        <x:v>urine_color</x:v>
      </x:c>
      <x:c r="G1415" s="56" t="n">
        <x:v>4</x:v>
      </x:c>
      <x:c r="H1415" s="56" t="str">
        <x:v>普通得分项</x:v>
      </x:c>
      <x:c r="I1415" s="56" t="str">
        <x:v>否</x:v>
      </x:c>
      <x:c r="J1415" s="56" t="str">
        <x:v>否</x:v>
      </x:c>
      <x:c r="K1415" s="56" t="str">
        <x:v>否</x:v>
      </x:c>
      <x:c r="L1415" s="56" t="str">
        <x:v>按结构化事件证据给予0/部分/满分；不能由总结反推已完成</x:v>
      </x:c>
      <x:c r="M1415" s="56" t="str"/>
      <x:c r="N1415" s="56" t="n">
        <x:f>SUMIFS($G$4:$G$1673,$A$4:$A$1673,A1415)</x:f>
        <x:v>360</x:v>
      </x:c>
      <x:c r="O1415" s="56" t="str">
        <x:f>IF(N1415=360,"通过","失败")</x:f>
        <x:v>通过</x:v>
      </x:c>
      <x:c r="P1415" s="56" t="str"/>
      <x:c r="Q1415" s="59" t="str">
        <x:v>待确认</x:v>
      </x:c>
    </x:row>
    <x:row r="1416">
      <x:c r="A1416" s="56" t="str">
        <x:v>P036</x:v>
      </x:c>
      <x:c r="B1416" s="56" t="str">
        <x:v>HX-ADD-024</x:v>
      </x:c>
      <x:c r="C1416" s="56" t="str">
        <x:v>history</x:v>
      </x:c>
      <x:c r="D1416" s="56" t="n">
        <x:v>50</x:v>
      </x:c>
      <x:c r="E1416" s="56" t="str">
        <x:v>history.clots</x:v>
      </x:c>
      <x:c r="F1416" s="56" t="str">
        <x:v>clots</x:v>
      </x:c>
      <x:c r="G1416" s="56" t="n">
        <x:v>4</x:v>
      </x:c>
      <x:c r="H1416" s="56" t="str">
        <x:v>普通得分项</x:v>
      </x:c>
      <x:c r="I1416" s="56" t="str">
        <x:v>否</x:v>
      </x:c>
      <x:c r="J1416" s="56" t="str">
        <x:v>否</x:v>
      </x:c>
      <x:c r="K1416" s="56" t="str">
        <x:v>否</x:v>
      </x:c>
      <x:c r="L1416" s="56" t="str">
        <x:v>按结构化事件证据给予0/部分/满分；不能由总结反推已完成</x:v>
      </x:c>
      <x:c r="M1416" s="56" t="str"/>
      <x:c r="N1416" s="56" t="n">
        <x:f>SUMIFS($G$4:$G$1673,$A$4:$A$1673,A1416)</x:f>
        <x:v>360</x:v>
      </x:c>
      <x:c r="O1416" s="56" t="str">
        <x:f>IF(N1416=360,"通过","失败")</x:f>
        <x:v>通过</x:v>
      </x:c>
      <x:c r="P1416" s="56" t="str"/>
      <x:c r="Q1416" s="59" t="str">
        <x:v>待确认</x:v>
      </x:c>
    </x:row>
    <x:row r="1417">
      <x:c r="A1417" s="56" t="str">
        <x:v>P036</x:v>
      </x:c>
      <x:c r="B1417" s="56" t="str">
        <x:v>HX-ADD-024</x:v>
      </x:c>
      <x:c r="C1417" s="56" t="str">
        <x:v>history</x:v>
      </x:c>
      <x:c r="D1417" s="56" t="n">
        <x:v>50</x:v>
      </x:c>
      <x:c r="E1417" s="56" t="str">
        <x:v>history.pain</x:v>
      </x:c>
      <x:c r="F1417" s="56" t="str">
        <x:v>pain</x:v>
      </x:c>
      <x:c r="G1417" s="56" t="n">
        <x:v>4</x:v>
      </x:c>
      <x:c r="H1417" s="56" t="str">
        <x:v>普通得分项</x:v>
      </x:c>
      <x:c r="I1417" s="56" t="str">
        <x:v>否</x:v>
      </x:c>
      <x:c r="J1417" s="56" t="str">
        <x:v>否</x:v>
      </x:c>
      <x:c r="K1417" s="56" t="str">
        <x:v>否</x:v>
      </x:c>
      <x:c r="L1417" s="56" t="str">
        <x:v>按结构化事件证据给予0/部分/满分；不能由总结反推已完成</x:v>
      </x:c>
      <x:c r="M1417" s="56" t="str"/>
      <x:c r="N1417" s="56" t="n">
        <x:f>SUMIFS($G$4:$G$1673,$A$4:$A$1673,A1417)</x:f>
        <x:v>360</x:v>
      </x:c>
      <x:c r="O1417" s="56" t="str">
        <x:f>IF(N1417=360,"通过","失败")</x:f>
        <x:v>通过</x:v>
      </x:c>
      <x:c r="P1417" s="56" t="str"/>
      <x:c r="Q1417" s="59" t="str">
        <x:v>待确认</x:v>
      </x:c>
    </x:row>
    <x:row r="1418">
      <x:c r="A1418" s="56" t="str">
        <x:v>P036</x:v>
      </x:c>
      <x:c r="B1418" s="56" t="str">
        <x:v>HX-ADD-024</x:v>
      </x:c>
      <x:c r="C1418" s="56" t="str">
        <x:v>history</x:v>
      </x:c>
      <x:c r="D1418" s="56" t="n">
        <x:v>50</x:v>
      </x:c>
      <x:c r="E1418" s="56" t="str">
        <x:v>history.dysuria</x:v>
      </x:c>
      <x:c r="F1418" s="56" t="str">
        <x:v>dysuria</x:v>
      </x:c>
      <x:c r="G1418" s="56" t="n">
        <x:v>4</x:v>
      </x:c>
      <x:c r="H1418" s="56" t="str">
        <x:v>普通得分项</x:v>
      </x:c>
      <x:c r="I1418" s="56" t="str">
        <x:v>否</x:v>
      </x:c>
      <x:c r="J1418" s="56" t="str">
        <x:v>否</x:v>
      </x:c>
      <x:c r="K1418" s="56" t="str">
        <x:v>否</x:v>
      </x:c>
      <x:c r="L1418" s="56" t="str">
        <x:v>按结构化事件证据给予0/部分/满分；不能由总结反推已完成</x:v>
      </x:c>
      <x:c r="M1418" s="56" t="str"/>
      <x:c r="N1418" s="56" t="n">
        <x:f>SUMIFS($G$4:$G$1673,$A$4:$A$1673,A1418)</x:f>
        <x:v>360</x:v>
      </x:c>
      <x:c r="O1418" s="56" t="str">
        <x:f>IF(N1418=360,"通过","失败")</x:f>
        <x:v>通过</x:v>
      </x:c>
      <x:c r="P1418" s="56" t="str"/>
      <x:c r="Q1418" s="59" t="str">
        <x:v>待确认</x:v>
      </x:c>
    </x:row>
    <x:row r="1419">
      <x:c r="A1419" s="56" t="str">
        <x:v>P036</x:v>
      </x:c>
      <x:c r="B1419" s="56" t="str">
        <x:v>HX-ADD-024</x:v>
      </x:c>
      <x:c r="C1419" s="56" t="str">
        <x:v>history</x:v>
      </x:c>
      <x:c r="D1419" s="56" t="n">
        <x:v>50</x:v>
      </x:c>
      <x:c r="E1419" s="56" t="str">
        <x:v>history.urinary_frequency</x:v>
      </x:c>
      <x:c r="F1419" s="56" t="str">
        <x:v>urinary_frequency</x:v>
      </x:c>
      <x:c r="G1419" s="56" t="n">
        <x:v>4</x:v>
      </x:c>
      <x:c r="H1419" s="56" t="str">
        <x:v>普通得分项</x:v>
      </x:c>
      <x:c r="I1419" s="56" t="str">
        <x:v>否</x:v>
      </x:c>
      <x:c r="J1419" s="56" t="str">
        <x:v>否</x:v>
      </x:c>
      <x:c r="K1419" s="56" t="str">
        <x:v>否</x:v>
      </x:c>
      <x:c r="L1419" s="56" t="str">
        <x:v>按结构化事件证据给予0/部分/满分；不能由总结反推已完成</x:v>
      </x:c>
      <x:c r="M1419" s="56" t="str"/>
      <x:c r="N1419" s="56" t="n">
        <x:f>SUMIFS($G$4:$G$1673,$A$4:$A$1673,A1419)</x:f>
        <x:v>360</x:v>
      </x:c>
      <x:c r="O1419" s="56" t="str">
        <x:f>IF(N1419=360,"通过","失败")</x:f>
        <x:v>通过</x:v>
      </x:c>
      <x:c r="P1419" s="56" t="str"/>
      <x:c r="Q1419" s="59" t="str">
        <x:v>待确认</x:v>
      </x:c>
    </x:row>
    <x:row r="1420">
      <x:c r="A1420" s="56" t="str">
        <x:v>P036</x:v>
      </x:c>
      <x:c r="B1420" s="56" t="str">
        <x:v>HX-ADD-024</x:v>
      </x:c>
      <x:c r="C1420" s="56" t="str">
        <x:v>history</x:v>
      </x:c>
      <x:c r="D1420" s="56" t="n">
        <x:v>50</x:v>
      </x:c>
      <x:c r="E1420" s="56" t="str">
        <x:v>history.urinary_urgency</x:v>
      </x:c>
      <x:c r="F1420" s="56" t="str">
        <x:v>urinary_urgency</x:v>
      </x:c>
      <x:c r="G1420" s="56" t="n">
        <x:v>4</x:v>
      </x:c>
      <x:c r="H1420" s="56" t="str">
        <x:v>普通得分项</x:v>
      </x:c>
      <x:c r="I1420" s="56" t="str">
        <x:v>否</x:v>
      </x:c>
      <x:c r="J1420" s="56" t="str">
        <x:v>否</x:v>
      </x:c>
      <x:c r="K1420" s="56" t="str">
        <x:v>否</x:v>
      </x:c>
      <x:c r="L1420" s="56" t="str">
        <x:v>按结构化事件证据给予0/部分/满分；不能由总结反推已完成</x:v>
      </x:c>
      <x:c r="M1420" s="56" t="str"/>
      <x:c r="N1420" s="56" t="n">
        <x:f>SUMIFS($G$4:$G$1673,$A$4:$A$1673,A1420)</x:f>
        <x:v>360</x:v>
      </x:c>
      <x:c r="O1420" s="56" t="str">
        <x:f>IF(N1420=360,"通过","失败")</x:f>
        <x:v>通过</x:v>
      </x:c>
      <x:c r="P1420" s="56" t="str"/>
      <x:c r="Q1420" s="59" t="str">
        <x:v>待确认</x:v>
      </x:c>
    </x:row>
    <x:row r="1421">
      <x:c r="A1421" s="56" t="str">
        <x:v>P036</x:v>
      </x:c>
      <x:c r="B1421" s="56" t="str">
        <x:v>HX-ADD-024</x:v>
      </x:c>
      <x:c r="C1421" s="56" t="str">
        <x:v>history</x:v>
      </x:c>
      <x:c r="D1421" s="56" t="n">
        <x:v>50</x:v>
      </x:c>
      <x:c r="E1421" s="56" t="str">
        <x:v>history.flank_pain</x:v>
      </x:c>
      <x:c r="F1421" s="56" t="str">
        <x:v>flank_pain</x:v>
      </x:c>
      <x:c r="G1421" s="56" t="n">
        <x:v>4</x:v>
      </x:c>
      <x:c r="H1421" s="56" t="str">
        <x:v>普通得分项</x:v>
      </x:c>
      <x:c r="I1421" s="56" t="str">
        <x:v>否</x:v>
      </x:c>
      <x:c r="J1421" s="56" t="str">
        <x:v>否</x:v>
      </x:c>
      <x:c r="K1421" s="56" t="str">
        <x:v>否</x:v>
      </x:c>
      <x:c r="L1421" s="56" t="str">
        <x:v>按结构化事件证据给予0/部分/满分；不能由总结反推已完成</x:v>
      </x:c>
      <x:c r="M1421" s="56" t="str"/>
      <x:c r="N1421" s="56" t="n">
        <x:f>SUMIFS($G$4:$G$1673,$A$4:$A$1673,A1421)</x:f>
        <x:v>360</x:v>
      </x:c>
      <x:c r="O1421" s="56" t="str">
        <x:f>IF(N1421=360,"通过","失败")</x:f>
        <x:v>通过</x:v>
      </x:c>
      <x:c r="P1421" s="56" t="str"/>
      <x:c r="Q1421" s="59" t="str">
        <x:v>待确认</x:v>
      </x:c>
    </x:row>
    <x:row r="1422">
      <x:c r="A1422" s="56" t="str">
        <x:v>P036</x:v>
      </x:c>
      <x:c r="B1422" s="56" t="str">
        <x:v>HX-ADD-024</x:v>
      </x:c>
      <x:c r="C1422" s="56" t="str">
        <x:v>history</x:v>
      </x:c>
      <x:c r="D1422" s="56" t="n">
        <x:v>50</x:v>
      </x:c>
      <x:c r="E1422" s="56" t="str">
        <x:v>history.fever_chills</x:v>
      </x:c>
      <x:c r="F1422" s="56" t="str">
        <x:v>fever_chills</x:v>
      </x:c>
      <x:c r="G1422" s="56" t="n">
        <x:v>4</x:v>
      </x:c>
      <x:c r="H1422" s="56" t="str">
        <x:v>普通得分项</x:v>
      </x:c>
      <x:c r="I1422" s="56" t="str">
        <x:v>否</x:v>
      </x:c>
      <x:c r="J1422" s="56" t="str">
        <x:v>否</x:v>
      </x:c>
      <x:c r="K1422" s="56" t="str">
        <x:v>否</x:v>
      </x:c>
      <x:c r="L1422" s="56" t="str">
        <x:v>按结构化事件证据给予0/部分/满分；不能由总结反推已完成</x:v>
      </x:c>
      <x:c r="M1422" s="56" t="str"/>
      <x:c r="N1422" s="56" t="n">
        <x:f>SUMIFS($G$4:$G$1673,$A$4:$A$1673,A1422)</x:f>
        <x:v>360</x:v>
      </x:c>
      <x:c r="O1422" s="56" t="str">
        <x:f>IF(N1422=360,"通过","失败")</x:f>
        <x:v>通过</x:v>
      </x:c>
      <x:c r="P1422" s="56" t="str"/>
      <x:c r="Q1422" s="59" t="str">
        <x:v>待确认</x:v>
      </x:c>
    </x:row>
    <x:row r="1423">
      <x:c r="A1423" s="56" t="str">
        <x:v>P036</x:v>
      </x:c>
      <x:c r="B1423" s="56" t="str">
        <x:v>HX-ADD-024</x:v>
      </x:c>
      <x:c r="C1423" s="56" t="str">
        <x:v>risk</x:v>
      </x:c>
      <x:c r="D1423" s="56" t="n">
        <x:v>40</x:v>
      </x:c>
      <x:c r="E1423" s="56" t="str">
        <x:v>risk.smoking</x:v>
      </x:c>
      <x:c r="F1423" s="56" t="str">
        <x:v>smoking</x:v>
      </x:c>
      <x:c r="G1423" s="56" t="n">
        <x:v>14</x:v>
      </x:c>
      <x:c r="H1423" s="56" t="str">
        <x:v>普通得分项</x:v>
      </x:c>
      <x:c r="I1423" s="56" t="str">
        <x:v>否</x:v>
      </x:c>
      <x:c r="J1423" s="56" t="str">
        <x:v>否</x:v>
      </x:c>
      <x:c r="K1423" s="56" t="str">
        <x:v>否</x:v>
      </x:c>
      <x:c r="L1423" s="56" t="str">
        <x:v>按结构化事件证据给予0/部分/满分；不能由总结反推已完成</x:v>
      </x:c>
      <x:c r="M1423" s="56" t="str"/>
      <x:c r="N1423" s="56" t="n">
        <x:f>SUMIFS($G$4:$G$1673,$A$4:$A$1673,A1423)</x:f>
        <x:v>360</x:v>
      </x:c>
      <x:c r="O1423" s="56" t="str">
        <x:f>IF(N1423=360,"通过","失败")</x:f>
        <x:v>通过</x:v>
      </x:c>
      <x:c r="P1423" s="56" t="str"/>
      <x:c r="Q1423" s="59" t="str">
        <x:v>待确认</x:v>
      </x:c>
    </x:row>
    <x:row r="1424">
      <x:c r="A1424" s="56" t="str">
        <x:v>P036</x:v>
      </x:c>
      <x:c r="B1424" s="56" t="str">
        <x:v>HX-ADD-024</x:v>
      </x:c>
      <x:c r="C1424" s="56" t="str">
        <x:v>risk</x:v>
      </x:c>
      <x:c r="D1424" s="56" t="n">
        <x:v>40</x:v>
      </x:c>
      <x:c r="E1424" s="56" t="str">
        <x:v>risk.anticoagulant</x:v>
      </x:c>
      <x:c r="F1424" s="56" t="str">
        <x:v>anticoagulant</x:v>
      </x:c>
      <x:c r="G1424" s="56" t="n">
        <x:v>13</x:v>
      </x:c>
      <x:c r="H1424" s="56" t="str">
        <x:v>普通得分项</x:v>
      </x:c>
      <x:c r="I1424" s="56" t="str">
        <x:v>否</x:v>
      </x:c>
      <x:c r="J1424" s="56" t="str">
        <x:v>否</x:v>
      </x:c>
      <x:c r="K1424" s="56" t="str">
        <x:v>否</x:v>
      </x:c>
      <x:c r="L1424" s="56" t="str">
        <x:v>按结构化事件证据给予0/部分/满分；不能由总结反推已完成</x:v>
      </x:c>
      <x:c r="M1424" s="56" t="str"/>
      <x:c r="N1424" s="56" t="n">
        <x:f>SUMIFS($G$4:$G$1673,$A$4:$A$1673,A1424)</x:f>
        <x:v>360</x:v>
      </x:c>
      <x:c r="O1424" s="56" t="str">
        <x:f>IF(N1424=360,"通过","失败")</x:f>
        <x:v>通过</x:v>
      </x:c>
      <x:c r="P1424" s="56" t="str"/>
      <x:c r="Q1424" s="59" t="str">
        <x:v>待确认</x:v>
      </x:c>
    </x:row>
    <x:row r="1425">
      <x:c r="A1425" s="56" t="str">
        <x:v>P036</x:v>
      </x:c>
      <x:c r="B1425" s="56" t="str">
        <x:v>HX-ADD-024</x:v>
      </x:c>
      <x:c r="C1425" s="56" t="str">
        <x:v>risk</x:v>
      </x:c>
      <x:c r="D1425" s="56" t="n">
        <x:v>40</x:v>
      </x:c>
      <x:c r="E1425" s="56" t="str">
        <x:v>risk.family_history</x:v>
      </x:c>
      <x:c r="F1425" s="56" t="str">
        <x:v>family_history</x:v>
      </x:c>
      <x:c r="G1425" s="56" t="n">
        <x:v>13</x:v>
      </x:c>
      <x:c r="H1425" s="56" t="str">
        <x:v>普通得分项</x:v>
      </x:c>
      <x:c r="I1425" s="56" t="str">
        <x:v>否</x:v>
      </x:c>
      <x:c r="J1425" s="56" t="str">
        <x:v>否</x:v>
      </x:c>
      <x:c r="K1425" s="56" t="str">
        <x:v>否</x:v>
      </x:c>
      <x:c r="L1425" s="56" t="str">
        <x:v>按结构化事件证据给予0/部分/满分；不能由总结反推已完成</x:v>
      </x:c>
      <x:c r="M1425" s="56" t="str"/>
      <x:c r="N1425" s="56" t="n">
        <x:f>SUMIFS($G$4:$G$1673,$A$4:$A$1673,A1425)</x:f>
        <x:v>360</x:v>
      </x:c>
      <x:c r="O1425" s="56" t="str">
        <x:f>IF(N1425=360,"通过","失败")</x:f>
        <x:v>通过</x:v>
      </x:c>
      <x:c r="P1425" s="56" t="str"/>
      <x:c r="Q1425" s="59" t="str">
        <x:v>待确认</x:v>
      </x:c>
    </x:row>
    <x:row r="1426">
      <x:c r="A1426" s="56" t="str">
        <x:v>P036</x:v>
      </x:c>
      <x:c r="B1426" s="56" t="str">
        <x:v>HX-ADD-024</x:v>
      </x:c>
      <x:c r="C1426" s="56" t="str">
        <x:v>exam</x:v>
      </x:c>
      <x:c r="D1426" s="56" t="n">
        <x:v>35</x:v>
      </x:c>
      <x:c r="E1426" s="56" t="str">
        <x:v>exam.temperature</x:v>
      </x:c>
      <x:c r="F1426" s="56" t="str">
        <x:v>体温</x:v>
      </x:c>
      <x:c r="G1426" s="56" t="n">
        <x:v>12</x:v>
      </x:c>
      <x:c r="H1426" s="56" t="str">
        <x:v>普通得分项</x:v>
      </x:c>
      <x:c r="I1426" s="56" t="str">
        <x:v>否</x:v>
      </x:c>
      <x:c r="J1426" s="56" t="str">
        <x:v>否</x:v>
      </x:c>
      <x:c r="K1426" s="56" t="str">
        <x:v>否</x:v>
      </x:c>
      <x:c r="L1426" s="56" t="str">
        <x:v>按结构化事件证据给予0/部分/满分；不能由总结反推已完成</x:v>
      </x:c>
      <x:c r="M1426" s="56" t="str"/>
      <x:c r="N1426" s="56" t="n">
        <x:f>SUMIFS($G$4:$G$1673,$A$4:$A$1673,A1426)</x:f>
        <x:v>360</x:v>
      </x:c>
      <x:c r="O1426" s="56" t="str">
        <x:f>IF(N1426=360,"通过","失败")</x:f>
        <x:v>通过</x:v>
      </x:c>
      <x:c r="P1426" s="56" t="str"/>
      <x:c r="Q1426" s="59" t="str">
        <x:v>待确认</x:v>
      </x:c>
    </x:row>
    <x:row r="1427">
      <x:c r="A1427" s="56" t="str">
        <x:v>P036</x:v>
      </x:c>
      <x:c r="B1427" s="56" t="str">
        <x:v>HX-ADD-024</x:v>
      </x:c>
      <x:c r="C1427" s="56" t="str">
        <x:v>exam</x:v>
      </x:c>
      <x:c r="D1427" s="56" t="n">
        <x:v>35</x:v>
      </x:c>
      <x:c r="E1427" s="56" t="str">
        <x:v>exam.blood_pressure</x:v>
      </x:c>
      <x:c r="F1427" s="56" t="str">
        <x:v>血压</x:v>
      </x:c>
      <x:c r="G1427" s="56" t="n">
        <x:v>12</x:v>
      </x:c>
      <x:c r="H1427" s="56" t="str">
        <x:v>普通得分项</x:v>
      </x:c>
      <x:c r="I1427" s="56" t="str">
        <x:v>否</x:v>
      </x:c>
      <x:c r="J1427" s="56" t="str">
        <x:v>否</x:v>
      </x:c>
      <x:c r="K1427" s="56" t="str">
        <x:v>否</x:v>
      </x:c>
      <x:c r="L1427" s="56" t="str">
        <x:v>按结构化事件证据给予0/部分/满分；不能由总结反推已完成</x:v>
      </x:c>
      <x:c r="M1427" s="56" t="str"/>
      <x:c r="N1427" s="56" t="n">
        <x:f>SUMIFS($G$4:$G$1673,$A$4:$A$1673,A1427)</x:f>
        <x:v>360</x:v>
      </x:c>
      <x:c r="O1427" s="56" t="str">
        <x:f>IF(N1427=360,"通过","失败")</x:f>
        <x:v>通过</x:v>
      </x:c>
      <x:c r="P1427" s="56" t="str"/>
      <x:c r="Q1427" s="59" t="str">
        <x:v>待确认</x:v>
      </x:c>
    </x:row>
    <x:row r="1428">
      <x:c r="A1428" s="56" t="str">
        <x:v>P036</x:v>
      </x:c>
      <x:c r="B1428" s="56" t="str">
        <x:v>HX-ADD-024</x:v>
      </x:c>
      <x:c r="C1428" s="56" t="str">
        <x:v>exam</x:v>
      </x:c>
      <x:c r="D1428" s="56" t="n">
        <x:v>35</x:v>
      </x:c>
      <x:c r="E1428" s="56" t="str">
        <x:v>exam.targeted</x:v>
      </x:c>
      <x:c r="F1428" s="56" t="str">
        <x:v>病例针对性查体</x:v>
      </x:c>
      <x:c r="G1428" s="56" t="n">
        <x:v>11</x:v>
      </x:c>
      <x:c r="H1428" s="56" t="str">
        <x:v>普通得分项</x:v>
      </x:c>
      <x:c r="I1428" s="56" t="str">
        <x:v>否</x:v>
      </x:c>
      <x:c r="J1428" s="56" t="str">
        <x:v>否</x:v>
      </x:c>
      <x:c r="K1428" s="56" t="str">
        <x:v>否</x:v>
      </x:c>
      <x:c r="L1428" s="56" t="str">
        <x:v>按结构化事件证据给予0/部分/满分；不能由总结反推已完成</x:v>
      </x:c>
      <x:c r="M1428" s="56" t="str"/>
      <x:c r="N1428" s="56" t="n">
        <x:f>SUMIFS($G$4:$G$1673,$A$4:$A$1673,A1428)</x:f>
        <x:v>360</x:v>
      </x:c>
      <x:c r="O1428" s="56" t="str">
        <x:f>IF(N1428=360,"通过","失败")</x:f>
        <x:v>通过</x:v>
      </x:c>
      <x:c r="P1428" s="56" t="str"/>
      <x:c r="Q1428" s="59" t="str">
        <x:v>待确认</x:v>
      </x:c>
    </x:row>
    <x:row r="1429">
      <x:c r="A1429" s="56" t="str">
        <x:v>P036</x:v>
      </x:c>
      <x:c r="B1429" s="56" t="str">
        <x:v>HX-ADD-024</x:v>
      </x:c>
      <x:c r="C1429" s="56" t="str">
        <x:v>diagnosis</x:v>
      </x:c>
      <x:c r="D1429" s="56" t="n">
        <x:v>45</x:v>
      </x:c>
      <x:c r="E1429" s="56" t="str">
        <x:v>diagnosis.primary</x:v>
      </x:c>
      <x:c r="F1429" s="56" t="str">
        <x:v>最可能诊断及依据</x:v>
      </x:c>
      <x:c r="G1429" s="56" t="n">
        <x:v>15</x:v>
      </x:c>
      <x:c r="H1429" s="56" t="str">
        <x:v>普通得分项</x:v>
      </x:c>
      <x:c r="I1429" s="56" t="str">
        <x:v>否</x:v>
      </x:c>
      <x:c r="J1429" s="56" t="str">
        <x:v>否</x:v>
      </x:c>
      <x:c r="K1429" s="56" t="str">
        <x:v>否</x:v>
      </x:c>
      <x:c r="L1429" s="56" t="str">
        <x:v>按结构化事件证据给予0/部分/满分；不能由总结反推已完成</x:v>
      </x:c>
      <x:c r="M1429" s="56" t="str"/>
      <x:c r="N1429" s="56" t="n">
        <x:f>SUMIFS($G$4:$G$1673,$A$4:$A$1673,A1429)</x:f>
        <x:v>360</x:v>
      </x:c>
      <x:c r="O1429" s="56" t="str">
        <x:f>IF(N1429=360,"通过","失败")</x:f>
        <x:v>通过</x:v>
      </x:c>
      <x:c r="P1429" s="56" t="str"/>
      <x:c r="Q1429" s="59" t="str">
        <x:v>待确认</x:v>
      </x:c>
    </x:row>
    <x:row r="1430">
      <x:c r="A1430" s="56" t="str">
        <x:v>P036</x:v>
      </x:c>
      <x:c r="B1430" s="56" t="str">
        <x:v>HX-ADD-024</x:v>
      </x:c>
      <x:c r="C1430" s="56" t="str">
        <x:v>diagnosis</x:v>
      </x:c>
      <x:c r="D1430" s="56" t="n">
        <x:v>45</x:v>
      </x:c>
      <x:c r="E1430" s="56" t="str">
        <x:v>diagnosis.differentials</x:v>
      </x:c>
      <x:c r="F1430" s="56" t="str">
        <x:v>至少3项鉴别及支持/反对点</x:v>
      </x:c>
      <x:c r="G1430" s="56" t="n">
        <x:v>15</x:v>
      </x:c>
      <x:c r="H1430" s="56" t="str">
        <x:v>普通得分项</x:v>
      </x:c>
      <x:c r="I1430" s="56" t="str">
        <x:v>否</x:v>
      </x:c>
      <x:c r="J1430" s="56" t="str">
        <x:v>否</x:v>
      </x:c>
      <x:c r="K1430" s="56" t="str">
        <x:v>否</x:v>
      </x:c>
      <x:c r="L1430" s="56" t="str">
        <x:v>按结构化事件证据给予0/部分/满分；不能由总结反推已完成</x:v>
      </x:c>
      <x:c r="M1430" s="56" t="str"/>
      <x:c r="N1430" s="56" t="n">
        <x:f>SUMIFS($G$4:$G$1673,$A$4:$A$1673,A1430)</x:f>
        <x:v>360</x:v>
      </x:c>
      <x:c r="O1430" s="56" t="str">
        <x:f>IF(N1430=360,"通过","失败")</x:f>
        <x:v>通过</x:v>
      </x:c>
      <x:c r="P1430" s="56" t="str"/>
      <x:c r="Q1430" s="59" t="str">
        <x:v>待确认</x:v>
      </x:c>
    </x:row>
    <x:row r="1431">
      <x:c r="A1431" s="56" t="str">
        <x:v>P036</x:v>
      </x:c>
      <x:c r="B1431" s="56" t="str">
        <x:v>HX-ADD-024</x:v>
      </x:c>
      <x:c r="C1431" s="56" t="str">
        <x:v>diagnosis</x:v>
      </x:c>
      <x:c r="D1431" s="56" t="n">
        <x:v>45</x:v>
      </x:c>
      <x:c r="E1431" s="56" t="str">
        <x:v>diagnosis.confirmation</x:v>
      </x:c>
      <x:c r="F1431" s="56" t="str">
        <x:v>确认计划</x:v>
      </x:c>
      <x:c r="G1431" s="56" t="n">
        <x:v>15</x:v>
      </x:c>
      <x:c r="H1431" s="56" t="str">
        <x:v>普通得分项</x:v>
      </x:c>
      <x:c r="I1431" s="56" t="str">
        <x:v>否</x:v>
      </x:c>
      <x:c r="J1431" s="56" t="str">
        <x:v>否</x:v>
      </x:c>
      <x:c r="K1431" s="56" t="str">
        <x:v>否</x:v>
      </x:c>
      <x:c r="L1431" s="56" t="str">
        <x:v>按结构化事件证据给予0/部分/满分；不能由总结反推已完成</x:v>
      </x:c>
      <x:c r="M1431" s="56" t="str"/>
      <x:c r="N1431" s="56" t="n">
        <x:f>SUMIFS($G$4:$G$1673,$A$4:$A$1673,A1431)</x:f>
        <x:v>360</x:v>
      </x:c>
      <x:c r="O1431" s="56" t="str">
        <x:f>IF(N1431=360,"通过","失败")</x:f>
        <x:v>通过</x:v>
      </x:c>
      <x:c r="P1431" s="56" t="str"/>
      <x:c r="Q1431" s="59" t="str">
        <x:v>待确认</x:v>
      </x:c>
    </x:row>
    <x:row r="1432">
      <x:c r="A1432" s="56" t="str">
        <x:v>P036</x:v>
      </x:c>
      <x:c r="B1432" s="56" t="str">
        <x:v>HX-ADD-024</x:v>
      </x:c>
      <x:c r="C1432" s="56" t="str">
        <x:v>orders</x:v>
      </x:c>
      <x:c r="D1432" s="56" t="n">
        <x:v>55</x:v>
      </x:c>
      <x:c r="E1432" s="56" t="str">
        <x:v>orders.LAB-UR-001</x:v>
      </x:c>
      <x:c r="F1432" s="56" t="str">
        <x:v>LAB-UR-001</x:v>
      </x:c>
      <x:c r="G1432" s="56" t="n">
        <x:v>19</x:v>
      </x:c>
      <x:c r="H1432" s="56" t="str">
        <x:v>病例特异得分项</x:v>
      </x:c>
      <x:c r="I1432" s="56" t="str">
        <x:v>否</x:v>
      </x:c>
      <x:c r="J1432" s="56" t="str">
        <x:v>否</x:v>
      </x:c>
      <x:c r="K1432" s="56" t="str">
        <x:v>否</x:v>
      </x:c>
      <x:c r="L1432" s="56" t="str">
        <x:v>按结构化事件证据给予0/部分/满分；不能由总结反推已完成</x:v>
      </x:c>
      <x:c r="M1432" s="56" t="str"/>
      <x:c r="N1432" s="56" t="n">
        <x:f>SUMIFS($G$4:$G$1673,$A$4:$A$1673,A1432)</x:f>
        <x:v>360</x:v>
      </x:c>
      <x:c r="O1432" s="56" t="str">
        <x:f>IF(N1432=360,"通过","失败")</x:f>
        <x:v>通过</x:v>
      </x:c>
      <x:c r="P1432" s="56" t="str"/>
      <x:c r="Q1432" s="59" t="str">
        <x:v>待确认</x:v>
      </x:c>
    </x:row>
    <x:row r="1433">
      <x:c r="A1433" s="56" t="str">
        <x:v>P036</x:v>
      </x:c>
      <x:c r="B1433" s="56" t="str">
        <x:v>HX-ADD-024</x:v>
      </x:c>
      <x:c r="C1433" s="56" t="str">
        <x:v>orders</x:v>
      </x:c>
      <x:c r="D1433" s="56" t="n">
        <x:v>55</x:v>
      </x:c>
      <x:c r="E1433" s="56" t="str">
        <x:v>orders.LAB-UR-002</x:v>
      </x:c>
      <x:c r="F1433" s="56" t="str">
        <x:v>LAB-UR-002</x:v>
      </x:c>
      <x:c r="G1433" s="56" t="n">
        <x:v>18</x:v>
      </x:c>
      <x:c r="H1433" s="56" t="str">
        <x:v>病例特异得分项</x:v>
      </x:c>
      <x:c r="I1433" s="56" t="str">
        <x:v>否</x:v>
      </x:c>
      <x:c r="J1433" s="56" t="str">
        <x:v>否</x:v>
      </x:c>
      <x:c r="K1433" s="56" t="str">
        <x:v>否</x:v>
      </x:c>
      <x:c r="L1433" s="56" t="str">
        <x:v>按结构化事件证据给予0/部分/满分；不能由总结反推已完成</x:v>
      </x:c>
      <x:c r="M1433" s="56" t="str"/>
      <x:c r="N1433" s="56" t="n">
        <x:f>SUMIFS($G$4:$G$1673,$A$4:$A$1673,A1433)</x:f>
        <x:v>360</x:v>
      </x:c>
      <x:c r="O1433" s="56" t="str">
        <x:f>IF(N1433=360,"通过","失败")</x:f>
        <x:v>通过</x:v>
      </x:c>
      <x:c r="P1433" s="56" t="str"/>
      <x:c r="Q1433" s="59" t="str">
        <x:v>待确认</x:v>
      </x:c>
    </x:row>
    <x:row r="1434">
      <x:c r="A1434" s="56" t="str">
        <x:v>P036</x:v>
      </x:c>
      <x:c r="B1434" s="56" t="str">
        <x:v>HX-ADD-024</x:v>
      </x:c>
      <x:c r="C1434" s="56" t="str">
        <x:v>orders</x:v>
      </x:c>
      <x:c r="D1434" s="56" t="n">
        <x:v>55</x:v>
      </x:c>
      <x:c r="E1434" s="56" t="str">
        <x:v>orders.LAB-BL-003</x:v>
      </x:c>
      <x:c r="F1434" s="56" t="str">
        <x:v>LAB-BL-003</x:v>
      </x:c>
      <x:c r="G1434" s="56" t="n">
        <x:v>18</x:v>
      </x:c>
      <x:c r="H1434" s="56" t="str">
        <x:v>病例特异得分项</x:v>
      </x:c>
      <x:c r="I1434" s="56" t="str">
        <x:v>否</x:v>
      </x:c>
      <x:c r="J1434" s="56" t="str">
        <x:v>否</x:v>
      </x:c>
      <x:c r="K1434" s="56" t="str">
        <x:v>否</x:v>
      </x:c>
      <x:c r="L1434" s="56" t="str">
        <x:v>按结构化事件证据给予0/部分/满分；不能由总结反推已完成</x:v>
      </x:c>
      <x:c r="M1434" s="56" t="str"/>
      <x:c r="N1434" s="56" t="n">
        <x:f>SUMIFS($G$4:$G$1673,$A$4:$A$1673,A1434)</x:f>
        <x:v>360</x:v>
      </x:c>
      <x:c r="O1434" s="56" t="str">
        <x:f>IF(N1434=360,"通过","失败")</x:f>
        <x:v>通过</x:v>
      </x:c>
      <x:c r="P1434" s="56" t="str"/>
      <x:c r="Q1434" s="59" t="str">
        <x:v>待确认</x:v>
      </x:c>
    </x:row>
    <x:row r="1435">
      <x:c r="A1435" s="56" t="str">
        <x:v>P036</x:v>
      </x:c>
      <x:c r="B1435" s="56" t="str">
        <x:v>HX-ADD-024</x:v>
      </x:c>
      <x:c r="C1435" s="56" t="str">
        <x:v>mdt</x:v>
      </x:c>
      <x:c r="D1435" s="56" t="n">
        <x:v>45</x:v>
      </x:c>
      <x:c r="E1435" s="56" t="str">
        <x:v>mdt.department</x:v>
      </x:c>
      <x:c r="F1435" s="56" t="str">
        <x:v>department</x:v>
      </x:c>
      <x:c r="G1435" s="56" t="n">
        <x:v>12</x:v>
      </x:c>
      <x:c r="H1435" s="56" t="str">
        <x:v>病例特异得分项</x:v>
      </x:c>
      <x:c r="I1435" s="56" t="str">
        <x:v>否</x:v>
      </x:c>
      <x:c r="J1435" s="56" t="str">
        <x:v>否</x:v>
      </x:c>
      <x:c r="K1435" s="56" t="str">
        <x:v>否</x:v>
      </x:c>
      <x:c r="L1435" s="56" t="str">
        <x:v>按结构化事件证据给予0/部分/满分；不能由总结反推已完成</x:v>
      </x:c>
      <x:c r="M1435" s="56" t="str"/>
      <x:c r="N1435" s="56" t="n">
        <x:f>SUMIFS($G$4:$G$1673,$A$4:$A$1673,A1435)</x:f>
        <x:v>360</x:v>
      </x:c>
      <x:c r="O1435" s="56" t="str">
        <x:f>IF(N1435=360,"通过","失败")</x:f>
        <x:v>通过</x:v>
      </x:c>
      <x:c r="P1435" s="56" t="str"/>
      <x:c r="Q1435" s="59" t="str">
        <x:v>待确认</x:v>
      </x:c>
    </x:row>
    <x:row r="1436">
      <x:c r="A1436" s="56" t="str">
        <x:v>P036</x:v>
      </x:c>
      <x:c r="B1436" s="56" t="str">
        <x:v>HX-ADD-024</x:v>
      </x:c>
      <x:c r="C1436" s="56" t="str">
        <x:v>mdt</x:v>
      </x:c>
      <x:c r="D1436" s="56" t="n">
        <x:v>45</x:v>
      </x:c>
      <x:c r="E1436" s="56" t="str">
        <x:v>mdt.trigger</x:v>
      </x:c>
      <x:c r="F1436" s="56" t="str">
        <x:v>trigger</x:v>
      </x:c>
      <x:c r="G1436" s="56" t="n">
        <x:v>11</x:v>
      </x:c>
      <x:c r="H1436" s="56" t="str">
        <x:v>病例特异得分项</x:v>
      </x:c>
      <x:c r="I1436" s="56" t="str">
        <x:v>否</x:v>
      </x:c>
      <x:c r="J1436" s="56" t="str">
        <x:v>否</x:v>
      </x:c>
      <x:c r="K1436" s="56" t="str">
        <x:v>否</x:v>
      </x:c>
      <x:c r="L1436" s="56" t="str">
        <x:v>按结构化事件证据给予0/部分/满分；不能由总结反推已完成</x:v>
      </x:c>
      <x:c r="M1436" s="56" t="str"/>
      <x:c r="N1436" s="56" t="n">
        <x:f>SUMIFS($G$4:$G$1673,$A$4:$A$1673,A1436)</x:f>
        <x:v>360</x:v>
      </x:c>
      <x:c r="O1436" s="56" t="str">
        <x:f>IF(N1436=360,"通过","失败")</x:f>
        <x:v>通过</x:v>
      </x:c>
      <x:c r="P1436" s="56" t="str"/>
      <x:c r="Q1436" s="59" t="str">
        <x:v>待确认</x:v>
      </x:c>
    </x:row>
    <x:row r="1437">
      <x:c r="A1437" s="56" t="str">
        <x:v>P036</x:v>
      </x:c>
      <x:c r="B1437" s="56" t="str">
        <x:v>HX-ADD-024</x:v>
      </x:c>
      <x:c r="C1437" s="56" t="str">
        <x:v>mdt</x:v>
      </x:c>
      <x:c r="D1437" s="56" t="n">
        <x:v>45</x:v>
      </x:c>
      <x:c r="E1437" s="56" t="str">
        <x:v>mdt.question</x:v>
      </x:c>
      <x:c r="F1437" s="56" t="str">
        <x:v>question</x:v>
      </x:c>
      <x:c r="G1437" s="56" t="n">
        <x:v>11</x:v>
      </x:c>
      <x:c r="H1437" s="56" t="str">
        <x:v>病例特异得分项</x:v>
      </x:c>
      <x:c r="I1437" s="56" t="str">
        <x:v>否</x:v>
      </x:c>
      <x:c r="J1437" s="56" t="str">
        <x:v>否</x:v>
      </x:c>
      <x:c r="K1437" s="56" t="str">
        <x:v>否</x:v>
      </x:c>
      <x:c r="L1437" s="56" t="str">
        <x:v>按结构化事件证据给予0/部分/满分；不能由总结反推已完成</x:v>
      </x:c>
      <x:c r="M1437" s="56" t="str"/>
      <x:c r="N1437" s="56" t="n">
        <x:f>SUMIFS($G$4:$G$1673,$A$4:$A$1673,A1437)</x:f>
        <x:v>360</x:v>
      </x:c>
      <x:c r="O1437" s="56" t="str">
        <x:f>IF(N1437=360,"通过","失败")</x:f>
        <x:v>通过</x:v>
      </x:c>
      <x:c r="P1437" s="56" t="str"/>
      <x:c r="Q1437" s="59" t="str">
        <x:v>待确认</x:v>
      </x:c>
    </x:row>
    <x:row r="1438">
      <x:c r="A1438" s="56" t="str">
        <x:v>P036</x:v>
      </x:c>
      <x:c r="B1438" s="56" t="str">
        <x:v>HX-ADD-024</x:v>
      </x:c>
      <x:c r="C1438" s="56" t="str">
        <x:v>mdt</x:v>
      </x:c>
      <x:c r="D1438" s="56" t="n">
        <x:v>45</x:v>
      </x:c>
      <x:c r="E1438" s="56" t="str">
        <x:v>mdt.evidence</x:v>
      </x:c>
      <x:c r="F1438" s="56" t="str">
        <x:v>evidence</x:v>
      </x:c>
      <x:c r="G1438" s="56" t="n">
        <x:v>11</x:v>
      </x:c>
      <x:c r="H1438" s="56" t="str">
        <x:v>病例特异得分项</x:v>
      </x:c>
      <x:c r="I1438" s="56" t="str">
        <x:v>否</x:v>
      </x:c>
      <x:c r="J1438" s="56" t="str">
        <x:v>否</x:v>
      </x:c>
      <x:c r="K1438" s="56" t="str">
        <x:v>否</x:v>
      </x:c>
      <x:c r="L1438" s="56" t="str">
        <x:v>按结构化事件证据给予0/部分/满分；不能由总结反推已完成</x:v>
      </x:c>
      <x:c r="M1438" s="56" t="str"/>
      <x:c r="N1438" s="56" t="n">
        <x:f>SUMIFS($G$4:$G$1673,$A$4:$A$1673,A1438)</x:f>
        <x:v>360</x:v>
      </x:c>
      <x:c r="O1438" s="56" t="str">
        <x:f>IF(N1438=360,"通过","失败")</x:f>
        <x:v>通过</x:v>
      </x:c>
      <x:c r="P1438" s="56" t="str"/>
      <x:c r="Q1438" s="59" t="str">
        <x:v>待确认</x:v>
      </x:c>
    </x:row>
    <x:row r="1439">
      <x:c r="A1439" s="56" t="str">
        <x:v>P036</x:v>
      </x:c>
      <x:c r="B1439" s="56" t="str">
        <x:v>HX-ADD-024</x:v>
      </x:c>
      <x:c r="C1439" s="56" t="str">
        <x:v>treatment</x:v>
      </x:c>
      <x:c r="D1439" s="56" t="n">
        <x:v>50</x:v>
      </x:c>
      <x:c r="E1439" s="56" t="str">
        <x:v>treatment.immediate</x:v>
      </x:c>
      <x:c r="F1439" s="56" t="str">
        <x:v>immediate</x:v>
      </x:c>
      <x:c r="G1439" s="56" t="n">
        <x:v>13</x:v>
      </x:c>
      <x:c r="H1439" s="56" t="str">
        <x:v>病例特异得分项</x:v>
      </x:c>
      <x:c r="I1439" s="56" t="str">
        <x:v>否</x:v>
      </x:c>
      <x:c r="J1439" s="56" t="str">
        <x:v>否</x:v>
      </x:c>
      <x:c r="K1439" s="56" t="str">
        <x:v>否</x:v>
      </x:c>
      <x:c r="L1439" s="56" t="str">
        <x:v>按结构化事件证据给予0/部分/满分；不能由总结反推已完成</x:v>
      </x:c>
      <x:c r="M1439" s="56" t="str"/>
      <x:c r="N1439" s="56" t="n">
        <x:f>SUMIFS($G$4:$G$1673,$A$4:$A$1673,A1439)</x:f>
        <x:v>360</x:v>
      </x:c>
      <x:c r="O1439" s="56" t="str">
        <x:f>IF(N1439=360,"通过","失败")</x:f>
        <x:v>通过</x:v>
      </x:c>
      <x:c r="P1439" s="56" t="str"/>
      <x:c r="Q1439" s="59" t="str">
        <x:v>待确认</x:v>
      </x:c>
    </x:row>
    <x:row r="1440">
      <x:c r="A1440" s="56" t="str">
        <x:v>P036</x:v>
      </x:c>
      <x:c r="B1440" s="56" t="str">
        <x:v>HX-ADD-024</x:v>
      </x:c>
      <x:c r="C1440" s="56" t="str">
        <x:v>treatment</x:v>
      </x:c>
      <x:c r="D1440" s="56" t="n">
        <x:v>50</x:v>
      </x:c>
      <x:c r="E1440" s="56" t="str">
        <x:v>treatment.etiologic</x:v>
      </x:c>
      <x:c r="F1440" s="56" t="str">
        <x:v>etiologic</x:v>
      </x:c>
      <x:c r="G1440" s="56" t="n">
        <x:v>13</x:v>
      </x:c>
      <x:c r="H1440" s="56" t="str">
        <x:v>病例特异得分项</x:v>
      </x:c>
      <x:c r="I1440" s="56" t="str">
        <x:v>否</x:v>
      </x:c>
      <x:c r="J1440" s="56" t="str">
        <x:v>否</x:v>
      </x:c>
      <x:c r="K1440" s="56" t="str">
        <x:v>否</x:v>
      </x:c>
      <x:c r="L1440" s="56" t="str">
        <x:v>按结构化事件证据给予0/部分/满分；不能由总结反推已完成</x:v>
      </x:c>
      <x:c r="M1440" s="56" t="str"/>
      <x:c r="N1440" s="56" t="n">
        <x:f>SUMIFS($G$4:$G$1673,$A$4:$A$1673,A1440)</x:f>
        <x:v>360</x:v>
      </x:c>
      <x:c r="O1440" s="56" t="str">
        <x:f>IF(N1440=360,"通过","失败")</x:f>
        <x:v>通过</x:v>
      </x:c>
      <x:c r="P1440" s="56" t="str"/>
      <x:c r="Q1440" s="59" t="str">
        <x:v>待确认</x:v>
      </x:c>
    </x:row>
    <x:row r="1441">
      <x:c r="A1441" s="56" t="str">
        <x:v>P036</x:v>
      </x:c>
      <x:c r="B1441" s="56" t="str">
        <x:v>HX-ADD-024</x:v>
      </x:c>
      <x:c r="C1441" s="56" t="str">
        <x:v>treatment</x:v>
      </x:c>
      <x:c r="D1441" s="56" t="n">
        <x:v>50</x:v>
      </x:c>
      <x:c r="E1441" s="56" t="str">
        <x:v>treatment.definitive</x:v>
      </x:c>
      <x:c r="F1441" s="56" t="str">
        <x:v>definitive</x:v>
      </x:c>
      <x:c r="G1441" s="56" t="n">
        <x:v>12</x:v>
      </x:c>
      <x:c r="H1441" s="56" t="str">
        <x:v>病例特异得分项</x:v>
      </x:c>
      <x:c r="I1441" s="56" t="str">
        <x:v>否</x:v>
      </x:c>
      <x:c r="J1441" s="56" t="str">
        <x:v>否</x:v>
      </x:c>
      <x:c r="K1441" s="56" t="str">
        <x:v>否</x:v>
      </x:c>
      <x:c r="L1441" s="56" t="str">
        <x:v>按结构化事件证据给予0/部分/满分；不能由总结反推已完成</x:v>
      </x:c>
      <x:c r="M1441" s="56" t="str"/>
      <x:c r="N1441" s="56" t="n">
        <x:f>SUMIFS($G$4:$G$1673,$A$4:$A$1673,A1441)</x:f>
        <x:v>360</x:v>
      </x:c>
      <x:c r="O1441" s="56" t="str">
        <x:f>IF(N1441=360,"通过","失败")</x:f>
        <x:v>通过</x:v>
      </x:c>
      <x:c r="P1441" s="56" t="str"/>
      <x:c r="Q1441" s="59" t="str">
        <x:v>待确认</x:v>
      </x:c>
    </x:row>
    <x:row r="1442">
      <x:c r="A1442" s="56" t="str">
        <x:v>P036</x:v>
      </x:c>
      <x:c r="B1442" s="56" t="str">
        <x:v>HX-ADD-024</x:v>
      </x:c>
      <x:c r="C1442" s="56" t="str">
        <x:v>treatment</x:v>
      </x:c>
      <x:c r="D1442" s="56" t="n">
        <x:v>50</x:v>
      </x:c>
      <x:c r="E1442" s="56" t="str">
        <x:v>treatment.perioperative</x:v>
      </x:c>
      <x:c r="F1442" s="56" t="str">
        <x:v>perioperative</x:v>
      </x:c>
      <x:c r="G1442" s="56" t="n">
        <x:v>12</x:v>
      </x:c>
      <x:c r="H1442" s="56" t="str">
        <x:v>病例特异得分项</x:v>
      </x:c>
      <x:c r="I1442" s="56" t="str">
        <x:v>否</x:v>
      </x:c>
      <x:c r="J1442" s="56" t="str">
        <x:v>否</x:v>
      </x:c>
      <x:c r="K1442" s="56" t="str">
        <x:v>否</x:v>
      </x:c>
      <x:c r="L1442" s="56" t="str">
        <x:v>按结构化事件证据给予0/部分/满分；不能由总结反推已完成</x:v>
      </x:c>
      <x:c r="M1442" s="56" t="str"/>
      <x:c r="N1442" s="56" t="n">
        <x:f>SUMIFS($G$4:$G$1673,$A$4:$A$1673,A1442)</x:f>
        <x:v>360</x:v>
      </x:c>
      <x:c r="O1442" s="56" t="str">
        <x:f>IF(N1442=360,"通过","失败")</x:f>
        <x:v>通过</x:v>
      </x:c>
      <x:c r="P1442" s="56" t="str"/>
      <x:c r="Q1442" s="59" t="str">
        <x:v>待确认</x:v>
      </x:c>
    </x:row>
    <x:row r="1443">
      <x:c r="A1443" s="56" t="str">
        <x:v>P036</x:v>
      </x:c>
      <x:c r="B1443" s="56" t="str">
        <x:v>HX-ADD-024</x:v>
      </x:c>
      <x:c r="C1443" s="56" t="str">
        <x:v>followup</x:v>
      </x:c>
      <x:c r="D1443" s="56" t="n">
        <x:v>40</x:v>
      </x:c>
      <x:c r="E1443" s="56" t="str">
        <x:v>followup.plan</x:v>
      </x:c>
      <x:c r="F1443" s="56" t="str">
        <x:v>随访复查</x:v>
      </x:c>
      <x:c r="G1443" s="56" t="n">
        <x:v>10</x:v>
      </x:c>
      <x:c r="H1443" s="56" t="str">
        <x:v>普通得分项</x:v>
      </x:c>
      <x:c r="I1443" s="56" t="str">
        <x:v>否</x:v>
      </x:c>
      <x:c r="J1443" s="56" t="str">
        <x:v>否</x:v>
      </x:c>
      <x:c r="K1443" s="56" t="str">
        <x:v>否</x:v>
      </x:c>
      <x:c r="L1443" s="56" t="str">
        <x:v>按结构化事件证据给予0/部分/满分；不能由总结反推已完成</x:v>
      </x:c>
      <x:c r="M1443" s="56" t="str"/>
      <x:c r="N1443" s="56" t="n">
        <x:f>SUMIFS($G$4:$G$1673,$A$4:$A$1673,A1443)</x:f>
        <x:v>360</x:v>
      </x:c>
      <x:c r="O1443" s="56" t="str">
        <x:f>IF(N1443=360,"通过","失败")</x:f>
        <x:v>通过</x:v>
      </x:c>
      <x:c r="P1443" s="56" t="str"/>
      <x:c r="Q1443" s="59" t="str">
        <x:v>待确认</x:v>
      </x:c>
    </x:row>
    <x:row r="1444">
      <x:c r="A1444" s="56" t="str">
        <x:v>P036</x:v>
      </x:c>
      <x:c r="B1444" s="56" t="str">
        <x:v>HX-ADD-024</x:v>
      </x:c>
      <x:c r="C1444" s="56" t="str">
        <x:v>followup</x:v>
      </x:c>
      <x:c r="D1444" s="56" t="n">
        <x:v>40</x:v>
      </x:c>
      <x:c r="E1444" s="56" t="str">
        <x:v>followup.education</x:v>
      </x:c>
      <x:c r="F1444" s="56" t="str">
        <x:v>患者教育</x:v>
      </x:c>
      <x:c r="G1444" s="56" t="n">
        <x:v>10</x:v>
      </x:c>
      <x:c r="H1444" s="56" t="str">
        <x:v>普通得分项</x:v>
      </x:c>
      <x:c r="I1444" s="56" t="str">
        <x:v>否</x:v>
      </x:c>
      <x:c r="J1444" s="56" t="str">
        <x:v>否</x:v>
      </x:c>
      <x:c r="K1444" s="56" t="str">
        <x:v>否</x:v>
      </x:c>
      <x:c r="L1444" s="56" t="str">
        <x:v>按结构化事件证据给予0/部分/满分；不能由总结反推已完成</x:v>
      </x:c>
      <x:c r="M1444" s="56" t="str"/>
      <x:c r="N1444" s="56" t="n">
        <x:f>SUMIFS($G$4:$G$1673,$A$4:$A$1673,A1444)</x:f>
        <x:v>360</x:v>
      </x:c>
      <x:c r="O1444" s="56" t="str">
        <x:f>IF(N1444=360,"通过","失败")</x:f>
        <x:v>通过</x:v>
      </x:c>
      <x:c r="P1444" s="56" t="str"/>
      <x:c r="Q1444" s="59" t="str">
        <x:v>待确认</x:v>
      </x:c>
    </x:row>
    <x:row r="1445">
      <x:c r="A1445" s="56" t="str">
        <x:v>P036</x:v>
      </x:c>
      <x:c r="B1445" s="56" t="str">
        <x:v>HX-ADD-024</x:v>
      </x:c>
      <x:c r="C1445" s="56" t="str">
        <x:v>followup</x:v>
      </x:c>
      <x:c r="D1445" s="56" t="n">
        <x:v>40</x:v>
      </x:c>
      <x:c r="E1445" s="56" t="str">
        <x:v>followup.reflection</x:v>
      </x:c>
      <x:c r="F1445" s="56" t="str">
        <x:v>学习反思质量</x:v>
      </x:c>
      <x:c r="G1445" s="56" t="n">
        <x:v>10</x:v>
      </x:c>
      <x:c r="H1445" s="56" t="str">
        <x:v>普通得分项</x:v>
      </x:c>
      <x:c r="I1445" s="56" t="str">
        <x:v>否</x:v>
      </x:c>
      <x:c r="J1445" s="56" t="str">
        <x:v>否</x:v>
      </x:c>
      <x:c r="K1445" s="56" t="str">
        <x:v>否</x:v>
      </x:c>
      <x:c r="L1445" s="56" t="str">
        <x:v>按结构化事件证据给予0/部分/满分；不能由总结反推已完成</x:v>
      </x:c>
      <x:c r="M1445" s="56" t="str"/>
      <x:c r="N1445" s="56" t="n">
        <x:f>SUMIFS($G$4:$G$1673,$A$4:$A$1673,A1445)</x:f>
        <x:v>360</x:v>
      </x:c>
      <x:c r="O1445" s="56" t="str">
        <x:f>IF(N1445=360,"通过","失败")</x:f>
        <x:v>通过</x:v>
      </x:c>
      <x:c r="P1445" s="56" t="str"/>
      <x:c r="Q1445" s="59" t="str">
        <x:v>待确认</x:v>
      </x:c>
    </x:row>
    <x:row r="1446">
      <x:c r="A1446" s="56" t="str">
        <x:v>P036</x:v>
      </x:c>
      <x:c r="B1446" s="56" t="str">
        <x:v>HX-ADD-024</x:v>
      </x:c>
      <x:c r="C1446" s="56" t="str">
        <x:v>followup</x:v>
      </x:c>
      <x:c r="D1446" s="56" t="n">
        <x:v>40</x:v>
      </x:c>
      <x:c r="E1446" s="56" t="str">
        <x:v>followup.efficiency</x:v>
      </x:c>
      <x:c r="F1446" s="56" t="str">
        <x:v>操作效率</x:v>
      </x:c>
      <x:c r="G1446" s="56" t="n">
        <x:v>10</x:v>
      </x:c>
      <x:c r="H1446" s="56" t="str">
        <x:v>普通得分项</x:v>
      </x:c>
      <x:c r="I1446" s="56" t="str">
        <x:v>否</x:v>
      </x:c>
      <x:c r="J1446" s="56" t="str">
        <x:v>否</x:v>
      </x:c>
      <x:c r="K1446" s="56" t="str">
        <x:v>否</x:v>
      </x:c>
      <x:c r="L1446" s="56" t="str">
        <x:v>按结构化事件证据给予0/部分/满分；不能由总结反推已完成</x:v>
      </x:c>
      <x:c r="M1446" s="56" t="str"/>
      <x:c r="N1446" s="56" t="n">
        <x:f>SUMIFS($G$4:$G$1673,$A$4:$A$1673,A1446)</x:f>
        <x:v>360</x:v>
      </x:c>
      <x:c r="O1446" s="56" t="str">
        <x:f>IF(N1446=360,"通过","失败")</x:f>
        <x:v>通过</x:v>
      </x:c>
      <x:c r="P1446" s="56" t="str"/>
      <x:c r="Q1446" s="59" t="str">
        <x:v>待确认</x:v>
      </x:c>
    </x:row>
    <x:row r="1447">
      <x:c r="A1447" s="56" t="str">
        <x:v>P037</x:v>
      </x:c>
      <x:c r="B1447" s="56" t="str">
        <x:v>HX-ADD-025</x:v>
      </x:c>
      <x:c r="C1447" s="56" t="str">
        <x:v>history</x:v>
      </x:c>
      <x:c r="D1447" s="56" t="n">
        <x:v>50</x:v>
      </x:c>
      <x:c r="E1447" s="56" t="str">
        <x:v>history.hematuria_visibility</x:v>
      </x:c>
      <x:c r="F1447" s="56" t="str">
        <x:v>hematuria_visibility</x:v>
      </x:c>
      <x:c r="G1447" s="56" t="n">
        <x:v>5</x:v>
      </x:c>
      <x:c r="H1447" s="56" t="str">
        <x:v>普通得分项</x:v>
      </x:c>
      <x:c r="I1447" s="56" t="str">
        <x:v>否</x:v>
      </x:c>
      <x:c r="J1447" s="56" t="str">
        <x:v>否</x:v>
      </x:c>
      <x:c r="K1447" s="56" t="str">
        <x:v>否</x:v>
      </x:c>
      <x:c r="L1447" s="56" t="str">
        <x:v>按结构化事件证据给予0/部分/满分；不能由总结反推已完成</x:v>
      </x:c>
      <x:c r="M1447" s="56" t="str"/>
      <x:c r="N1447" s="56" t="n">
        <x:f>SUMIFS($G$4:$G$1673,$A$4:$A$1673,A1447)</x:f>
        <x:v>360</x:v>
      </x:c>
      <x:c r="O1447" s="56" t="str">
        <x:f>IF(N1447=360,"通过","失败")</x:f>
        <x:v>通过</x:v>
      </x:c>
      <x:c r="P1447" s="56" t="str"/>
      <x:c r="Q1447" s="59" t="str">
        <x:v>待确认</x:v>
      </x:c>
    </x:row>
    <x:row r="1448">
      <x:c r="A1448" s="56" t="str">
        <x:v>P037</x:v>
      </x:c>
      <x:c r="B1448" s="56" t="str">
        <x:v>HX-ADD-025</x:v>
      </x:c>
      <x:c r="C1448" s="56" t="str">
        <x:v>history</x:v>
      </x:c>
      <x:c r="D1448" s="56" t="n">
        <x:v>50</x:v>
      </x:c>
      <x:c r="E1448" s="56" t="str">
        <x:v>history.hematuria_onset</x:v>
      </x:c>
      <x:c r="F1448" s="56" t="str">
        <x:v>hematuria_onset</x:v>
      </x:c>
      <x:c r="G1448" s="56" t="n">
        <x:v>5</x:v>
      </x:c>
      <x:c r="H1448" s="56" t="str">
        <x:v>普通得分项</x:v>
      </x:c>
      <x:c r="I1448" s="56" t="str">
        <x:v>否</x:v>
      </x:c>
      <x:c r="J1448" s="56" t="str">
        <x:v>否</x:v>
      </x:c>
      <x:c r="K1448" s="56" t="str">
        <x:v>否</x:v>
      </x:c>
      <x:c r="L1448" s="56" t="str">
        <x:v>按结构化事件证据给予0/部分/满分；不能由总结反推已完成</x:v>
      </x:c>
      <x:c r="M1448" s="56" t="str"/>
      <x:c r="N1448" s="56" t="n">
        <x:f>SUMIFS($G$4:$G$1673,$A$4:$A$1673,A1448)</x:f>
        <x:v>360</x:v>
      </x:c>
      <x:c r="O1448" s="56" t="str">
        <x:f>IF(N1448=360,"通过","失败")</x:f>
        <x:v>通过</x:v>
      </x:c>
      <x:c r="P1448" s="56" t="str"/>
      <x:c r="Q1448" s="59" t="str">
        <x:v>待确认</x:v>
      </x:c>
    </x:row>
    <x:row r="1449">
      <x:c r="A1449" s="56" t="str">
        <x:v>P037</x:v>
      </x:c>
      <x:c r="B1449" s="56" t="str">
        <x:v>HX-ADD-025</x:v>
      </x:c>
      <x:c r="C1449" s="56" t="str">
        <x:v>history</x:v>
      </x:c>
      <x:c r="D1449" s="56" t="n">
        <x:v>50</x:v>
      </x:c>
      <x:c r="E1449" s="56" t="str">
        <x:v>history.hematuria_frequency</x:v>
      </x:c>
      <x:c r="F1449" s="56" t="str">
        <x:v>hematuria_frequency</x:v>
      </x:c>
      <x:c r="G1449" s="56" t="n">
        <x:v>4</x:v>
      </x:c>
      <x:c r="H1449" s="56" t="str">
        <x:v>普通得分项</x:v>
      </x:c>
      <x:c r="I1449" s="56" t="str">
        <x:v>否</x:v>
      </x:c>
      <x:c r="J1449" s="56" t="str">
        <x:v>否</x:v>
      </x:c>
      <x:c r="K1449" s="56" t="str">
        <x:v>否</x:v>
      </x:c>
      <x:c r="L1449" s="56" t="str">
        <x:v>按结构化事件证据给予0/部分/满分；不能由总结反推已完成</x:v>
      </x:c>
      <x:c r="M1449" s="56" t="str"/>
      <x:c r="N1449" s="56" t="n">
        <x:f>SUMIFS($G$4:$G$1673,$A$4:$A$1673,A1449)</x:f>
        <x:v>360</x:v>
      </x:c>
      <x:c r="O1449" s="56" t="str">
        <x:f>IF(N1449=360,"通过","失败")</x:f>
        <x:v>通过</x:v>
      </x:c>
      <x:c r="P1449" s="56" t="str"/>
      <x:c r="Q1449" s="59" t="str">
        <x:v>待确认</x:v>
      </x:c>
    </x:row>
    <x:row r="1450">
      <x:c r="A1450" s="56" t="str">
        <x:v>P037</x:v>
      </x:c>
      <x:c r="B1450" s="56" t="str">
        <x:v>HX-ADD-025</x:v>
      </x:c>
      <x:c r="C1450" s="56" t="str">
        <x:v>history</x:v>
      </x:c>
      <x:c r="D1450" s="56" t="n">
        <x:v>50</x:v>
      </x:c>
      <x:c r="E1450" s="56" t="str">
        <x:v>history.hematuria_phase</x:v>
      </x:c>
      <x:c r="F1450" s="56" t="str">
        <x:v>hematuria_phase</x:v>
      </x:c>
      <x:c r="G1450" s="56" t="n">
        <x:v>4</x:v>
      </x:c>
      <x:c r="H1450" s="56" t="str">
        <x:v>普通得分项</x:v>
      </x:c>
      <x:c r="I1450" s="56" t="str">
        <x:v>否</x:v>
      </x:c>
      <x:c r="J1450" s="56" t="str">
        <x:v>否</x:v>
      </x:c>
      <x:c r="K1450" s="56" t="str">
        <x:v>否</x:v>
      </x:c>
      <x:c r="L1450" s="56" t="str">
        <x:v>按结构化事件证据给予0/部分/满分；不能由总结反推已完成</x:v>
      </x:c>
      <x:c r="M1450" s="56" t="str"/>
      <x:c r="N1450" s="56" t="n">
        <x:f>SUMIFS($G$4:$G$1673,$A$4:$A$1673,A1450)</x:f>
        <x:v>360</x:v>
      </x:c>
      <x:c r="O1450" s="56" t="str">
        <x:f>IF(N1450=360,"通过","失败")</x:f>
        <x:v>通过</x:v>
      </x:c>
      <x:c r="P1450" s="56" t="str"/>
      <x:c r="Q1450" s="59" t="str">
        <x:v>待确认</x:v>
      </x:c>
    </x:row>
    <x:row r="1451">
      <x:c r="A1451" s="56" t="str">
        <x:v>P037</x:v>
      </x:c>
      <x:c r="B1451" s="56" t="str">
        <x:v>HX-ADD-025</x:v>
      </x:c>
      <x:c r="C1451" s="56" t="str">
        <x:v>history</x:v>
      </x:c>
      <x:c r="D1451" s="56" t="n">
        <x:v>50</x:v>
      </x:c>
      <x:c r="E1451" s="56" t="str">
        <x:v>history.urine_color</x:v>
      </x:c>
      <x:c r="F1451" s="56" t="str">
        <x:v>urine_color</x:v>
      </x:c>
      <x:c r="G1451" s="56" t="n">
        <x:v>4</x:v>
      </x:c>
      <x:c r="H1451" s="56" t="str">
        <x:v>普通得分项</x:v>
      </x:c>
      <x:c r="I1451" s="56" t="str">
        <x:v>否</x:v>
      </x:c>
      <x:c r="J1451" s="56" t="str">
        <x:v>否</x:v>
      </x:c>
      <x:c r="K1451" s="56" t="str">
        <x:v>否</x:v>
      </x:c>
      <x:c r="L1451" s="56" t="str">
        <x:v>按结构化事件证据给予0/部分/满分；不能由总结反推已完成</x:v>
      </x:c>
      <x:c r="M1451" s="56" t="str"/>
      <x:c r="N1451" s="56" t="n">
        <x:f>SUMIFS($G$4:$G$1673,$A$4:$A$1673,A1451)</x:f>
        <x:v>360</x:v>
      </x:c>
      <x:c r="O1451" s="56" t="str">
        <x:f>IF(N1451=360,"通过","失败")</x:f>
        <x:v>通过</x:v>
      </x:c>
      <x:c r="P1451" s="56" t="str"/>
      <x:c r="Q1451" s="59" t="str">
        <x:v>待确认</x:v>
      </x:c>
    </x:row>
    <x:row r="1452">
      <x:c r="A1452" s="56" t="str">
        <x:v>P037</x:v>
      </x:c>
      <x:c r="B1452" s="56" t="str">
        <x:v>HX-ADD-025</x:v>
      </x:c>
      <x:c r="C1452" s="56" t="str">
        <x:v>history</x:v>
      </x:c>
      <x:c r="D1452" s="56" t="n">
        <x:v>50</x:v>
      </x:c>
      <x:c r="E1452" s="56" t="str">
        <x:v>history.clots</x:v>
      </x:c>
      <x:c r="F1452" s="56" t="str">
        <x:v>clots</x:v>
      </x:c>
      <x:c r="G1452" s="56" t="n">
        <x:v>4</x:v>
      </x:c>
      <x:c r="H1452" s="56" t="str">
        <x:v>普通得分项</x:v>
      </x:c>
      <x:c r="I1452" s="56" t="str">
        <x:v>否</x:v>
      </x:c>
      <x:c r="J1452" s="56" t="str">
        <x:v>否</x:v>
      </x:c>
      <x:c r="K1452" s="56" t="str">
        <x:v>否</x:v>
      </x:c>
      <x:c r="L1452" s="56" t="str">
        <x:v>按结构化事件证据给予0/部分/满分；不能由总结反推已完成</x:v>
      </x:c>
      <x:c r="M1452" s="56" t="str"/>
      <x:c r="N1452" s="56" t="n">
        <x:f>SUMIFS($G$4:$G$1673,$A$4:$A$1673,A1452)</x:f>
        <x:v>360</x:v>
      </x:c>
      <x:c r="O1452" s="56" t="str">
        <x:f>IF(N1452=360,"通过","失败")</x:f>
        <x:v>通过</x:v>
      </x:c>
      <x:c r="P1452" s="56" t="str"/>
      <x:c r="Q1452" s="59" t="str">
        <x:v>待确认</x:v>
      </x:c>
    </x:row>
    <x:row r="1453">
      <x:c r="A1453" s="56" t="str">
        <x:v>P037</x:v>
      </x:c>
      <x:c r="B1453" s="56" t="str">
        <x:v>HX-ADD-025</x:v>
      </x:c>
      <x:c r="C1453" s="56" t="str">
        <x:v>history</x:v>
      </x:c>
      <x:c r="D1453" s="56" t="n">
        <x:v>50</x:v>
      </x:c>
      <x:c r="E1453" s="56" t="str">
        <x:v>history.pain</x:v>
      </x:c>
      <x:c r="F1453" s="56" t="str">
        <x:v>pain</x:v>
      </x:c>
      <x:c r="G1453" s="56" t="n">
        <x:v>4</x:v>
      </x:c>
      <x:c r="H1453" s="56" t="str">
        <x:v>普通得分项</x:v>
      </x:c>
      <x:c r="I1453" s="56" t="str">
        <x:v>否</x:v>
      </x:c>
      <x:c r="J1453" s="56" t="str">
        <x:v>否</x:v>
      </x:c>
      <x:c r="K1453" s="56" t="str">
        <x:v>否</x:v>
      </x:c>
      <x:c r="L1453" s="56" t="str">
        <x:v>按结构化事件证据给予0/部分/满分；不能由总结反推已完成</x:v>
      </x:c>
      <x:c r="M1453" s="56" t="str"/>
      <x:c r="N1453" s="56" t="n">
        <x:f>SUMIFS($G$4:$G$1673,$A$4:$A$1673,A1453)</x:f>
        <x:v>360</x:v>
      </x:c>
      <x:c r="O1453" s="56" t="str">
        <x:f>IF(N1453=360,"通过","失败")</x:f>
        <x:v>通过</x:v>
      </x:c>
      <x:c r="P1453" s="56" t="str"/>
      <x:c r="Q1453" s="59" t="str">
        <x:v>待确认</x:v>
      </x:c>
    </x:row>
    <x:row r="1454">
      <x:c r="A1454" s="56" t="str">
        <x:v>P037</x:v>
      </x:c>
      <x:c r="B1454" s="56" t="str">
        <x:v>HX-ADD-025</x:v>
      </x:c>
      <x:c r="C1454" s="56" t="str">
        <x:v>history</x:v>
      </x:c>
      <x:c r="D1454" s="56" t="n">
        <x:v>50</x:v>
      </x:c>
      <x:c r="E1454" s="56" t="str">
        <x:v>history.dysuria</x:v>
      </x:c>
      <x:c r="F1454" s="56" t="str">
        <x:v>dysuria</x:v>
      </x:c>
      <x:c r="G1454" s="56" t="n">
        <x:v>4</x:v>
      </x:c>
      <x:c r="H1454" s="56" t="str">
        <x:v>普通得分项</x:v>
      </x:c>
      <x:c r="I1454" s="56" t="str">
        <x:v>否</x:v>
      </x:c>
      <x:c r="J1454" s="56" t="str">
        <x:v>否</x:v>
      </x:c>
      <x:c r="K1454" s="56" t="str">
        <x:v>否</x:v>
      </x:c>
      <x:c r="L1454" s="56" t="str">
        <x:v>按结构化事件证据给予0/部分/满分；不能由总结反推已完成</x:v>
      </x:c>
      <x:c r="M1454" s="56" t="str"/>
      <x:c r="N1454" s="56" t="n">
        <x:f>SUMIFS($G$4:$G$1673,$A$4:$A$1673,A1454)</x:f>
        <x:v>360</x:v>
      </x:c>
      <x:c r="O1454" s="56" t="str">
        <x:f>IF(N1454=360,"通过","失败")</x:f>
        <x:v>通过</x:v>
      </x:c>
      <x:c r="P1454" s="56" t="str"/>
      <x:c r="Q1454" s="59" t="str">
        <x:v>待确认</x:v>
      </x:c>
    </x:row>
    <x:row r="1455">
      <x:c r="A1455" s="56" t="str">
        <x:v>P037</x:v>
      </x:c>
      <x:c r="B1455" s="56" t="str">
        <x:v>HX-ADD-025</x:v>
      </x:c>
      <x:c r="C1455" s="56" t="str">
        <x:v>history</x:v>
      </x:c>
      <x:c r="D1455" s="56" t="n">
        <x:v>50</x:v>
      </x:c>
      <x:c r="E1455" s="56" t="str">
        <x:v>history.urinary_frequency</x:v>
      </x:c>
      <x:c r="F1455" s="56" t="str">
        <x:v>urinary_frequency</x:v>
      </x:c>
      <x:c r="G1455" s="56" t="n">
        <x:v>4</x:v>
      </x:c>
      <x:c r="H1455" s="56" t="str">
        <x:v>普通得分项</x:v>
      </x:c>
      <x:c r="I1455" s="56" t="str">
        <x:v>否</x:v>
      </x:c>
      <x:c r="J1455" s="56" t="str">
        <x:v>否</x:v>
      </x:c>
      <x:c r="K1455" s="56" t="str">
        <x:v>否</x:v>
      </x:c>
      <x:c r="L1455" s="56" t="str">
        <x:v>按结构化事件证据给予0/部分/满分；不能由总结反推已完成</x:v>
      </x:c>
      <x:c r="M1455" s="56" t="str"/>
      <x:c r="N1455" s="56" t="n">
        <x:f>SUMIFS($G$4:$G$1673,$A$4:$A$1673,A1455)</x:f>
        <x:v>360</x:v>
      </x:c>
      <x:c r="O1455" s="56" t="str">
        <x:f>IF(N1455=360,"通过","失败")</x:f>
        <x:v>通过</x:v>
      </x:c>
      <x:c r="P1455" s="56" t="str"/>
      <x:c r="Q1455" s="59" t="str">
        <x:v>待确认</x:v>
      </x:c>
    </x:row>
    <x:row r="1456">
      <x:c r="A1456" s="56" t="str">
        <x:v>P037</x:v>
      </x:c>
      <x:c r="B1456" s="56" t="str">
        <x:v>HX-ADD-025</x:v>
      </x:c>
      <x:c r="C1456" s="56" t="str">
        <x:v>history</x:v>
      </x:c>
      <x:c r="D1456" s="56" t="n">
        <x:v>50</x:v>
      </x:c>
      <x:c r="E1456" s="56" t="str">
        <x:v>history.urinary_urgency</x:v>
      </x:c>
      <x:c r="F1456" s="56" t="str">
        <x:v>urinary_urgency</x:v>
      </x:c>
      <x:c r="G1456" s="56" t="n">
        <x:v>4</x:v>
      </x:c>
      <x:c r="H1456" s="56" t="str">
        <x:v>普通得分项</x:v>
      </x:c>
      <x:c r="I1456" s="56" t="str">
        <x:v>否</x:v>
      </x:c>
      <x:c r="J1456" s="56" t="str">
        <x:v>否</x:v>
      </x:c>
      <x:c r="K1456" s="56" t="str">
        <x:v>否</x:v>
      </x:c>
      <x:c r="L1456" s="56" t="str">
        <x:v>按结构化事件证据给予0/部分/满分；不能由总结反推已完成</x:v>
      </x:c>
      <x:c r="M1456" s="56" t="str"/>
      <x:c r="N1456" s="56" t="n">
        <x:f>SUMIFS($G$4:$G$1673,$A$4:$A$1673,A1456)</x:f>
        <x:v>360</x:v>
      </x:c>
      <x:c r="O1456" s="56" t="str">
        <x:f>IF(N1456=360,"通过","失败")</x:f>
        <x:v>通过</x:v>
      </x:c>
      <x:c r="P1456" s="56" t="str"/>
      <x:c r="Q1456" s="59" t="str">
        <x:v>待确认</x:v>
      </x:c>
    </x:row>
    <x:row r="1457">
      <x:c r="A1457" s="56" t="str">
        <x:v>P037</x:v>
      </x:c>
      <x:c r="B1457" s="56" t="str">
        <x:v>HX-ADD-025</x:v>
      </x:c>
      <x:c r="C1457" s="56" t="str">
        <x:v>history</x:v>
      </x:c>
      <x:c r="D1457" s="56" t="n">
        <x:v>50</x:v>
      </x:c>
      <x:c r="E1457" s="56" t="str">
        <x:v>history.flank_pain</x:v>
      </x:c>
      <x:c r="F1457" s="56" t="str">
        <x:v>flank_pain</x:v>
      </x:c>
      <x:c r="G1457" s="56" t="n">
        <x:v>4</x:v>
      </x:c>
      <x:c r="H1457" s="56" t="str">
        <x:v>普通得分项</x:v>
      </x:c>
      <x:c r="I1457" s="56" t="str">
        <x:v>否</x:v>
      </x:c>
      <x:c r="J1457" s="56" t="str">
        <x:v>否</x:v>
      </x:c>
      <x:c r="K1457" s="56" t="str">
        <x:v>否</x:v>
      </x:c>
      <x:c r="L1457" s="56" t="str">
        <x:v>按结构化事件证据给予0/部分/满分；不能由总结反推已完成</x:v>
      </x:c>
      <x:c r="M1457" s="56" t="str"/>
      <x:c r="N1457" s="56" t="n">
        <x:f>SUMIFS($G$4:$G$1673,$A$4:$A$1673,A1457)</x:f>
        <x:v>360</x:v>
      </x:c>
      <x:c r="O1457" s="56" t="str">
        <x:f>IF(N1457=360,"通过","失败")</x:f>
        <x:v>通过</x:v>
      </x:c>
      <x:c r="P1457" s="56" t="str"/>
      <x:c r="Q1457" s="59" t="str">
        <x:v>待确认</x:v>
      </x:c>
    </x:row>
    <x:row r="1458">
      <x:c r="A1458" s="56" t="str">
        <x:v>P037</x:v>
      </x:c>
      <x:c r="B1458" s="56" t="str">
        <x:v>HX-ADD-025</x:v>
      </x:c>
      <x:c r="C1458" s="56" t="str">
        <x:v>history</x:v>
      </x:c>
      <x:c r="D1458" s="56" t="n">
        <x:v>50</x:v>
      </x:c>
      <x:c r="E1458" s="56" t="str">
        <x:v>history.fever_chills</x:v>
      </x:c>
      <x:c r="F1458" s="56" t="str">
        <x:v>fever_chills</x:v>
      </x:c>
      <x:c r="G1458" s="56" t="n">
        <x:v>4</x:v>
      </x:c>
      <x:c r="H1458" s="56" t="str">
        <x:v>普通得分项</x:v>
      </x:c>
      <x:c r="I1458" s="56" t="str">
        <x:v>否</x:v>
      </x:c>
      <x:c r="J1458" s="56" t="str">
        <x:v>否</x:v>
      </x:c>
      <x:c r="K1458" s="56" t="str">
        <x:v>否</x:v>
      </x:c>
      <x:c r="L1458" s="56" t="str">
        <x:v>按结构化事件证据给予0/部分/满分；不能由总结反推已完成</x:v>
      </x:c>
      <x:c r="M1458" s="56" t="str"/>
      <x:c r="N1458" s="56" t="n">
        <x:f>SUMIFS($G$4:$G$1673,$A$4:$A$1673,A1458)</x:f>
        <x:v>360</x:v>
      </x:c>
      <x:c r="O1458" s="56" t="str">
        <x:f>IF(N1458=360,"通过","失败")</x:f>
        <x:v>通过</x:v>
      </x:c>
      <x:c r="P1458" s="56" t="str"/>
      <x:c r="Q1458" s="59" t="str">
        <x:v>待确认</x:v>
      </x:c>
    </x:row>
    <x:row r="1459">
      <x:c r="A1459" s="56" t="str">
        <x:v>P037</x:v>
      </x:c>
      <x:c r="B1459" s="56" t="str">
        <x:v>HX-ADD-025</x:v>
      </x:c>
      <x:c r="C1459" s="56" t="str">
        <x:v>risk</x:v>
      </x:c>
      <x:c r="D1459" s="56" t="n">
        <x:v>40</x:v>
      </x:c>
      <x:c r="E1459" s="56" t="str">
        <x:v>risk.gynecologic_contamination</x:v>
      </x:c>
      <x:c r="F1459" s="56" t="str">
        <x:v>gynecologic_contamination</x:v>
      </x:c>
      <x:c r="G1459" s="56" t="n">
        <x:v>14</x:v>
      </x:c>
      <x:c r="H1459" s="56" t="str">
        <x:v>普通得分项</x:v>
      </x:c>
      <x:c r="I1459" s="56" t="str">
        <x:v>否</x:v>
      </x:c>
      <x:c r="J1459" s="56" t="str">
        <x:v>否</x:v>
      </x:c>
      <x:c r="K1459" s="56" t="str">
        <x:v>否</x:v>
      </x:c>
      <x:c r="L1459" s="56" t="str">
        <x:v>按结构化事件证据给予0/部分/满分；不能由总结反推已完成</x:v>
      </x:c>
      <x:c r="M1459" s="56" t="str"/>
      <x:c r="N1459" s="56" t="n">
        <x:f>SUMIFS($G$4:$G$1673,$A$4:$A$1673,A1459)</x:f>
        <x:v>360</x:v>
      </x:c>
      <x:c r="O1459" s="56" t="str">
        <x:f>IF(N1459=360,"通过","失败")</x:f>
        <x:v>通过</x:v>
      </x:c>
      <x:c r="P1459" s="56" t="str"/>
      <x:c r="Q1459" s="59" t="str">
        <x:v>待确认</x:v>
      </x:c>
    </x:row>
    <x:row r="1460">
      <x:c r="A1460" s="56" t="str">
        <x:v>P037</x:v>
      </x:c>
      <x:c r="B1460" s="56" t="str">
        <x:v>HX-ADD-025</x:v>
      </x:c>
      <x:c r="C1460" s="56" t="str">
        <x:v>risk</x:v>
      </x:c>
      <x:c r="D1460" s="56" t="n">
        <x:v>40</x:v>
      </x:c>
      <x:c r="E1460" s="56" t="str">
        <x:v>risk.medications</x:v>
      </x:c>
      <x:c r="F1460" s="56" t="str">
        <x:v>medications</x:v>
      </x:c>
      <x:c r="G1460" s="56" t="n">
        <x:v>13</x:v>
      </x:c>
      <x:c r="H1460" s="56" t="str">
        <x:v>普通得分项</x:v>
      </x:c>
      <x:c r="I1460" s="56" t="str">
        <x:v>否</x:v>
      </x:c>
      <x:c r="J1460" s="56" t="str">
        <x:v>否</x:v>
      </x:c>
      <x:c r="K1460" s="56" t="str">
        <x:v>否</x:v>
      </x:c>
      <x:c r="L1460" s="56" t="str">
        <x:v>按结构化事件证据给予0/部分/满分；不能由总结反推已完成</x:v>
      </x:c>
      <x:c r="M1460" s="56" t="str"/>
      <x:c r="N1460" s="56" t="n">
        <x:f>SUMIFS($G$4:$G$1673,$A$4:$A$1673,A1460)</x:f>
        <x:v>360</x:v>
      </x:c>
      <x:c r="O1460" s="56" t="str">
        <x:f>IF(N1460=360,"通过","失败")</x:f>
        <x:v>通过</x:v>
      </x:c>
      <x:c r="P1460" s="56" t="str"/>
      <x:c r="Q1460" s="59" t="str">
        <x:v>待确认</x:v>
      </x:c>
    </x:row>
    <x:row r="1461">
      <x:c r="A1461" s="56" t="str">
        <x:v>P037</x:v>
      </x:c>
      <x:c r="B1461" s="56" t="str">
        <x:v>HX-ADD-025</x:v>
      </x:c>
      <x:c r="C1461" s="56" t="str">
        <x:v>risk</x:v>
      </x:c>
      <x:c r="D1461" s="56" t="n">
        <x:v>40</x:v>
      </x:c>
      <x:c r="E1461" s="56" t="str">
        <x:v>risk.bleeding_tendency</x:v>
      </x:c>
      <x:c r="F1461" s="56" t="str">
        <x:v>bleeding_tendency</x:v>
      </x:c>
      <x:c r="G1461" s="56" t="n">
        <x:v>13</x:v>
      </x:c>
      <x:c r="H1461" s="56" t="str">
        <x:v>普通得分项</x:v>
      </x:c>
      <x:c r="I1461" s="56" t="str">
        <x:v>否</x:v>
      </x:c>
      <x:c r="J1461" s="56" t="str">
        <x:v>否</x:v>
      </x:c>
      <x:c r="K1461" s="56" t="str">
        <x:v>否</x:v>
      </x:c>
      <x:c r="L1461" s="56" t="str">
        <x:v>按结构化事件证据给予0/部分/满分；不能由总结反推已完成</x:v>
      </x:c>
      <x:c r="M1461" s="56" t="str"/>
      <x:c r="N1461" s="56" t="n">
        <x:f>SUMIFS($G$4:$G$1673,$A$4:$A$1673,A1461)</x:f>
        <x:v>360</x:v>
      </x:c>
      <x:c r="O1461" s="56" t="str">
        <x:f>IF(N1461=360,"通过","失败")</x:f>
        <x:v>通过</x:v>
      </x:c>
      <x:c r="P1461" s="56" t="str"/>
      <x:c r="Q1461" s="59" t="str">
        <x:v>待确认</x:v>
      </x:c>
    </x:row>
    <x:row r="1462">
      <x:c r="A1462" s="56" t="str">
        <x:v>P037</x:v>
      </x:c>
      <x:c r="B1462" s="56" t="str">
        <x:v>HX-ADD-025</x:v>
      </x:c>
      <x:c r="C1462" s="56" t="str">
        <x:v>exam</x:v>
      </x:c>
      <x:c r="D1462" s="56" t="n">
        <x:v>35</x:v>
      </x:c>
      <x:c r="E1462" s="56" t="str">
        <x:v>exam.temperature</x:v>
      </x:c>
      <x:c r="F1462" s="56" t="str">
        <x:v>体温</x:v>
      </x:c>
      <x:c r="G1462" s="56" t="n">
        <x:v>12</x:v>
      </x:c>
      <x:c r="H1462" s="56" t="str">
        <x:v>普通得分项</x:v>
      </x:c>
      <x:c r="I1462" s="56" t="str">
        <x:v>否</x:v>
      </x:c>
      <x:c r="J1462" s="56" t="str">
        <x:v>否</x:v>
      </x:c>
      <x:c r="K1462" s="56" t="str">
        <x:v>否</x:v>
      </x:c>
      <x:c r="L1462" s="56" t="str">
        <x:v>按结构化事件证据给予0/部分/满分；不能由总结反推已完成</x:v>
      </x:c>
      <x:c r="M1462" s="56" t="str"/>
      <x:c r="N1462" s="56" t="n">
        <x:f>SUMIFS($G$4:$G$1673,$A$4:$A$1673,A1462)</x:f>
        <x:v>360</x:v>
      </x:c>
      <x:c r="O1462" s="56" t="str">
        <x:f>IF(N1462=360,"通过","失败")</x:f>
        <x:v>通过</x:v>
      </x:c>
      <x:c r="P1462" s="56" t="str"/>
      <x:c r="Q1462" s="59" t="str">
        <x:v>待确认</x:v>
      </x:c>
    </x:row>
    <x:row r="1463">
      <x:c r="A1463" s="56" t="str">
        <x:v>P037</x:v>
      </x:c>
      <x:c r="B1463" s="56" t="str">
        <x:v>HX-ADD-025</x:v>
      </x:c>
      <x:c r="C1463" s="56" t="str">
        <x:v>exam</x:v>
      </x:c>
      <x:c r="D1463" s="56" t="n">
        <x:v>35</x:v>
      </x:c>
      <x:c r="E1463" s="56" t="str">
        <x:v>exam.blood_pressure</x:v>
      </x:c>
      <x:c r="F1463" s="56" t="str">
        <x:v>血压</x:v>
      </x:c>
      <x:c r="G1463" s="56" t="n">
        <x:v>12</x:v>
      </x:c>
      <x:c r="H1463" s="56" t="str">
        <x:v>普通得分项</x:v>
      </x:c>
      <x:c r="I1463" s="56" t="str">
        <x:v>否</x:v>
      </x:c>
      <x:c r="J1463" s="56" t="str">
        <x:v>否</x:v>
      </x:c>
      <x:c r="K1463" s="56" t="str">
        <x:v>否</x:v>
      </x:c>
      <x:c r="L1463" s="56" t="str">
        <x:v>按结构化事件证据给予0/部分/满分；不能由总结反推已完成</x:v>
      </x:c>
      <x:c r="M1463" s="56" t="str"/>
      <x:c r="N1463" s="56" t="n">
        <x:f>SUMIFS($G$4:$G$1673,$A$4:$A$1673,A1463)</x:f>
        <x:v>360</x:v>
      </x:c>
      <x:c r="O1463" s="56" t="str">
        <x:f>IF(N1463=360,"通过","失败")</x:f>
        <x:v>通过</x:v>
      </x:c>
      <x:c r="P1463" s="56" t="str"/>
      <x:c r="Q1463" s="59" t="str">
        <x:v>待确认</x:v>
      </x:c>
    </x:row>
    <x:row r="1464">
      <x:c r="A1464" s="56" t="str">
        <x:v>P037</x:v>
      </x:c>
      <x:c r="B1464" s="56" t="str">
        <x:v>HX-ADD-025</x:v>
      </x:c>
      <x:c r="C1464" s="56" t="str">
        <x:v>exam</x:v>
      </x:c>
      <x:c r="D1464" s="56" t="n">
        <x:v>35</x:v>
      </x:c>
      <x:c r="E1464" s="56" t="str">
        <x:v>exam.targeted</x:v>
      </x:c>
      <x:c r="F1464" s="56" t="str">
        <x:v>病例针对性查体</x:v>
      </x:c>
      <x:c r="G1464" s="56" t="n">
        <x:v>11</x:v>
      </x:c>
      <x:c r="H1464" s="56" t="str">
        <x:v>普通得分项</x:v>
      </x:c>
      <x:c r="I1464" s="56" t="str">
        <x:v>否</x:v>
      </x:c>
      <x:c r="J1464" s="56" t="str">
        <x:v>否</x:v>
      </x:c>
      <x:c r="K1464" s="56" t="str">
        <x:v>否</x:v>
      </x:c>
      <x:c r="L1464" s="56" t="str">
        <x:v>按结构化事件证据给予0/部分/满分；不能由总结反推已完成</x:v>
      </x:c>
      <x:c r="M1464" s="56" t="str"/>
      <x:c r="N1464" s="56" t="n">
        <x:f>SUMIFS($G$4:$G$1673,$A$4:$A$1673,A1464)</x:f>
        <x:v>360</x:v>
      </x:c>
      <x:c r="O1464" s="56" t="str">
        <x:f>IF(N1464=360,"通过","失败")</x:f>
        <x:v>通过</x:v>
      </x:c>
      <x:c r="P1464" s="56" t="str"/>
      <x:c r="Q1464" s="59" t="str">
        <x:v>待确认</x:v>
      </x:c>
    </x:row>
    <x:row r="1465">
      <x:c r="A1465" s="56" t="str">
        <x:v>P037</x:v>
      </x:c>
      <x:c r="B1465" s="56" t="str">
        <x:v>HX-ADD-025</x:v>
      </x:c>
      <x:c r="C1465" s="56" t="str">
        <x:v>diagnosis</x:v>
      </x:c>
      <x:c r="D1465" s="56" t="n">
        <x:v>45</x:v>
      </x:c>
      <x:c r="E1465" s="56" t="str">
        <x:v>diagnosis.primary</x:v>
      </x:c>
      <x:c r="F1465" s="56" t="str">
        <x:v>最可能诊断及依据</x:v>
      </x:c>
      <x:c r="G1465" s="56" t="n">
        <x:v>15</x:v>
      </x:c>
      <x:c r="H1465" s="56" t="str">
        <x:v>普通得分项</x:v>
      </x:c>
      <x:c r="I1465" s="56" t="str">
        <x:v>否</x:v>
      </x:c>
      <x:c r="J1465" s="56" t="str">
        <x:v>否</x:v>
      </x:c>
      <x:c r="K1465" s="56" t="str">
        <x:v>否</x:v>
      </x:c>
      <x:c r="L1465" s="56" t="str">
        <x:v>按结构化事件证据给予0/部分/满分；不能由总结反推已完成</x:v>
      </x:c>
      <x:c r="M1465" s="56" t="str"/>
      <x:c r="N1465" s="56" t="n">
        <x:f>SUMIFS($G$4:$G$1673,$A$4:$A$1673,A1465)</x:f>
        <x:v>360</x:v>
      </x:c>
      <x:c r="O1465" s="56" t="str">
        <x:f>IF(N1465=360,"通过","失败")</x:f>
        <x:v>通过</x:v>
      </x:c>
      <x:c r="P1465" s="56" t="str"/>
      <x:c r="Q1465" s="59" t="str">
        <x:v>待确认</x:v>
      </x:c>
    </x:row>
    <x:row r="1466">
      <x:c r="A1466" s="56" t="str">
        <x:v>P037</x:v>
      </x:c>
      <x:c r="B1466" s="56" t="str">
        <x:v>HX-ADD-025</x:v>
      </x:c>
      <x:c r="C1466" s="56" t="str">
        <x:v>diagnosis</x:v>
      </x:c>
      <x:c r="D1466" s="56" t="n">
        <x:v>45</x:v>
      </x:c>
      <x:c r="E1466" s="56" t="str">
        <x:v>diagnosis.differentials</x:v>
      </x:c>
      <x:c r="F1466" s="56" t="str">
        <x:v>至少3项鉴别及支持/反对点</x:v>
      </x:c>
      <x:c r="G1466" s="56" t="n">
        <x:v>15</x:v>
      </x:c>
      <x:c r="H1466" s="56" t="str">
        <x:v>普通得分项</x:v>
      </x:c>
      <x:c r="I1466" s="56" t="str">
        <x:v>否</x:v>
      </x:c>
      <x:c r="J1466" s="56" t="str">
        <x:v>否</x:v>
      </x:c>
      <x:c r="K1466" s="56" t="str">
        <x:v>否</x:v>
      </x:c>
      <x:c r="L1466" s="56" t="str">
        <x:v>按结构化事件证据给予0/部分/满分；不能由总结反推已完成</x:v>
      </x:c>
      <x:c r="M1466" s="56" t="str"/>
      <x:c r="N1466" s="56" t="n">
        <x:f>SUMIFS($G$4:$G$1673,$A$4:$A$1673,A1466)</x:f>
        <x:v>360</x:v>
      </x:c>
      <x:c r="O1466" s="56" t="str">
        <x:f>IF(N1466=360,"通过","失败")</x:f>
        <x:v>通过</x:v>
      </x:c>
      <x:c r="P1466" s="56" t="str"/>
      <x:c r="Q1466" s="59" t="str">
        <x:v>待确认</x:v>
      </x:c>
    </x:row>
    <x:row r="1467">
      <x:c r="A1467" s="56" t="str">
        <x:v>P037</x:v>
      </x:c>
      <x:c r="B1467" s="56" t="str">
        <x:v>HX-ADD-025</x:v>
      </x:c>
      <x:c r="C1467" s="56" t="str">
        <x:v>diagnosis</x:v>
      </x:c>
      <x:c r="D1467" s="56" t="n">
        <x:v>45</x:v>
      </x:c>
      <x:c r="E1467" s="56" t="str">
        <x:v>diagnosis.confirmation</x:v>
      </x:c>
      <x:c r="F1467" s="56" t="str">
        <x:v>确认计划</x:v>
      </x:c>
      <x:c r="G1467" s="56" t="n">
        <x:v>15</x:v>
      </x:c>
      <x:c r="H1467" s="56" t="str">
        <x:v>普通得分项</x:v>
      </x:c>
      <x:c r="I1467" s="56" t="str">
        <x:v>否</x:v>
      </x:c>
      <x:c r="J1467" s="56" t="str">
        <x:v>否</x:v>
      </x:c>
      <x:c r="K1467" s="56" t="str">
        <x:v>否</x:v>
      </x:c>
      <x:c r="L1467" s="56" t="str">
        <x:v>按结构化事件证据给予0/部分/满分；不能由总结反推已完成</x:v>
      </x:c>
      <x:c r="M1467" s="56" t="str"/>
      <x:c r="N1467" s="56" t="n">
        <x:f>SUMIFS($G$4:$G$1673,$A$4:$A$1673,A1467)</x:f>
        <x:v>360</x:v>
      </x:c>
      <x:c r="O1467" s="56" t="str">
        <x:f>IF(N1467=360,"通过","失败")</x:f>
        <x:v>通过</x:v>
      </x:c>
      <x:c r="P1467" s="56" t="str"/>
      <x:c r="Q1467" s="59" t="str">
        <x:v>待确认</x:v>
      </x:c>
    </x:row>
    <x:row r="1468">
      <x:c r="A1468" s="56" t="str">
        <x:v>P037</x:v>
      </x:c>
      <x:c r="B1468" s="56" t="str">
        <x:v>HX-ADD-025</x:v>
      </x:c>
      <x:c r="C1468" s="56" t="str">
        <x:v>orders</x:v>
      </x:c>
      <x:c r="D1468" s="56" t="n">
        <x:v>55</x:v>
      </x:c>
      <x:c r="E1468" s="56" t="str">
        <x:v>orders.LAB-UR-001</x:v>
      </x:c>
      <x:c r="F1468" s="56" t="str">
        <x:v>LAB-UR-001</x:v>
      </x:c>
      <x:c r="G1468" s="56" t="n">
        <x:v>28</x:v>
      </x:c>
      <x:c r="H1468" s="56" t="str">
        <x:v>病例特异得分项</x:v>
      </x:c>
      <x:c r="I1468" s="56" t="str">
        <x:v>否</x:v>
      </x:c>
      <x:c r="J1468" s="56" t="str">
        <x:v>否</x:v>
      </x:c>
      <x:c r="K1468" s="56" t="str">
        <x:v>否</x:v>
      </x:c>
      <x:c r="L1468" s="56" t="str">
        <x:v>按结构化事件证据给予0/部分/满分；不能由总结反推已完成</x:v>
      </x:c>
      <x:c r="M1468" s="56" t="str"/>
      <x:c r="N1468" s="56" t="n">
        <x:f>SUMIFS($G$4:$G$1673,$A$4:$A$1673,A1468)</x:f>
        <x:v>360</x:v>
      </x:c>
      <x:c r="O1468" s="56" t="str">
        <x:f>IF(N1468=360,"通过","失败")</x:f>
        <x:v>通过</x:v>
      </x:c>
      <x:c r="P1468" s="56" t="str"/>
      <x:c r="Q1468" s="59" t="str">
        <x:v>待确认</x:v>
      </x:c>
    </x:row>
    <x:row r="1469">
      <x:c r="A1469" s="56" t="str">
        <x:v>P037</x:v>
      </x:c>
      <x:c r="B1469" s="56" t="str">
        <x:v>HX-ADD-025</x:v>
      </x:c>
      <x:c r="C1469" s="56" t="str">
        <x:v>orders</x:v>
      </x:c>
      <x:c r="D1469" s="56" t="n">
        <x:v>55</x:v>
      </x:c>
      <x:c r="E1469" s="56" t="str">
        <x:v>orders.LAB-UR-002</x:v>
      </x:c>
      <x:c r="F1469" s="56" t="str">
        <x:v>LAB-UR-002</x:v>
      </x:c>
      <x:c r="G1469" s="56" t="n">
        <x:v>27</x:v>
      </x:c>
      <x:c r="H1469" s="56" t="str">
        <x:v>病例特异得分项</x:v>
      </x:c>
      <x:c r="I1469" s="56" t="str">
        <x:v>否</x:v>
      </x:c>
      <x:c r="J1469" s="56" t="str">
        <x:v>否</x:v>
      </x:c>
      <x:c r="K1469" s="56" t="str">
        <x:v>否</x:v>
      </x:c>
      <x:c r="L1469" s="56" t="str">
        <x:v>按结构化事件证据给予0/部分/满分；不能由总结反推已完成</x:v>
      </x:c>
      <x:c r="M1469" s="56" t="str"/>
      <x:c r="N1469" s="56" t="n">
        <x:f>SUMIFS($G$4:$G$1673,$A$4:$A$1673,A1469)</x:f>
        <x:v>360</x:v>
      </x:c>
      <x:c r="O1469" s="56" t="str">
        <x:f>IF(N1469=360,"通过","失败")</x:f>
        <x:v>通过</x:v>
      </x:c>
      <x:c r="P1469" s="56" t="str"/>
      <x:c r="Q1469" s="59" t="str">
        <x:v>待确认</x:v>
      </x:c>
    </x:row>
    <x:row r="1470">
      <x:c r="A1470" s="56" t="str">
        <x:v>P037</x:v>
      </x:c>
      <x:c r="B1470" s="56" t="str">
        <x:v>HX-ADD-025</x:v>
      </x:c>
      <x:c r="C1470" s="56" t="str">
        <x:v>mdt</x:v>
      </x:c>
      <x:c r="D1470" s="56" t="n">
        <x:v>45</x:v>
      </x:c>
      <x:c r="E1470" s="56" t="str">
        <x:v>mdt.department</x:v>
      </x:c>
      <x:c r="F1470" s="56" t="str">
        <x:v>department</x:v>
      </x:c>
      <x:c r="G1470" s="56" t="n">
        <x:v>12</x:v>
      </x:c>
      <x:c r="H1470" s="56" t="str">
        <x:v>病例特异得分项</x:v>
      </x:c>
      <x:c r="I1470" s="56" t="str">
        <x:v>否</x:v>
      </x:c>
      <x:c r="J1470" s="56" t="str">
        <x:v>否</x:v>
      </x:c>
      <x:c r="K1470" s="56" t="str">
        <x:v>否</x:v>
      </x:c>
      <x:c r="L1470" s="56" t="str">
        <x:v>按结构化事件证据给予0/部分/满分；不能由总结反推已完成</x:v>
      </x:c>
      <x:c r="M1470" s="56" t="str"/>
      <x:c r="N1470" s="56" t="n">
        <x:f>SUMIFS($G$4:$G$1673,$A$4:$A$1673,A1470)</x:f>
        <x:v>360</x:v>
      </x:c>
      <x:c r="O1470" s="56" t="str">
        <x:f>IF(N1470=360,"通过","失败")</x:f>
        <x:v>通过</x:v>
      </x:c>
      <x:c r="P1470" s="56" t="str"/>
      <x:c r="Q1470" s="59" t="str">
        <x:v>待确认</x:v>
      </x:c>
    </x:row>
    <x:row r="1471">
      <x:c r="A1471" s="56" t="str">
        <x:v>P037</x:v>
      </x:c>
      <x:c r="B1471" s="56" t="str">
        <x:v>HX-ADD-025</x:v>
      </x:c>
      <x:c r="C1471" s="56" t="str">
        <x:v>mdt</x:v>
      </x:c>
      <x:c r="D1471" s="56" t="n">
        <x:v>45</x:v>
      </x:c>
      <x:c r="E1471" s="56" t="str">
        <x:v>mdt.trigger</x:v>
      </x:c>
      <x:c r="F1471" s="56" t="str">
        <x:v>trigger</x:v>
      </x:c>
      <x:c r="G1471" s="56" t="n">
        <x:v>11</x:v>
      </x:c>
      <x:c r="H1471" s="56" t="str">
        <x:v>病例特异得分项</x:v>
      </x:c>
      <x:c r="I1471" s="56" t="str">
        <x:v>否</x:v>
      </x:c>
      <x:c r="J1471" s="56" t="str">
        <x:v>否</x:v>
      </x:c>
      <x:c r="K1471" s="56" t="str">
        <x:v>否</x:v>
      </x:c>
      <x:c r="L1471" s="56" t="str">
        <x:v>按结构化事件证据给予0/部分/满分；不能由总结反推已完成</x:v>
      </x:c>
      <x:c r="M1471" s="56" t="str"/>
      <x:c r="N1471" s="56" t="n">
        <x:f>SUMIFS($G$4:$G$1673,$A$4:$A$1673,A1471)</x:f>
        <x:v>360</x:v>
      </x:c>
      <x:c r="O1471" s="56" t="str">
        <x:f>IF(N1471=360,"通过","失败")</x:f>
        <x:v>通过</x:v>
      </x:c>
      <x:c r="P1471" s="56" t="str"/>
      <x:c r="Q1471" s="59" t="str">
        <x:v>待确认</x:v>
      </x:c>
    </x:row>
    <x:row r="1472">
      <x:c r="A1472" s="56" t="str">
        <x:v>P037</x:v>
      </x:c>
      <x:c r="B1472" s="56" t="str">
        <x:v>HX-ADD-025</x:v>
      </x:c>
      <x:c r="C1472" s="56" t="str">
        <x:v>mdt</x:v>
      </x:c>
      <x:c r="D1472" s="56" t="n">
        <x:v>45</x:v>
      </x:c>
      <x:c r="E1472" s="56" t="str">
        <x:v>mdt.question</x:v>
      </x:c>
      <x:c r="F1472" s="56" t="str">
        <x:v>question</x:v>
      </x:c>
      <x:c r="G1472" s="56" t="n">
        <x:v>11</x:v>
      </x:c>
      <x:c r="H1472" s="56" t="str">
        <x:v>病例特异得分项</x:v>
      </x:c>
      <x:c r="I1472" s="56" t="str">
        <x:v>否</x:v>
      </x:c>
      <x:c r="J1472" s="56" t="str">
        <x:v>否</x:v>
      </x:c>
      <x:c r="K1472" s="56" t="str">
        <x:v>否</x:v>
      </x:c>
      <x:c r="L1472" s="56" t="str">
        <x:v>按结构化事件证据给予0/部分/满分；不能由总结反推已完成</x:v>
      </x:c>
      <x:c r="M1472" s="56" t="str"/>
      <x:c r="N1472" s="56" t="n">
        <x:f>SUMIFS($G$4:$G$1673,$A$4:$A$1673,A1472)</x:f>
        <x:v>360</x:v>
      </x:c>
      <x:c r="O1472" s="56" t="str">
        <x:f>IF(N1472=360,"通过","失败")</x:f>
        <x:v>通过</x:v>
      </x:c>
      <x:c r="P1472" s="56" t="str"/>
      <x:c r="Q1472" s="59" t="str">
        <x:v>待确认</x:v>
      </x:c>
    </x:row>
    <x:row r="1473">
      <x:c r="A1473" s="56" t="str">
        <x:v>P037</x:v>
      </x:c>
      <x:c r="B1473" s="56" t="str">
        <x:v>HX-ADD-025</x:v>
      </x:c>
      <x:c r="C1473" s="56" t="str">
        <x:v>mdt</x:v>
      </x:c>
      <x:c r="D1473" s="56" t="n">
        <x:v>45</x:v>
      </x:c>
      <x:c r="E1473" s="56" t="str">
        <x:v>mdt.evidence</x:v>
      </x:c>
      <x:c r="F1473" s="56" t="str">
        <x:v>evidence</x:v>
      </x:c>
      <x:c r="G1473" s="56" t="n">
        <x:v>11</x:v>
      </x:c>
      <x:c r="H1473" s="56" t="str">
        <x:v>病例特异得分项</x:v>
      </x:c>
      <x:c r="I1473" s="56" t="str">
        <x:v>否</x:v>
      </x:c>
      <x:c r="J1473" s="56" t="str">
        <x:v>否</x:v>
      </x:c>
      <x:c r="K1473" s="56" t="str">
        <x:v>否</x:v>
      </x:c>
      <x:c r="L1473" s="56" t="str">
        <x:v>按结构化事件证据给予0/部分/满分；不能由总结反推已完成</x:v>
      </x:c>
      <x:c r="M1473" s="56" t="str"/>
      <x:c r="N1473" s="56" t="n">
        <x:f>SUMIFS($G$4:$G$1673,$A$4:$A$1673,A1473)</x:f>
        <x:v>360</x:v>
      </x:c>
      <x:c r="O1473" s="56" t="str">
        <x:f>IF(N1473=360,"通过","失败")</x:f>
        <x:v>通过</x:v>
      </x:c>
      <x:c r="P1473" s="56" t="str"/>
      <x:c r="Q1473" s="59" t="str">
        <x:v>待确认</x:v>
      </x:c>
    </x:row>
    <x:row r="1474">
      <x:c r="A1474" s="56" t="str">
        <x:v>P037</x:v>
      </x:c>
      <x:c r="B1474" s="56" t="str">
        <x:v>HX-ADD-025</x:v>
      </x:c>
      <x:c r="C1474" s="56" t="str">
        <x:v>treatment</x:v>
      </x:c>
      <x:c r="D1474" s="56" t="n">
        <x:v>50</x:v>
      </x:c>
      <x:c r="E1474" s="56" t="str">
        <x:v>treatment.immediate</x:v>
      </x:c>
      <x:c r="F1474" s="56" t="str">
        <x:v>immediate</x:v>
      </x:c>
      <x:c r="G1474" s="56" t="n">
        <x:v>13</x:v>
      </x:c>
      <x:c r="H1474" s="56" t="str">
        <x:v>病例特异得分项</x:v>
      </x:c>
      <x:c r="I1474" s="56" t="str">
        <x:v>否</x:v>
      </x:c>
      <x:c r="J1474" s="56" t="str">
        <x:v>否</x:v>
      </x:c>
      <x:c r="K1474" s="56" t="str">
        <x:v>否</x:v>
      </x:c>
      <x:c r="L1474" s="56" t="str">
        <x:v>按结构化事件证据给予0/部分/满分；不能由总结反推已完成</x:v>
      </x:c>
      <x:c r="M1474" s="56" t="str"/>
      <x:c r="N1474" s="56" t="n">
        <x:f>SUMIFS($G$4:$G$1673,$A$4:$A$1673,A1474)</x:f>
        <x:v>360</x:v>
      </x:c>
      <x:c r="O1474" s="56" t="str">
        <x:f>IF(N1474=360,"通过","失败")</x:f>
        <x:v>通过</x:v>
      </x:c>
      <x:c r="P1474" s="56" t="str"/>
      <x:c r="Q1474" s="59" t="str">
        <x:v>待确认</x:v>
      </x:c>
    </x:row>
    <x:row r="1475">
      <x:c r="A1475" s="56" t="str">
        <x:v>P037</x:v>
      </x:c>
      <x:c r="B1475" s="56" t="str">
        <x:v>HX-ADD-025</x:v>
      </x:c>
      <x:c r="C1475" s="56" t="str">
        <x:v>treatment</x:v>
      </x:c>
      <x:c r="D1475" s="56" t="n">
        <x:v>50</x:v>
      </x:c>
      <x:c r="E1475" s="56" t="str">
        <x:v>treatment.etiologic</x:v>
      </x:c>
      <x:c r="F1475" s="56" t="str">
        <x:v>etiologic</x:v>
      </x:c>
      <x:c r="G1475" s="56" t="n">
        <x:v>13</x:v>
      </x:c>
      <x:c r="H1475" s="56" t="str">
        <x:v>病例特异得分项</x:v>
      </x:c>
      <x:c r="I1475" s="56" t="str">
        <x:v>否</x:v>
      </x:c>
      <x:c r="J1475" s="56" t="str">
        <x:v>否</x:v>
      </x:c>
      <x:c r="K1475" s="56" t="str">
        <x:v>否</x:v>
      </x:c>
      <x:c r="L1475" s="56" t="str">
        <x:v>按结构化事件证据给予0/部分/满分；不能由总结反推已完成</x:v>
      </x:c>
      <x:c r="M1475" s="56" t="str"/>
      <x:c r="N1475" s="56" t="n">
        <x:f>SUMIFS($G$4:$G$1673,$A$4:$A$1673,A1475)</x:f>
        <x:v>360</x:v>
      </x:c>
      <x:c r="O1475" s="56" t="str">
        <x:f>IF(N1475=360,"通过","失败")</x:f>
        <x:v>通过</x:v>
      </x:c>
      <x:c r="P1475" s="56" t="str"/>
      <x:c r="Q1475" s="59" t="str">
        <x:v>待确认</x:v>
      </x:c>
    </x:row>
    <x:row r="1476">
      <x:c r="A1476" s="56" t="str">
        <x:v>P037</x:v>
      </x:c>
      <x:c r="B1476" s="56" t="str">
        <x:v>HX-ADD-025</x:v>
      </x:c>
      <x:c r="C1476" s="56" t="str">
        <x:v>treatment</x:v>
      </x:c>
      <x:c r="D1476" s="56" t="n">
        <x:v>50</x:v>
      </x:c>
      <x:c r="E1476" s="56" t="str">
        <x:v>treatment.definitive</x:v>
      </x:c>
      <x:c r="F1476" s="56" t="str">
        <x:v>definitive</x:v>
      </x:c>
      <x:c r="G1476" s="56" t="n">
        <x:v>12</x:v>
      </x:c>
      <x:c r="H1476" s="56" t="str">
        <x:v>病例特异得分项</x:v>
      </x:c>
      <x:c r="I1476" s="56" t="str">
        <x:v>否</x:v>
      </x:c>
      <x:c r="J1476" s="56" t="str">
        <x:v>否</x:v>
      </x:c>
      <x:c r="K1476" s="56" t="str">
        <x:v>否</x:v>
      </x:c>
      <x:c r="L1476" s="56" t="str">
        <x:v>按结构化事件证据给予0/部分/满分；不能由总结反推已完成</x:v>
      </x:c>
      <x:c r="M1476" s="56" t="str"/>
      <x:c r="N1476" s="56" t="n">
        <x:f>SUMIFS($G$4:$G$1673,$A$4:$A$1673,A1476)</x:f>
        <x:v>360</x:v>
      </x:c>
      <x:c r="O1476" s="56" t="str">
        <x:f>IF(N1476=360,"通过","失败")</x:f>
        <x:v>通过</x:v>
      </x:c>
      <x:c r="P1476" s="56" t="str"/>
      <x:c r="Q1476" s="59" t="str">
        <x:v>待确认</x:v>
      </x:c>
    </x:row>
    <x:row r="1477">
      <x:c r="A1477" s="56" t="str">
        <x:v>P037</x:v>
      </x:c>
      <x:c r="B1477" s="56" t="str">
        <x:v>HX-ADD-025</x:v>
      </x:c>
      <x:c r="C1477" s="56" t="str">
        <x:v>treatment</x:v>
      </x:c>
      <x:c r="D1477" s="56" t="n">
        <x:v>50</x:v>
      </x:c>
      <x:c r="E1477" s="56" t="str">
        <x:v>treatment.perioperative</x:v>
      </x:c>
      <x:c r="F1477" s="56" t="str">
        <x:v>perioperative</x:v>
      </x:c>
      <x:c r="G1477" s="56" t="n">
        <x:v>12</x:v>
      </x:c>
      <x:c r="H1477" s="56" t="str">
        <x:v>病例特异得分项</x:v>
      </x:c>
      <x:c r="I1477" s="56" t="str">
        <x:v>否</x:v>
      </x:c>
      <x:c r="J1477" s="56" t="str">
        <x:v>否</x:v>
      </x:c>
      <x:c r="K1477" s="56" t="str">
        <x:v>否</x:v>
      </x:c>
      <x:c r="L1477" s="56" t="str">
        <x:v>按结构化事件证据给予0/部分/满分；不能由总结反推已完成</x:v>
      </x:c>
      <x:c r="M1477" s="56" t="str"/>
      <x:c r="N1477" s="56" t="n">
        <x:f>SUMIFS($G$4:$G$1673,$A$4:$A$1673,A1477)</x:f>
        <x:v>360</x:v>
      </x:c>
      <x:c r="O1477" s="56" t="str">
        <x:f>IF(N1477=360,"通过","失败")</x:f>
        <x:v>通过</x:v>
      </x:c>
      <x:c r="P1477" s="56" t="str"/>
      <x:c r="Q1477" s="59" t="str">
        <x:v>待确认</x:v>
      </x:c>
    </x:row>
    <x:row r="1478">
      <x:c r="A1478" s="56" t="str">
        <x:v>P037</x:v>
      </x:c>
      <x:c r="B1478" s="56" t="str">
        <x:v>HX-ADD-025</x:v>
      </x:c>
      <x:c r="C1478" s="56" t="str">
        <x:v>followup</x:v>
      </x:c>
      <x:c r="D1478" s="56" t="n">
        <x:v>40</x:v>
      </x:c>
      <x:c r="E1478" s="56" t="str">
        <x:v>followup.plan</x:v>
      </x:c>
      <x:c r="F1478" s="56" t="str">
        <x:v>随访复查</x:v>
      </x:c>
      <x:c r="G1478" s="56" t="n">
        <x:v>10</x:v>
      </x:c>
      <x:c r="H1478" s="56" t="str">
        <x:v>普通得分项</x:v>
      </x:c>
      <x:c r="I1478" s="56" t="str">
        <x:v>否</x:v>
      </x:c>
      <x:c r="J1478" s="56" t="str">
        <x:v>否</x:v>
      </x:c>
      <x:c r="K1478" s="56" t="str">
        <x:v>否</x:v>
      </x:c>
      <x:c r="L1478" s="56" t="str">
        <x:v>按结构化事件证据给予0/部分/满分；不能由总结反推已完成</x:v>
      </x:c>
      <x:c r="M1478" s="56" t="str"/>
      <x:c r="N1478" s="56" t="n">
        <x:f>SUMIFS($G$4:$G$1673,$A$4:$A$1673,A1478)</x:f>
        <x:v>360</x:v>
      </x:c>
      <x:c r="O1478" s="56" t="str">
        <x:f>IF(N1478=360,"通过","失败")</x:f>
        <x:v>通过</x:v>
      </x:c>
      <x:c r="P1478" s="56" t="str"/>
      <x:c r="Q1478" s="59" t="str">
        <x:v>待确认</x:v>
      </x:c>
    </x:row>
    <x:row r="1479">
      <x:c r="A1479" s="56" t="str">
        <x:v>P037</x:v>
      </x:c>
      <x:c r="B1479" s="56" t="str">
        <x:v>HX-ADD-025</x:v>
      </x:c>
      <x:c r="C1479" s="56" t="str">
        <x:v>followup</x:v>
      </x:c>
      <x:c r="D1479" s="56" t="n">
        <x:v>40</x:v>
      </x:c>
      <x:c r="E1479" s="56" t="str">
        <x:v>followup.education</x:v>
      </x:c>
      <x:c r="F1479" s="56" t="str">
        <x:v>患者教育</x:v>
      </x:c>
      <x:c r="G1479" s="56" t="n">
        <x:v>10</x:v>
      </x:c>
      <x:c r="H1479" s="56" t="str">
        <x:v>普通得分项</x:v>
      </x:c>
      <x:c r="I1479" s="56" t="str">
        <x:v>否</x:v>
      </x:c>
      <x:c r="J1479" s="56" t="str">
        <x:v>否</x:v>
      </x:c>
      <x:c r="K1479" s="56" t="str">
        <x:v>否</x:v>
      </x:c>
      <x:c r="L1479" s="56" t="str">
        <x:v>按结构化事件证据给予0/部分/满分；不能由总结反推已完成</x:v>
      </x:c>
      <x:c r="M1479" s="56" t="str"/>
      <x:c r="N1479" s="56" t="n">
        <x:f>SUMIFS($G$4:$G$1673,$A$4:$A$1673,A1479)</x:f>
        <x:v>360</x:v>
      </x:c>
      <x:c r="O1479" s="56" t="str">
        <x:f>IF(N1479=360,"通过","失败")</x:f>
        <x:v>通过</x:v>
      </x:c>
      <x:c r="P1479" s="56" t="str"/>
      <x:c r="Q1479" s="59" t="str">
        <x:v>待确认</x:v>
      </x:c>
    </x:row>
    <x:row r="1480">
      <x:c r="A1480" s="56" t="str">
        <x:v>P037</x:v>
      </x:c>
      <x:c r="B1480" s="56" t="str">
        <x:v>HX-ADD-025</x:v>
      </x:c>
      <x:c r="C1480" s="56" t="str">
        <x:v>followup</x:v>
      </x:c>
      <x:c r="D1480" s="56" t="n">
        <x:v>40</x:v>
      </x:c>
      <x:c r="E1480" s="56" t="str">
        <x:v>followup.reflection</x:v>
      </x:c>
      <x:c r="F1480" s="56" t="str">
        <x:v>学习反思质量</x:v>
      </x:c>
      <x:c r="G1480" s="56" t="n">
        <x:v>10</x:v>
      </x:c>
      <x:c r="H1480" s="56" t="str">
        <x:v>普通得分项</x:v>
      </x:c>
      <x:c r="I1480" s="56" t="str">
        <x:v>否</x:v>
      </x:c>
      <x:c r="J1480" s="56" t="str">
        <x:v>否</x:v>
      </x:c>
      <x:c r="K1480" s="56" t="str">
        <x:v>否</x:v>
      </x:c>
      <x:c r="L1480" s="56" t="str">
        <x:v>按结构化事件证据给予0/部分/满分；不能由总结反推已完成</x:v>
      </x:c>
      <x:c r="M1480" s="56" t="str"/>
      <x:c r="N1480" s="56" t="n">
        <x:f>SUMIFS($G$4:$G$1673,$A$4:$A$1673,A1480)</x:f>
        <x:v>360</x:v>
      </x:c>
      <x:c r="O1480" s="56" t="str">
        <x:f>IF(N1480=360,"通过","失败")</x:f>
        <x:v>通过</x:v>
      </x:c>
      <x:c r="P1480" s="56" t="str"/>
      <x:c r="Q1480" s="59" t="str">
        <x:v>待确认</x:v>
      </x:c>
    </x:row>
    <x:row r="1481">
      <x:c r="A1481" s="56" t="str">
        <x:v>P037</x:v>
      </x:c>
      <x:c r="B1481" s="56" t="str">
        <x:v>HX-ADD-025</x:v>
      </x:c>
      <x:c r="C1481" s="56" t="str">
        <x:v>followup</x:v>
      </x:c>
      <x:c r="D1481" s="56" t="n">
        <x:v>40</x:v>
      </x:c>
      <x:c r="E1481" s="56" t="str">
        <x:v>followup.efficiency</x:v>
      </x:c>
      <x:c r="F1481" s="56" t="str">
        <x:v>操作效率</x:v>
      </x:c>
      <x:c r="G1481" s="56" t="n">
        <x:v>10</x:v>
      </x:c>
      <x:c r="H1481" s="56" t="str">
        <x:v>普通得分项</x:v>
      </x:c>
      <x:c r="I1481" s="56" t="str">
        <x:v>否</x:v>
      </x:c>
      <x:c r="J1481" s="56" t="str">
        <x:v>否</x:v>
      </x:c>
      <x:c r="K1481" s="56" t="str">
        <x:v>否</x:v>
      </x:c>
      <x:c r="L1481" s="56" t="str">
        <x:v>按结构化事件证据给予0/部分/满分；不能由总结反推已完成</x:v>
      </x:c>
      <x:c r="M1481" s="56" t="str"/>
      <x:c r="N1481" s="56" t="n">
        <x:f>SUMIFS($G$4:$G$1673,$A$4:$A$1673,A1481)</x:f>
        <x:v>360</x:v>
      </x:c>
      <x:c r="O1481" s="56" t="str">
        <x:f>IF(N1481=360,"通过","失败")</x:f>
        <x:v>通过</x:v>
      </x:c>
      <x:c r="P1481" s="56" t="str"/>
      <x:c r="Q1481" s="59" t="str">
        <x:v>待确认</x:v>
      </x:c>
    </x:row>
    <x:row r="1482">
      <x:c r="A1482" s="56" t="str">
        <x:v>P037</x:v>
      </x:c>
      <x:c r="B1482" s="56" t="str">
        <x:v>HX-ADD-025</x:v>
      </x:c>
      <x:c r="C1482" s="56" t="str">
        <x:v>safety_gate</x:v>
      </x:c>
      <x:c r="D1482" s="56" t="n">
        <x:v>0</x:v>
      </x:c>
      <x:c r="E1482" s="56" t="str">
        <x:v>safety.P037.1</x:v>
      </x:c>
      <x:c r="F1482" s="56" t="str">
        <x:v>月经污染未排除即进行侵入性检查</x:v>
      </x:c>
      <x:c r="G1482" s="56" t="n">
        <x:v>0</x:v>
      </x:c>
      <x:c r="H1482" s="56" t="str">
        <x:v>患者安全关键项</x:v>
      </x:c>
      <x:c r="I1482" s="56" t="str">
        <x:v>是</x:v>
      </x:c>
      <x:c r="J1482" s="56" t="str">
        <x:v>否</x:v>
      </x:c>
      <x:c r="K1482" s="56" t="str">
        <x:v>是</x:v>
      </x:c>
      <x:c r="L1482" s="56" t="str">
        <x:v>触发时不加分并按专家设定封顶</x:v>
      </x:c>
      <x:c r="M1482" s="56" t="str">
        <x:v>月经污染未排除即进行侵入性检查</x:v>
      </x:c>
      <x:c r="N1482" s="56" t="n">
        <x:f>SUMIFS($G$4:$G$1673,$A$4:$A$1673,A1482)</x:f>
        <x:v>360</x:v>
      </x:c>
      <x:c r="O1482" s="56" t="str">
        <x:f>IF(N1482=360,"通过","失败")</x:f>
        <x:v>通过</x:v>
      </x:c>
      <x:c r="P1482" s="56" t="str"/>
      <x:c r="Q1482" s="59" t="str">
        <x:v>待确认</x:v>
      </x:c>
    </x:row>
    <x:row r="1483">
      <x:c r="A1483" s="56" t="str">
        <x:v>P038</x:v>
      </x:c>
      <x:c r="B1483" s="56" t="str">
        <x:v>HX-ADD-026</x:v>
      </x:c>
      <x:c r="C1483" s="56" t="str">
        <x:v>history</x:v>
      </x:c>
      <x:c r="D1483" s="56" t="n">
        <x:v>50</x:v>
      </x:c>
      <x:c r="E1483" s="56" t="str">
        <x:v>history.hematuria_visibility</x:v>
      </x:c>
      <x:c r="F1483" s="56" t="str">
        <x:v>hematuria_visibility</x:v>
      </x:c>
      <x:c r="G1483" s="56" t="n">
        <x:v>5</x:v>
      </x:c>
      <x:c r="H1483" s="56" t="str">
        <x:v>普通得分项</x:v>
      </x:c>
      <x:c r="I1483" s="56" t="str">
        <x:v>否</x:v>
      </x:c>
      <x:c r="J1483" s="56" t="str">
        <x:v>否</x:v>
      </x:c>
      <x:c r="K1483" s="56" t="str">
        <x:v>否</x:v>
      </x:c>
      <x:c r="L1483" s="56" t="str">
        <x:v>按结构化事件证据给予0/部分/满分；不能由总结反推已完成</x:v>
      </x:c>
      <x:c r="M1483" s="56" t="str"/>
      <x:c r="N1483" s="56" t="n">
        <x:f>SUMIFS($G$4:$G$1673,$A$4:$A$1673,A1483)</x:f>
        <x:v>360</x:v>
      </x:c>
      <x:c r="O1483" s="56" t="str">
        <x:f>IF(N1483=360,"通过","失败")</x:f>
        <x:v>通过</x:v>
      </x:c>
      <x:c r="P1483" s="56" t="str"/>
      <x:c r="Q1483" s="59" t="str">
        <x:v>待确认</x:v>
      </x:c>
    </x:row>
    <x:row r="1484">
      <x:c r="A1484" s="56" t="str">
        <x:v>P038</x:v>
      </x:c>
      <x:c r="B1484" s="56" t="str">
        <x:v>HX-ADD-026</x:v>
      </x:c>
      <x:c r="C1484" s="56" t="str">
        <x:v>history</x:v>
      </x:c>
      <x:c r="D1484" s="56" t="n">
        <x:v>50</x:v>
      </x:c>
      <x:c r="E1484" s="56" t="str">
        <x:v>history.hematuria_onset</x:v>
      </x:c>
      <x:c r="F1484" s="56" t="str">
        <x:v>hematuria_onset</x:v>
      </x:c>
      <x:c r="G1484" s="56" t="n">
        <x:v>5</x:v>
      </x:c>
      <x:c r="H1484" s="56" t="str">
        <x:v>普通得分项</x:v>
      </x:c>
      <x:c r="I1484" s="56" t="str">
        <x:v>否</x:v>
      </x:c>
      <x:c r="J1484" s="56" t="str">
        <x:v>否</x:v>
      </x:c>
      <x:c r="K1484" s="56" t="str">
        <x:v>否</x:v>
      </x:c>
      <x:c r="L1484" s="56" t="str">
        <x:v>按结构化事件证据给予0/部分/满分；不能由总结反推已完成</x:v>
      </x:c>
      <x:c r="M1484" s="56" t="str"/>
      <x:c r="N1484" s="56" t="n">
        <x:f>SUMIFS($G$4:$G$1673,$A$4:$A$1673,A1484)</x:f>
        <x:v>360</x:v>
      </x:c>
      <x:c r="O1484" s="56" t="str">
        <x:f>IF(N1484=360,"通过","失败")</x:f>
        <x:v>通过</x:v>
      </x:c>
      <x:c r="P1484" s="56" t="str"/>
      <x:c r="Q1484" s="59" t="str">
        <x:v>待确认</x:v>
      </x:c>
    </x:row>
    <x:row r="1485">
      <x:c r="A1485" s="56" t="str">
        <x:v>P038</x:v>
      </x:c>
      <x:c r="B1485" s="56" t="str">
        <x:v>HX-ADD-026</x:v>
      </x:c>
      <x:c r="C1485" s="56" t="str">
        <x:v>history</x:v>
      </x:c>
      <x:c r="D1485" s="56" t="n">
        <x:v>50</x:v>
      </x:c>
      <x:c r="E1485" s="56" t="str">
        <x:v>history.hematuria_frequency</x:v>
      </x:c>
      <x:c r="F1485" s="56" t="str">
        <x:v>hematuria_frequency</x:v>
      </x:c>
      <x:c r="G1485" s="56" t="n">
        <x:v>4</x:v>
      </x:c>
      <x:c r="H1485" s="56" t="str">
        <x:v>普通得分项</x:v>
      </x:c>
      <x:c r="I1485" s="56" t="str">
        <x:v>否</x:v>
      </x:c>
      <x:c r="J1485" s="56" t="str">
        <x:v>否</x:v>
      </x:c>
      <x:c r="K1485" s="56" t="str">
        <x:v>否</x:v>
      </x:c>
      <x:c r="L1485" s="56" t="str">
        <x:v>按结构化事件证据给予0/部分/满分；不能由总结反推已完成</x:v>
      </x:c>
      <x:c r="M1485" s="56" t="str"/>
      <x:c r="N1485" s="56" t="n">
        <x:f>SUMIFS($G$4:$G$1673,$A$4:$A$1673,A1485)</x:f>
        <x:v>360</x:v>
      </x:c>
      <x:c r="O1485" s="56" t="str">
        <x:f>IF(N1485=360,"通过","失败")</x:f>
        <x:v>通过</x:v>
      </x:c>
      <x:c r="P1485" s="56" t="str"/>
      <x:c r="Q1485" s="59" t="str">
        <x:v>待确认</x:v>
      </x:c>
    </x:row>
    <x:row r="1486">
      <x:c r="A1486" s="56" t="str">
        <x:v>P038</x:v>
      </x:c>
      <x:c r="B1486" s="56" t="str">
        <x:v>HX-ADD-026</x:v>
      </x:c>
      <x:c r="C1486" s="56" t="str">
        <x:v>history</x:v>
      </x:c>
      <x:c r="D1486" s="56" t="n">
        <x:v>50</x:v>
      </x:c>
      <x:c r="E1486" s="56" t="str">
        <x:v>history.hematuria_phase</x:v>
      </x:c>
      <x:c r="F1486" s="56" t="str">
        <x:v>hematuria_phase</x:v>
      </x:c>
      <x:c r="G1486" s="56" t="n">
        <x:v>4</x:v>
      </x:c>
      <x:c r="H1486" s="56" t="str">
        <x:v>普通得分项</x:v>
      </x:c>
      <x:c r="I1486" s="56" t="str">
        <x:v>否</x:v>
      </x:c>
      <x:c r="J1486" s="56" t="str">
        <x:v>否</x:v>
      </x:c>
      <x:c r="K1486" s="56" t="str">
        <x:v>否</x:v>
      </x:c>
      <x:c r="L1486" s="56" t="str">
        <x:v>按结构化事件证据给予0/部分/满分；不能由总结反推已完成</x:v>
      </x:c>
      <x:c r="M1486" s="56" t="str"/>
      <x:c r="N1486" s="56" t="n">
        <x:f>SUMIFS($G$4:$G$1673,$A$4:$A$1673,A1486)</x:f>
        <x:v>360</x:v>
      </x:c>
      <x:c r="O1486" s="56" t="str">
        <x:f>IF(N1486=360,"通过","失败")</x:f>
        <x:v>通过</x:v>
      </x:c>
      <x:c r="P1486" s="56" t="str"/>
      <x:c r="Q1486" s="59" t="str">
        <x:v>待确认</x:v>
      </x:c>
    </x:row>
    <x:row r="1487">
      <x:c r="A1487" s="56" t="str">
        <x:v>P038</x:v>
      </x:c>
      <x:c r="B1487" s="56" t="str">
        <x:v>HX-ADD-026</x:v>
      </x:c>
      <x:c r="C1487" s="56" t="str">
        <x:v>history</x:v>
      </x:c>
      <x:c r="D1487" s="56" t="n">
        <x:v>50</x:v>
      </x:c>
      <x:c r="E1487" s="56" t="str">
        <x:v>history.urine_color</x:v>
      </x:c>
      <x:c r="F1487" s="56" t="str">
        <x:v>urine_color</x:v>
      </x:c>
      <x:c r="G1487" s="56" t="n">
        <x:v>4</x:v>
      </x:c>
      <x:c r="H1487" s="56" t="str">
        <x:v>普通得分项</x:v>
      </x:c>
      <x:c r="I1487" s="56" t="str">
        <x:v>否</x:v>
      </x:c>
      <x:c r="J1487" s="56" t="str">
        <x:v>否</x:v>
      </x:c>
      <x:c r="K1487" s="56" t="str">
        <x:v>否</x:v>
      </x:c>
      <x:c r="L1487" s="56" t="str">
        <x:v>按结构化事件证据给予0/部分/满分；不能由总结反推已完成</x:v>
      </x:c>
      <x:c r="M1487" s="56" t="str"/>
      <x:c r="N1487" s="56" t="n">
        <x:f>SUMIFS($G$4:$G$1673,$A$4:$A$1673,A1487)</x:f>
        <x:v>360</x:v>
      </x:c>
      <x:c r="O1487" s="56" t="str">
        <x:f>IF(N1487=360,"通过","失败")</x:f>
        <x:v>通过</x:v>
      </x:c>
      <x:c r="P1487" s="56" t="str"/>
      <x:c r="Q1487" s="59" t="str">
        <x:v>待确认</x:v>
      </x:c>
    </x:row>
    <x:row r="1488">
      <x:c r="A1488" s="56" t="str">
        <x:v>P038</x:v>
      </x:c>
      <x:c r="B1488" s="56" t="str">
        <x:v>HX-ADD-026</x:v>
      </x:c>
      <x:c r="C1488" s="56" t="str">
        <x:v>history</x:v>
      </x:c>
      <x:c r="D1488" s="56" t="n">
        <x:v>50</x:v>
      </x:c>
      <x:c r="E1488" s="56" t="str">
        <x:v>history.clots</x:v>
      </x:c>
      <x:c r="F1488" s="56" t="str">
        <x:v>clots</x:v>
      </x:c>
      <x:c r="G1488" s="56" t="n">
        <x:v>4</x:v>
      </x:c>
      <x:c r="H1488" s="56" t="str">
        <x:v>普通得分项</x:v>
      </x:c>
      <x:c r="I1488" s="56" t="str">
        <x:v>否</x:v>
      </x:c>
      <x:c r="J1488" s="56" t="str">
        <x:v>否</x:v>
      </x:c>
      <x:c r="K1488" s="56" t="str">
        <x:v>否</x:v>
      </x:c>
      <x:c r="L1488" s="56" t="str">
        <x:v>按结构化事件证据给予0/部分/满分；不能由总结反推已完成</x:v>
      </x:c>
      <x:c r="M1488" s="56" t="str"/>
      <x:c r="N1488" s="56" t="n">
        <x:f>SUMIFS($G$4:$G$1673,$A$4:$A$1673,A1488)</x:f>
        <x:v>360</x:v>
      </x:c>
      <x:c r="O1488" s="56" t="str">
        <x:f>IF(N1488=360,"通过","失败")</x:f>
        <x:v>通过</x:v>
      </x:c>
      <x:c r="P1488" s="56" t="str"/>
      <x:c r="Q1488" s="59" t="str">
        <x:v>待确认</x:v>
      </x:c>
    </x:row>
    <x:row r="1489">
      <x:c r="A1489" s="56" t="str">
        <x:v>P038</x:v>
      </x:c>
      <x:c r="B1489" s="56" t="str">
        <x:v>HX-ADD-026</x:v>
      </x:c>
      <x:c r="C1489" s="56" t="str">
        <x:v>history</x:v>
      </x:c>
      <x:c r="D1489" s="56" t="n">
        <x:v>50</x:v>
      </x:c>
      <x:c r="E1489" s="56" t="str">
        <x:v>history.pain</x:v>
      </x:c>
      <x:c r="F1489" s="56" t="str">
        <x:v>pain</x:v>
      </x:c>
      <x:c r="G1489" s="56" t="n">
        <x:v>4</x:v>
      </x:c>
      <x:c r="H1489" s="56" t="str">
        <x:v>普通得分项</x:v>
      </x:c>
      <x:c r="I1489" s="56" t="str">
        <x:v>否</x:v>
      </x:c>
      <x:c r="J1489" s="56" t="str">
        <x:v>否</x:v>
      </x:c>
      <x:c r="K1489" s="56" t="str">
        <x:v>否</x:v>
      </x:c>
      <x:c r="L1489" s="56" t="str">
        <x:v>按结构化事件证据给予0/部分/满分；不能由总结反推已完成</x:v>
      </x:c>
      <x:c r="M1489" s="56" t="str"/>
      <x:c r="N1489" s="56" t="n">
        <x:f>SUMIFS($G$4:$G$1673,$A$4:$A$1673,A1489)</x:f>
        <x:v>360</x:v>
      </x:c>
      <x:c r="O1489" s="56" t="str">
        <x:f>IF(N1489=360,"通过","失败")</x:f>
        <x:v>通过</x:v>
      </x:c>
      <x:c r="P1489" s="56" t="str"/>
      <x:c r="Q1489" s="59" t="str">
        <x:v>待确认</x:v>
      </x:c>
    </x:row>
    <x:row r="1490">
      <x:c r="A1490" s="56" t="str">
        <x:v>P038</x:v>
      </x:c>
      <x:c r="B1490" s="56" t="str">
        <x:v>HX-ADD-026</x:v>
      </x:c>
      <x:c r="C1490" s="56" t="str">
        <x:v>history</x:v>
      </x:c>
      <x:c r="D1490" s="56" t="n">
        <x:v>50</x:v>
      </x:c>
      <x:c r="E1490" s="56" t="str">
        <x:v>history.dysuria</x:v>
      </x:c>
      <x:c r="F1490" s="56" t="str">
        <x:v>dysuria</x:v>
      </x:c>
      <x:c r="G1490" s="56" t="n">
        <x:v>4</x:v>
      </x:c>
      <x:c r="H1490" s="56" t="str">
        <x:v>普通得分项</x:v>
      </x:c>
      <x:c r="I1490" s="56" t="str">
        <x:v>否</x:v>
      </x:c>
      <x:c r="J1490" s="56" t="str">
        <x:v>否</x:v>
      </x:c>
      <x:c r="K1490" s="56" t="str">
        <x:v>否</x:v>
      </x:c>
      <x:c r="L1490" s="56" t="str">
        <x:v>按结构化事件证据给予0/部分/满分；不能由总结反推已完成</x:v>
      </x:c>
      <x:c r="M1490" s="56" t="str"/>
      <x:c r="N1490" s="56" t="n">
        <x:f>SUMIFS($G$4:$G$1673,$A$4:$A$1673,A1490)</x:f>
        <x:v>360</x:v>
      </x:c>
      <x:c r="O1490" s="56" t="str">
        <x:f>IF(N1490=360,"通过","失败")</x:f>
        <x:v>通过</x:v>
      </x:c>
      <x:c r="P1490" s="56" t="str"/>
      <x:c r="Q1490" s="59" t="str">
        <x:v>待确认</x:v>
      </x:c>
    </x:row>
    <x:row r="1491">
      <x:c r="A1491" s="56" t="str">
        <x:v>P038</x:v>
      </x:c>
      <x:c r="B1491" s="56" t="str">
        <x:v>HX-ADD-026</x:v>
      </x:c>
      <x:c r="C1491" s="56" t="str">
        <x:v>history</x:v>
      </x:c>
      <x:c r="D1491" s="56" t="n">
        <x:v>50</x:v>
      </x:c>
      <x:c r="E1491" s="56" t="str">
        <x:v>history.urinary_frequency</x:v>
      </x:c>
      <x:c r="F1491" s="56" t="str">
        <x:v>urinary_frequency</x:v>
      </x:c>
      <x:c r="G1491" s="56" t="n">
        <x:v>4</x:v>
      </x:c>
      <x:c r="H1491" s="56" t="str">
        <x:v>普通得分项</x:v>
      </x:c>
      <x:c r="I1491" s="56" t="str">
        <x:v>否</x:v>
      </x:c>
      <x:c r="J1491" s="56" t="str">
        <x:v>否</x:v>
      </x:c>
      <x:c r="K1491" s="56" t="str">
        <x:v>否</x:v>
      </x:c>
      <x:c r="L1491" s="56" t="str">
        <x:v>按结构化事件证据给予0/部分/满分；不能由总结反推已完成</x:v>
      </x:c>
      <x:c r="M1491" s="56" t="str"/>
      <x:c r="N1491" s="56" t="n">
        <x:f>SUMIFS($G$4:$G$1673,$A$4:$A$1673,A1491)</x:f>
        <x:v>360</x:v>
      </x:c>
      <x:c r="O1491" s="56" t="str">
        <x:f>IF(N1491=360,"通过","失败")</x:f>
        <x:v>通过</x:v>
      </x:c>
      <x:c r="P1491" s="56" t="str"/>
      <x:c r="Q1491" s="59" t="str">
        <x:v>待确认</x:v>
      </x:c>
    </x:row>
    <x:row r="1492">
      <x:c r="A1492" s="56" t="str">
        <x:v>P038</x:v>
      </x:c>
      <x:c r="B1492" s="56" t="str">
        <x:v>HX-ADD-026</x:v>
      </x:c>
      <x:c r="C1492" s="56" t="str">
        <x:v>history</x:v>
      </x:c>
      <x:c r="D1492" s="56" t="n">
        <x:v>50</x:v>
      </x:c>
      <x:c r="E1492" s="56" t="str">
        <x:v>history.urinary_urgency</x:v>
      </x:c>
      <x:c r="F1492" s="56" t="str">
        <x:v>urinary_urgency</x:v>
      </x:c>
      <x:c r="G1492" s="56" t="n">
        <x:v>4</x:v>
      </x:c>
      <x:c r="H1492" s="56" t="str">
        <x:v>普通得分项</x:v>
      </x:c>
      <x:c r="I1492" s="56" t="str">
        <x:v>否</x:v>
      </x:c>
      <x:c r="J1492" s="56" t="str">
        <x:v>否</x:v>
      </x:c>
      <x:c r="K1492" s="56" t="str">
        <x:v>否</x:v>
      </x:c>
      <x:c r="L1492" s="56" t="str">
        <x:v>按结构化事件证据给予0/部分/满分；不能由总结反推已完成</x:v>
      </x:c>
      <x:c r="M1492" s="56" t="str"/>
      <x:c r="N1492" s="56" t="n">
        <x:f>SUMIFS($G$4:$G$1673,$A$4:$A$1673,A1492)</x:f>
        <x:v>360</x:v>
      </x:c>
      <x:c r="O1492" s="56" t="str">
        <x:f>IF(N1492=360,"通过","失败")</x:f>
        <x:v>通过</x:v>
      </x:c>
      <x:c r="P1492" s="56" t="str"/>
      <x:c r="Q1492" s="59" t="str">
        <x:v>待确认</x:v>
      </x:c>
    </x:row>
    <x:row r="1493">
      <x:c r="A1493" s="56" t="str">
        <x:v>P038</x:v>
      </x:c>
      <x:c r="B1493" s="56" t="str">
        <x:v>HX-ADD-026</x:v>
      </x:c>
      <x:c r="C1493" s="56" t="str">
        <x:v>history</x:v>
      </x:c>
      <x:c r="D1493" s="56" t="n">
        <x:v>50</x:v>
      </x:c>
      <x:c r="E1493" s="56" t="str">
        <x:v>history.flank_pain</x:v>
      </x:c>
      <x:c r="F1493" s="56" t="str">
        <x:v>flank_pain</x:v>
      </x:c>
      <x:c r="G1493" s="56" t="n">
        <x:v>4</x:v>
      </x:c>
      <x:c r="H1493" s="56" t="str">
        <x:v>普通得分项</x:v>
      </x:c>
      <x:c r="I1493" s="56" t="str">
        <x:v>否</x:v>
      </x:c>
      <x:c r="J1493" s="56" t="str">
        <x:v>否</x:v>
      </x:c>
      <x:c r="K1493" s="56" t="str">
        <x:v>否</x:v>
      </x:c>
      <x:c r="L1493" s="56" t="str">
        <x:v>按结构化事件证据给予0/部分/满分；不能由总结反推已完成</x:v>
      </x:c>
      <x:c r="M1493" s="56" t="str"/>
      <x:c r="N1493" s="56" t="n">
        <x:f>SUMIFS($G$4:$G$1673,$A$4:$A$1673,A1493)</x:f>
        <x:v>360</x:v>
      </x:c>
      <x:c r="O1493" s="56" t="str">
        <x:f>IF(N1493=360,"通过","失败")</x:f>
        <x:v>通过</x:v>
      </x:c>
      <x:c r="P1493" s="56" t="str"/>
      <x:c r="Q1493" s="59" t="str">
        <x:v>待确认</x:v>
      </x:c>
    </x:row>
    <x:row r="1494">
      <x:c r="A1494" s="56" t="str">
        <x:v>P038</x:v>
      </x:c>
      <x:c r="B1494" s="56" t="str">
        <x:v>HX-ADD-026</x:v>
      </x:c>
      <x:c r="C1494" s="56" t="str">
        <x:v>history</x:v>
      </x:c>
      <x:c r="D1494" s="56" t="n">
        <x:v>50</x:v>
      </x:c>
      <x:c r="E1494" s="56" t="str">
        <x:v>history.fever_chills</x:v>
      </x:c>
      <x:c r="F1494" s="56" t="str">
        <x:v>fever_chills</x:v>
      </x:c>
      <x:c r="G1494" s="56" t="n">
        <x:v>4</x:v>
      </x:c>
      <x:c r="H1494" s="56" t="str">
        <x:v>普通得分项</x:v>
      </x:c>
      <x:c r="I1494" s="56" t="str">
        <x:v>否</x:v>
      </x:c>
      <x:c r="J1494" s="56" t="str">
        <x:v>否</x:v>
      </x:c>
      <x:c r="K1494" s="56" t="str">
        <x:v>否</x:v>
      </x:c>
      <x:c r="L1494" s="56" t="str">
        <x:v>按结构化事件证据给予0/部分/满分；不能由总结反推已完成</x:v>
      </x:c>
      <x:c r="M1494" s="56" t="str"/>
      <x:c r="N1494" s="56" t="n">
        <x:f>SUMIFS($G$4:$G$1673,$A$4:$A$1673,A1494)</x:f>
        <x:v>360</x:v>
      </x:c>
      <x:c r="O1494" s="56" t="str">
        <x:f>IF(N1494=360,"通过","失败")</x:f>
        <x:v>通过</x:v>
      </x:c>
      <x:c r="P1494" s="56" t="str"/>
      <x:c r="Q1494" s="59" t="str">
        <x:v>待确认</x:v>
      </x:c>
    </x:row>
    <x:row r="1495">
      <x:c r="A1495" s="56" t="str">
        <x:v>P038</x:v>
      </x:c>
      <x:c r="B1495" s="56" t="str">
        <x:v>HX-ADD-026</x:v>
      </x:c>
      <x:c r="C1495" s="56" t="str">
        <x:v>risk</x:v>
      </x:c>
      <x:c r="D1495" s="56" t="n">
        <x:v>40</x:v>
      </x:c>
      <x:c r="E1495" s="56" t="str">
        <x:v>risk.triggers</x:v>
      </x:c>
      <x:c r="F1495" s="56" t="str">
        <x:v>triggers</x:v>
      </x:c>
      <x:c r="G1495" s="56" t="n">
        <x:v>10</x:v>
      </x:c>
      <x:c r="H1495" s="56" t="str">
        <x:v>普通得分项</x:v>
      </x:c>
      <x:c r="I1495" s="56" t="str">
        <x:v>否</x:v>
      </x:c>
      <x:c r="J1495" s="56" t="str">
        <x:v>否</x:v>
      </x:c>
      <x:c r="K1495" s="56" t="str">
        <x:v>否</x:v>
      </x:c>
      <x:c r="L1495" s="56" t="str">
        <x:v>按结构化事件证据给予0/部分/满分；不能由总结反推已完成</x:v>
      </x:c>
      <x:c r="M1495" s="56" t="str"/>
      <x:c r="N1495" s="56" t="n">
        <x:f>SUMIFS($G$4:$G$1673,$A$4:$A$1673,A1495)</x:f>
        <x:v>360</x:v>
      </x:c>
      <x:c r="O1495" s="56" t="str">
        <x:f>IF(N1495=360,"通过","失败")</x:f>
        <x:v>通过</x:v>
      </x:c>
      <x:c r="P1495" s="56" t="str"/>
      <x:c r="Q1495" s="59" t="str">
        <x:v>待确认</x:v>
      </x:c>
    </x:row>
    <x:row r="1496">
      <x:c r="A1496" s="56" t="str">
        <x:v>P038</x:v>
      </x:c>
      <x:c r="B1496" s="56" t="str">
        <x:v>HX-ADD-026</x:v>
      </x:c>
      <x:c r="C1496" s="56" t="str">
        <x:v>risk</x:v>
      </x:c>
      <x:c r="D1496" s="56" t="n">
        <x:v>40</x:v>
      </x:c>
      <x:c r="E1496" s="56" t="str">
        <x:v>risk.bleeding_tendency</x:v>
      </x:c>
      <x:c r="F1496" s="56" t="str">
        <x:v>bleeding_tendency</x:v>
      </x:c>
      <x:c r="G1496" s="56" t="n">
        <x:v>10</x:v>
      </x:c>
      <x:c r="H1496" s="56" t="str">
        <x:v>普通得分项</x:v>
      </x:c>
      <x:c r="I1496" s="56" t="str">
        <x:v>否</x:v>
      </x:c>
      <x:c r="J1496" s="56" t="str">
        <x:v>否</x:v>
      </x:c>
      <x:c r="K1496" s="56" t="str">
        <x:v>否</x:v>
      </x:c>
      <x:c r="L1496" s="56" t="str">
        <x:v>按结构化事件证据给予0/部分/满分；不能由总结反推已完成</x:v>
      </x:c>
      <x:c r="M1496" s="56" t="str"/>
      <x:c r="N1496" s="56" t="n">
        <x:f>SUMIFS($G$4:$G$1673,$A$4:$A$1673,A1496)</x:f>
        <x:v>360</x:v>
      </x:c>
      <x:c r="O1496" s="56" t="str">
        <x:f>IF(N1496=360,"通过","失败")</x:f>
        <x:v>通过</x:v>
      </x:c>
      <x:c r="P1496" s="56" t="str"/>
      <x:c r="Q1496" s="59" t="str">
        <x:v>待确认</x:v>
      </x:c>
    </x:row>
    <x:row r="1497">
      <x:c r="A1497" s="56" t="str">
        <x:v>P038</x:v>
      </x:c>
      <x:c r="B1497" s="56" t="str">
        <x:v>HX-ADD-026</x:v>
      </x:c>
      <x:c r="C1497" s="56" t="str">
        <x:v>risk</x:v>
      </x:c>
      <x:c r="D1497" s="56" t="n">
        <x:v>40</x:v>
      </x:c>
      <x:c r="E1497" s="56" t="str">
        <x:v>risk.anticoagulant</x:v>
      </x:c>
      <x:c r="F1497" s="56" t="str">
        <x:v>anticoagulant</x:v>
      </x:c>
      <x:c r="G1497" s="56" t="n">
        <x:v>10</x:v>
      </x:c>
      <x:c r="H1497" s="56" t="str">
        <x:v>普通得分项</x:v>
      </x:c>
      <x:c r="I1497" s="56" t="str">
        <x:v>否</x:v>
      </x:c>
      <x:c r="J1497" s="56" t="str">
        <x:v>否</x:v>
      </x:c>
      <x:c r="K1497" s="56" t="str">
        <x:v>否</x:v>
      </x:c>
      <x:c r="L1497" s="56" t="str">
        <x:v>按结构化事件证据给予0/部分/满分；不能由总结反推已完成</x:v>
      </x:c>
      <x:c r="M1497" s="56" t="str"/>
      <x:c r="N1497" s="56" t="n">
        <x:f>SUMIFS($G$4:$G$1673,$A$4:$A$1673,A1497)</x:f>
        <x:v>360</x:v>
      </x:c>
      <x:c r="O1497" s="56" t="str">
        <x:f>IF(N1497=360,"通过","失败")</x:f>
        <x:v>通过</x:v>
      </x:c>
      <x:c r="P1497" s="56" t="str"/>
      <x:c r="Q1497" s="59" t="str">
        <x:v>待确认</x:v>
      </x:c>
    </x:row>
    <x:row r="1498">
      <x:c r="A1498" s="56" t="str">
        <x:v>P038</x:v>
      </x:c>
      <x:c r="B1498" s="56" t="str">
        <x:v>HX-ADD-026</x:v>
      </x:c>
      <x:c r="C1498" s="56" t="str">
        <x:v>risk</x:v>
      </x:c>
      <x:c r="D1498" s="56" t="n">
        <x:v>40</x:v>
      </x:c>
      <x:c r="E1498" s="56" t="str">
        <x:v>risk.surgery_history</x:v>
      </x:c>
      <x:c r="F1498" s="56" t="str">
        <x:v>surgery_history</x:v>
      </x:c>
      <x:c r="G1498" s="56" t="n">
        <x:v>10</x:v>
      </x:c>
      <x:c r="H1498" s="56" t="str">
        <x:v>普通得分项</x:v>
      </x:c>
      <x:c r="I1498" s="56" t="str">
        <x:v>否</x:v>
      </x:c>
      <x:c r="J1498" s="56" t="str">
        <x:v>否</x:v>
      </x:c>
      <x:c r="K1498" s="56" t="str">
        <x:v>否</x:v>
      </x:c>
      <x:c r="L1498" s="56" t="str">
        <x:v>按结构化事件证据给予0/部分/满分；不能由总结反推已完成</x:v>
      </x:c>
      <x:c r="M1498" s="56" t="str"/>
      <x:c r="N1498" s="56" t="n">
        <x:f>SUMIFS($G$4:$G$1673,$A$4:$A$1673,A1498)</x:f>
        <x:v>360</x:v>
      </x:c>
      <x:c r="O1498" s="56" t="str">
        <x:f>IF(N1498=360,"通过","失败")</x:f>
        <x:v>通过</x:v>
      </x:c>
      <x:c r="P1498" s="56" t="str"/>
      <x:c r="Q1498" s="59" t="str">
        <x:v>待确认</x:v>
      </x:c>
    </x:row>
    <x:row r="1499">
      <x:c r="A1499" s="56" t="str">
        <x:v>P038</x:v>
      </x:c>
      <x:c r="B1499" s="56" t="str">
        <x:v>HX-ADD-026</x:v>
      </x:c>
      <x:c r="C1499" s="56" t="str">
        <x:v>exam</x:v>
      </x:c>
      <x:c r="D1499" s="56" t="n">
        <x:v>35</x:v>
      </x:c>
      <x:c r="E1499" s="56" t="str">
        <x:v>exam.temperature</x:v>
      </x:c>
      <x:c r="F1499" s="56" t="str">
        <x:v>体温</x:v>
      </x:c>
      <x:c r="G1499" s="56" t="n">
        <x:v>12</x:v>
      </x:c>
      <x:c r="H1499" s="56" t="str">
        <x:v>普通得分项</x:v>
      </x:c>
      <x:c r="I1499" s="56" t="str">
        <x:v>否</x:v>
      </x:c>
      <x:c r="J1499" s="56" t="str">
        <x:v>否</x:v>
      </x:c>
      <x:c r="K1499" s="56" t="str">
        <x:v>否</x:v>
      </x:c>
      <x:c r="L1499" s="56" t="str">
        <x:v>按结构化事件证据给予0/部分/满分；不能由总结反推已完成</x:v>
      </x:c>
      <x:c r="M1499" s="56" t="str"/>
      <x:c r="N1499" s="56" t="n">
        <x:f>SUMIFS($G$4:$G$1673,$A$4:$A$1673,A1499)</x:f>
        <x:v>360</x:v>
      </x:c>
      <x:c r="O1499" s="56" t="str">
        <x:f>IF(N1499=360,"通过","失败")</x:f>
        <x:v>通过</x:v>
      </x:c>
      <x:c r="P1499" s="56" t="str"/>
      <x:c r="Q1499" s="59" t="str">
        <x:v>待确认</x:v>
      </x:c>
    </x:row>
    <x:row r="1500">
      <x:c r="A1500" s="56" t="str">
        <x:v>P038</x:v>
      </x:c>
      <x:c r="B1500" s="56" t="str">
        <x:v>HX-ADD-026</x:v>
      </x:c>
      <x:c r="C1500" s="56" t="str">
        <x:v>exam</x:v>
      </x:c>
      <x:c r="D1500" s="56" t="n">
        <x:v>35</x:v>
      </x:c>
      <x:c r="E1500" s="56" t="str">
        <x:v>exam.blood_pressure</x:v>
      </x:c>
      <x:c r="F1500" s="56" t="str">
        <x:v>血压</x:v>
      </x:c>
      <x:c r="G1500" s="56" t="n">
        <x:v>12</x:v>
      </x:c>
      <x:c r="H1500" s="56" t="str">
        <x:v>普通得分项</x:v>
      </x:c>
      <x:c r="I1500" s="56" t="str">
        <x:v>否</x:v>
      </x:c>
      <x:c r="J1500" s="56" t="str">
        <x:v>否</x:v>
      </x:c>
      <x:c r="K1500" s="56" t="str">
        <x:v>否</x:v>
      </x:c>
      <x:c r="L1500" s="56" t="str">
        <x:v>按结构化事件证据给予0/部分/满分；不能由总结反推已完成</x:v>
      </x:c>
      <x:c r="M1500" s="56" t="str"/>
      <x:c r="N1500" s="56" t="n">
        <x:f>SUMIFS($G$4:$G$1673,$A$4:$A$1673,A1500)</x:f>
        <x:v>360</x:v>
      </x:c>
      <x:c r="O1500" s="56" t="str">
        <x:f>IF(N1500=360,"通过","失败")</x:f>
        <x:v>通过</x:v>
      </x:c>
      <x:c r="P1500" s="56" t="str"/>
      <x:c r="Q1500" s="59" t="str">
        <x:v>待确认</x:v>
      </x:c>
    </x:row>
    <x:row r="1501">
      <x:c r="A1501" s="56" t="str">
        <x:v>P038</x:v>
      </x:c>
      <x:c r="B1501" s="56" t="str">
        <x:v>HX-ADD-026</x:v>
      </x:c>
      <x:c r="C1501" s="56" t="str">
        <x:v>exam</x:v>
      </x:c>
      <x:c r="D1501" s="56" t="n">
        <x:v>35</x:v>
      </x:c>
      <x:c r="E1501" s="56" t="str">
        <x:v>exam.targeted</x:v>
      </x:c>
      <x:c r="F1501" s="56" t="str">
        <x:v>病例针对性查体</x:v>
      </x:c>
      <x:c r="G1501" s="56" t="n">
        <x:v>11</x:v>
      </x:c>
      <x:c r="H1501" s="56" t="str">
        <x:v>普通得分项</x:v>
      </x:c>
      <x:c r="I1501" s="56" t="str">
        <x:v>否</x:v>
      </x:c>
      <x:c r="J1501" s="56" t="str">
        <x:v>否</x:v>
      </x:c>
      <x:c r="K1501" s="56" t="str">
        <x:v>否</x:v>
      </x:c>
      <x:c r="L1501" s="56" t="str">
        <x:v>按结构化事件证据给予0/部分/满分；不能由总结反推已完成</x:v>
      </x:c>
      <x:c r="M1501" s="56" t="str"/>
      <x:c r="N1501" s="56" t="n">
        <x:f>SUMIFS($G$4:$G$1673,$A$4:$A$1673,A1501)</x:f>
        <x:v>360</x:v>
      </x:c>
      <x:c r="O1501" s="56" t="str">
        <x:f>IF(N1501=360,"通过","失败")</x:f>
        <x:v>通过</x:v>
      </x:c>
      <x:c r="P1501" s="56" t="str"/>
      <x:c r="Q1501" s="59" t="str">
        <x:v>待确认</x:v>
      </x:c>
    </x:row>
    <x:row r="1502">
      <x:c r="A1502" s="56" t="str">
        <x:v>P038</x:v>
      </x:c>
      <x:c r="B1502" s="56" t="str">
        <x:v>HX-ADD-026</x:v>
      </x:c>
      <x:c r="C1502" s="56" t="str">
        <x:v>diagnosis</x:v>
      </x:c>
      <x:c r="D1502" s="56" t="n">
        <x:v>45</x:v>
      </x:c>
      <x:c r="E1502" s="56" t="str">
        <x:v>diagnosis.primary</x:v>
      </x:c>
      <x:c r="F1502" s="56" t="str">
        <x:v>最可能诊断及依据</x:v>
      </x:c>
      <x:c r="G1502" s="56" t="n">
        <x:v>15</x:v>
      </x:c>
      <x:c r="H1502" s="56" t="str">
        <x:v>普通得分项</x:v>
      </x:c>
      <x:c r="I1502" s="56" t="str">
        <x:v>否</x:v>
      </x:c>
      <x:c r="J1502" s="56" t="str">
        <x:v>否</x:v>
      </x:c>
      <x:c r="K1502" s="56" t="str">
        <x:v>否</x:v>
      </x:c>
      <x:c r="L1502" s="56" t="str">
        <x:v>按结构化事件证据给予0/部分/满分；不能由总结反推已完成</x:v>
      </x:c>
      <x:c r="M1502" s="56" t="str"/>
      <x:c r="N1502" s="56" t="n">
        <x:f>SUMIFS($G$4:$G$1673,$A$4:$A$1673,A1502)</x:f>
        <x:v>360</x:v>
      </x:c>
      <x:c r="O1502" s="56" t="str">
        <x:f>IF(N1502=360,"通过","失败")</x:f>
        <x:v>通过</x:v>
      </x:c>
      <x:c r="P1502" s="56" t="str"/>
      <x:c r="Q1502" s="59" t="str">
        <x:v>待确认</x:v>
      </x:c>
    </x:row>
    <x:row r="1503">
      <x:c r="A1503" s="56" t="str">
        <x:v>P038</x:v>
      </x:c>
      <x:c r="B1503" s="56" t="str">
        <x:v>HX-ADD-026</x:v>
      </x:c>
      <x:c r="C1503" s="56" t="str">
        <x:v>diagnosis</x:v>
      </x:c>
      <x:c r="D1503" s="56" t="n">
        <x:v>45</x:v>
      </x:c>
      <x:c r="E1503" s="56" t="str">
        <x:v>diagnosis.differentials</x:v>
      </x:c>
      <x:c r="F1503" s="56" t="str">
        <x:v>至少3项鉴别及支持/反对点</x:v>
      </x:c>
      <x:c r="G1503" s="56" t="n">
        <x:v>15</x:v>
      </x:c>
      <x:c r="H1503" s="56" t="str">
        <x:v>普通得分项</x:v>
      </x:c>
      <x:c r="I1503" s="56" t="str">
        <x:v>否</x:v>
      </x:c>
      <x:c r="J1503" s="56" t="str">
        <x:v>否</x:v>
      </x:c>
      <x:c r="K1503" s="56" t="str">
        <x:v>否</x:v>
      </x:c>
      <x:c r="L1503" s="56" t="str">
        <x:v>按结构化事件证据给予0/部分/满分；不能由总结反推已完成</x:v>
      </x:c>
      <x:c r="M1503" s="56" t="str"/>
      <x:c r="N1503" s="56" t="n">
        <x:f>SUMIFS($G$4:$G$1673,$A$4:$A$1673,A1503)</x:f>
        <x:v>360</x:v>
      </x:c>
      <x:c r="O1503" s="56" t="str">
        <x:f>IF(N1503=360,"通过","失败")</x:f>
        <x:v>通过</x:v>
      </x:c>
      <x:c r="P1503" s="56" t="str"/>
      <x:c r="Q1503" s="59" t="str">
        <x:v>待确认</x:v>
      </x:c>
    </x:row>
    <x:row r="1504">
      <x:c r="A1504" s="56" t="str">
        <x:v>P038</x:v>
      </x:c>
      <x:c r="B1504" s="56" t="str">
        <x:v>HX-ADD-026</x:v>
      </x:c>
      <x:c r="C1504" s="56" t="str">
        <x:v>diagnosis</x:v>
      </x:c>
      <x:c r="D1504" s="56" t="n">
        <x:v>45</x:v>
      </x:c>
      <x:c r="E1504" s="56" t="str">
        <x:v>diagnosis.confirmation</x:v>
      </x:c>
      <x:c r="F1504" s="56" t="str">
        <x:v>确认计划</x:v>
      </x:c>
      <x:c r="G1504" s="56" t="n">
        <x:v>15</x:v>
      </x:c>
      <x:c r="H1504" s="56" t="str">
        <x:v>普通得分项</x:v>
      </x:c>
      <x:c r="I1504" s="56" t="str">
        <x:v>否</x:v>
      </x:c>
      <x:c r="J1504" s="56" t="str">
        <x:v>否</x:v>
      </x:c>
      <x:c r="K1504" s="56" t="str">
        <x:v>否</x:v>
      </x:c>
      <x:c r="L1504" s="56" t="str">
        <x:v>按结构化事件证据给予0/部分/满分；不能由总结反推已完成</x:v>
      </x:c>
      <x:c r="M1504" s="56" t="str"/>
      <x:c r="N1504" s="56" t="n">
        <x:f>SUMIFS($G$4:$G$1673,$A$4:$A$1673,A1504)</x:f>
        <x:v>360</x:v>
      </x:c>
      <x:c r="O1504" s="56" t="str">
        <x:f>IF(N1504=360,"通过","失败")</x:f>
        <x:v>通过</x:v>
      </x:c>
      <x:c r="P1504" s="56" t="str"/>
      <x:c r="Q1504" s="59" t="str">
        <x:v>待确认</x:v>
      </x:c>
    </x:row>
    <x:row r="1505">
      <x:c r="A1505" s="56" t="str">
        <x:v>P038</x:v>
      </x:c>
      <x:c r="B1505" s="56" t="str">
        <x:v>HX-ADD-026</x:v>
      </x:c>
      <x:c r="C1505" s="56" t="str">
        <x:v>orders</x:v>
      </x:c>
      <x:c r="D1505" s="56" t="n">
        <x:v>55</x:v>
      </x:c>
      <x:c r="E1505" s="56" t="str">
        <x:v>orders.LAB-BL-001</x:v>
      </x:c>
      <x:c r="F1505" s="56" t="str">
        <x:v>LAB-BL-001</x:v>
      </x:c>
      <x:c r="G1505" s="56" t="n">
        <x:v>14</x:v>
      </x:c>
      <x:c r="H1505" s="56" t="str">
        <x:v>病例特异得分项</x:v>
      </x:c>
      <x:c r="I1505" s="56" t="str">
        <x:v>否</x:v>
      </x:c>
      <x:c r="J1505" s="56" t="str">
        <x:v>否</x:v>
      </x:c>
      <x:c r="K1505" s="56" t="str">
        <x:v>否</x:v>
      </x:c>
      <x:c r="L1505" s="56" t="str">
        <x:v>按结构化事件证据给予0/部分/满分；不能由总结反推已完成</x:v>
      </x:c>
      <x:c r="M1505" s="56" t="str"/>
      <x:c r="N1505" s="56" t="n">
        <x:f>SUMIFS($G$4:$G$1673,$A$4:$A$1673,A1505)</x:f>
        <x:v>360</x:v>
      </x:c>
      <x:c r="O1505" s="56" t="str">
        <x:f>IF(N1505=360,"通过","失败")</x:f>
        <x:v>通过</x:v>
      </x:c>
      <x:c r="P1505" s="56" t="str"/>
      <x:c r="Q1505" s="59" t="str">
        <x:v>待确认</x:v>
      </x:c>
    </x:row>
    <x:row r="1506">
      <x:c r="A1506" s="56" t="str">
        <x:v>P038</x:v>
      </x:c>
      <x:c r="B1506" s="56" t="str">
        <x:v>HX-ADD-026</x:v>
      </x:c>
      <x:c r="C1506" s="56" t="str">
        <x:v>orders</x:v>
      </x:c>
      <x:c r="D1506" s="56" t="n">
        <x:v>55</x:v>
      </x:c>
      <x:c r="E1506" s="56" t="str">
        <x:v>orders.LAB-BL-003</x:v>
      </x:c>
      <x:c r="F1506" s="56" t="str">
        <x:v>LAB-BL-003</x:v>
      </x:c>
      <x:c r="G1506" s="56" t="n">
        <x:v>14</x:v>
      </x:c>
      <x:c r="H1506" s="56" t="str">
        <x:v>病例特异得分项</x:v>
      </x:c>
      <x:c r="I1506" s="56" t="str">
        <x:v>否</x:v>
      </x:c>
      <x:c r="J1506" s="56" t="str">
        <x:v>否</x:v>
      </x:c>
      <x:c r="K1506" s="56" t="str">
        <x:v>否</x:v>
      </x:c>
      <x:c r="L1506" s="56" t="str">
        <x:v>按结构化事件证据给予0/部分/满分；不能由总结反推已完成</x:v>
      </x:c>
      <x:c r="M1506" s="56" t="str"/>
      <x:c r="N1506" s="56" t="n">
        <x:f>SUMIFS($G$4:$G$1673,$A$4:$A$1673,A1506)</x:f>
        <x:v>360</x:v>
      </x:c>
      <x:c r="O1506" s="56" t="str">
        <x:f>IF(N1506=360,"通过","失败")</x:f>
        <x:v>通过</x:v>
      </x:c>
      <x:c r="P1506" s="56" t="str"/>
      <x:c r="Q1506" s="59" t="str">
        <x:v>待确认</x:v>
      </x:c>
    </x:row>
    <x:row r="1507">
      <x:c r="A1507" s="56" t="str">
        <x:v>P038</x:v>
      </x:c>
      <x:c r="B1507" s="56" t="str">
        <x:v>HX-ADD-026</x:v>
      </x:c>
      <x:c r="C1507" s="56" t="str">
        <x:v>orders</x:v>
      </x:c>
      <x:c r="D1507" s="56" t="n">
        <x:v>55</x:v>
      </x:c>
      <x:c r="E1507" s="56" t="str">
        <x:v>orders.LAB-BL-006</x:v>
      </x:c>
      <x:c r="F1507" s="56" t="str">
        <x:v>LAB-BL-006</x:v>
      </x:c>
      <x:c r="G1507" s="56" t="n">
        <x:v>14</x:v>
      </x:c>
      <x:c r="H1507" s="56" t="str">
        <x:v>病例特异得分项</x:v>
      </x:c>
      <x:c r="I1507" s="56" t="str">
        <x:v>否</x:v>
      </x:c>
      <x:c r="J1507" s="56" t="str">
        <x:v>否</x:v>
      </x:c>
      <x:c r="K1507" s="56" t="str">
        <x:v>否</x:v>
      </x:c>
      <x:c r="L1507" s="56" t="str">
        <x:v>按结构化事件证据给予0/部分/满分；不能由总结反推已完成</x:v>
      </x:c>
      <x:c r="M1507" s="56" t="str"/>
      <x:c r="N1507" s="56" t="n">
        <x:f>SUMIFS($G$4:$G$1673,$A$4:$A$1673,A1507)</x:f>
        <x:v>360</x:v>
      </x:c>
      <x:c r="O1507" s="56" t="str">
        <x:f>IF(N1507=360,"通过","失败")</x:f>
        <x:v>通过</x:v>
      </x:c>
      <x:c r="P1507" s="56" t="str"/>
      <x:c r="Q1507" s="59" t="str">
        <x:v>待确认</x:v>
      </x:c>
    </x:row>
    <x:row r="1508">
      <x:c r="A1508" s="56" t="str">
        <x:v>P038</x:v>
      </x:c>
      <x:c r="B1508" s="56" t="str">
        <x:v>HX-ADD-026</x:v>
      </x:c>
      <x:c r="C1508" s="56" t="str">
        <x:v>orders</x:v>
      </x:c>
      <x:c r="D1508" s="56" t="n">
        <x:v>55</x:v>
      </x:c>
      <x:c r="E1508" s="56" t="str">
        <x:v>orders.IMG-CT-005</x:v>
      </x:c>
      <x:c r="F1508" s="56" t="str">
        <x:v>IMG-CT-005</x:v>
      </x:c>
      <x:c r="G1508" s="56" t="n">
        <x:v>13</x:v>
      </x:c>
      <x:c r="H1508" s="56" t="str">
        <x:v>病例特异得分项</x:v>
      </x:c>
      <x:c r="I1508" s="56" t="str">
        <x:v>否</x:v>
      </x:c>
      <x:c r="J1508" s="56" t="str">
        <x:v>否</x:v>
      </x:c>
      <x:c r="K1508" s="56" t="str">
        <x:v>否</x:v>
      </x:c>
      <x:c r="L1508" s="56" t="str">
        <x:v>按结构化事件证据给予0/部分/满分；不能由总结反推已完成</x:v>
      </x:c>
      <x:c r="M1508" s="56" t="str"/>
      <x:c r="N1508" s="56" t="n">
        <x:f>SUMIFS($G$4:$G$1673,$A$4:$A$1673,A1508)</x:f>
        <x:v>360</x:v>
      </x:c>
      <x:c r="O1508" s="56" t="str">
        <x:f>IF(N1508=360,"通过","失败")</x:f>
        <x:v>通过</x:v>
      </x:c>
      <x:c r="P1508" s="56" t="str"/>
      <x:c r="Q1508" s="59" t="str">
        <x:v>待确认</x:v>
      </x:c>
    </x:row>
    <x:row r="1509">
      <x:c r="A1509" s="56" t="str">
        <x:v>P038</x:v>
      </x:c>
      <x:c r="B1509" s="56" t="str">
        <x:v>HX-ADD-026</x:v>
      </x:c>
      <x:c r="C1509" s="56" t="str">
        <x:v>mdt</x:v>
      </x:c>
      <x:c r="D1509" s="56" t="n">
        <x:v>45</x:v>
      </x:c>
      <x:c r="E1509" s="56" t="str">
        <x:v>mdt.department</x:v>
      </x:c>
      <x:c r="F1509" s="56" t="str">
        <x:v>department</x:v>
      </x:c>
      <x:c r="G1509" s="56" t="n">
        <x:v>12</x:v>
      </x:c>
      <x:c r="H1509" s="56" t="str">
        <x:v>病例特异得分项</x:v>
      </x:c>
      <x:c r="I1509" s="56" t="str">
        <x:v>否</x:v>
      </x:c>
      <x:c r="J1509" s="56" t="str">
        <x:v>否</x:v>
      </x:c>
      <x:c r="K1509" s="56" t="str">
        <x:v>否</x:v>
      </x:c>
      <x:c r="L1509" s="56" t="str">
        <x:v>按结构化事件证据给予0/部分/满分；不能由总结反推已完成</x:v>
      </x:c>
      <x:c r="M1509" s="56" t="str"/>
      <x:c r="N1509" s="56" t="n">
        <x:f>SUMIFS($G$4:$G$1673,$A$4:$A$1673,A1509)</x:f>
        <x:v>360</x:v>
      </x:c>
      <x:c r="O1509" s="56" t="str">
        <x:f>IF(N1509=360,"通过","失败")</x:f>
        <x:v>通过</x:v>
      </x:c>
      <x:c r="P1509" s="56" t="str"/>
      <x:c r="Q1509" s="59" t="str">
        <x:v>待确认</x:v>
      </x:c>
    </x:row>
    <x:row r="1510">
      <x:c r="A1510" s="56" t="str">
        <x:v>P038</x:v>
      </x:c>
      <x:c r="B1510" s="56" t="str">
        <x:v>HX-ADD-026</x:v>
      </x:c>
      <x:c r="C1510" s="56" t="str">
        <x:v>mdt</x:v>
      </x:c>
      <x:c r="D1510" s="56" t="n">
        <x:v>45</x:v>
      </x:c>
      <x:c r="E1510" s="56" t="str">
        <x:v>mdt.trigger</x:v>
      </x:c>
      <x:c r="F1510" s="56" t="str">
        <x:v>trigger</x:v>
      </x:c>
      <x:c r="G1510" s="56" t="n">
        <x:v>11</x:v>
      </x:c>
      <x:c r="H1510" s="56" t="str">
        <x:v>病例特异得分项</x:v>
      </x:c>
      <x:c r="I1510" s="56" t="str">
        <x:v>否</x:v>
      </x:c>
      <x:c r="J1510" s="56" t="str">
        <x:v>否</x:v>
      </x:c>
      <x:c r="K1510" s="56" t="str">
        <x:v>否</x:v>
      </x:c>
      <x:c r="L1510" s="56" t="str">
        <x:v>按结构化事件证据给予0/部分/满分；不能由总结反推已完成</x:v>
      </x:c>
      <x:c r="M1510" s="56" t="str"/>
      <x:c r="N1510" s="56" t="n">
        <x:f>SUMIFS($G$4:$G$1673,$A$4:$A$1673,A1510)</x:f>
        <x:v>360</x:v>
      </x:c>
      <x:c r="O1510" s="56" t="str">
        <x:f>IF(N1510=360,"通过","失败")</x:f>
        <x:v>通过</x:v>
      </x:c>
      <x:c r="P1510" s="56" t="str"/>
      <x:c r="Q1510" s="59" t="str">
        <x:v>待确认</x:v>
      </x:c>
    </x:row>
    <x:row r="1511">
      <x:c r="A1511" s="56" t="str">
        <x:v>P038</x:v>
      </x:c>
      <x:c r="B1511" s="56" t="str">
        <x:v>HX-ADD-026</x:v>
      </x:c>
      <x:c r="C1511" s="56" t="str">
        <x:v>mdt</x:v>
      </x:c>
      <x:c r="D1511" s="56" t="n">
        <x:v>45</x:v>
      </x:c>
      <x:c r="E1511" s="56" t="str">
        <x:v>mdt.question</x:v>
      </x:c>
      <x:c r="F1511" s="56" t="str">
        <x:v>question</x:v>
      </x:c>
      <x:c r="G1511" s="56" t="n">
        <x:v>11</x:v>
      </x:c>
      <x:c r="H1511" s="56" t="str">
        <x:v>病例特异得分项</x:v>
      </x:c>
      <x:c r="I1511" s="56" t="str">
        <x:v>否</x:v>
      </x:c>
      <x:c r="J1511" s="56" t="str">
        <x:v>否</x:v>
      </x:c>
      <x:c r="K1511" s="56" t="str">
        <x:v>否</x:v>
      </x:c>
      <x:c r="L1511" s="56" t="str">
        <x:v>按结构化事件证据给予0/部分/满分；不能由总结反推已完成</x:v>
      </x:c>
      <x:c r="M1511" s="56" t="str"/>
      <x:c r="N1511" s="56" t="n">
        <x:f>SUMIFS($G$4:$G$1673,$A$4:$A$1673,A1511)</x:f>
        <x:v>360</x:v>
      </x:c>
      <x:c r="O1511" s="56" t="str">
        <x:f>IF(N1511=360,"通过","失败")</x:f>
        <x:v>通过</x:v>
      </x:c>
      <x:c r="P1511" s="56" t="str"/>
      <x:c r="Q1511" s="59" t="str">
        <x:v>待确认</x:v>
      </x:c>
    </x:row>
    <x:row r="1512">
      <x:c r="A1512" s="56" t="str">
        <x:v>P038</x:v>
      </x:c>
      <x:c r="B1512" s="56" t="str">
        <x:v>HX-ADD-026</x:v>
      </x:c>
      <x:c r="C1512" s="56" t="str">
        <x:v>mdt</x:v>
      </x:c>
      <x:c r="D1512" s="56" t="n">
        <x:v>45</x:v>
      </x:c>
      <x:c r="E1512" s="56" t="str">
        <x:v>mdt.evidence</x:v>
      </x:c>
      <x:c r="F1512" s="56" t="str">
        <x:v>evidence</x:v>
      </x:c>
      <x:c r="G1512" s="56" t="n">
        <x:v>11</x:v>
      </x:c>
      <x:c r="H1512" s="56" t="str">
        <x:v>病例特异得分项</x:v>
      </x:c>
      <x:c r="I1512" s="56" t="str">
        <x:v>否</x:v>
      </x:c>
      <x:c r="J1512" s="56" t="str">
        <x:v>否</x:v>
      </x:c>
      <x:c r="K1512" s="56" t="str">
        <x:v>否</x:v>
      </x:c>
      <x:c r="L1512" s="56" t="str">
        <x:v>按结构化事件证据给予0/部分/满分；不能由总结反推已完成</x:v>
      </x:c>
      <x:c r="M1512" s="56" t="str"/>
      <x:c r="N1512" s="56" t="n">
        <x:f>SUMIFS($G$4:$G$1673,$A$4:$A$1673,A1512)</x:f>
        <x:v>360</x:v>
      </x:c>
      <x:c r="O1512" s="56" t="str">
        <x:f>IF(N1512=360,"通过","失败")</x:f>
        <x:v>通过</x:v>
      </x:c>
      <x:c r="P1512" s="56" t="str"/>
      <x:c r="Q1512" s="59" t="str">
        <x:v>待确认</x:v>
      </x:c>
    </x:row>
    <x:row r="1513">
      <x:c r="A1513" s="56" t="str">
        <x:v>P038</x:v>
      </x:c>
      <x:c r="B1513" s="56" t="str">
        <x:v>HX-ADD-026</x:v>
      </x:c>
      <x:c r="C1513" s="56" t="str">
        <x:v>treatment</x:v>
      </x:c>
      <x:c r="D1513" s="56" t="n">
        <x:v>50</x:v>
      </x:c>
      <x:c r="E1513" s="56" t="str">
        <x:v>treatment.immediate</x:v>
      </x:c>
      <x:c r="F1513" s="56" t="str">
        <x:v>immediate</x:v>
      </x:c>
      <x:c r="G1513" s="56" t="n">
        <x:v>13</x:v>
      </x:c>
      <x:c r="H1513" s="56" t="str">
        <x:v>病例特异得分项</x:v>
      </x:c>
      <x:c r="I1513" s="56" t="str">
        <x:v>否</x:v>
      </x:c>
      <x:c r="J1513" s="56" t="str">
        <x:v>否</x:v>
      </x:c>
      <x:c r="K1513" s="56" t="str">
        <x:v>否</x:v>
      </x:c>
      <x:c r="L1513" s="56" t="str">
        <x:v>按结构化事件证据给予0/部分/满分；不能由总结反推已完成</x:v>
      </x:c>
      <x:c r="M1513" s="56" t="str"/>
      <x:c r="N1513" s="56" t="n">
        <x:f>SUMIFS($G$4:$G$1673,$A$4:$A$1673,A1513)</x:f>
        <x:v>360</x:v>
      </x:c>
      <x:c r="O1513" s="56" t="str">
        <x:f>IF(N1513=360,"通过","失败")</x:f>
        <x:v>通过</x:v>
      </x:c>
      <x:c r="P1513" s="56" t="str"/>
      <x:c r="Q1513" s="59" t="str">
        <x:v>待确认</x:v>
      </x:c>
    </x:row>
    <x:row r="1514">
      <x:c r="A1514" s="56" t="str">
        <x:v>P038</x:v>
      </x:c>
      <x:c r="B1514" s="56" t="str">
        <x:v>HX-ADD-026</x:v>
      </x:c>
      <x:c r="C1514" s="56" t="str">
        <x:v>treatment</x:v>
      </x:c>
      <x:c r="D1514" s="56" t="n">
        <x:v>50</x:v>
      </x:c>
      <x:c r="E1514" s="56" t="str">
        <x:v>treatment.etiologic</x:v>
      </x:c>
      <x:c r="F1514" s="56" t="str">
        <x:v>etiologic</x:v>
      </x:c>
      <x:c r="G1514" s="56" t="n">
        <x:v>13</x:v>
      </x:c>
      <x:c r="H1514" s="56" t="str">
        <x:v>病例特异得分项</x:v>
      </x:c>
      <x:c r="I1514" s="56" t="str">
        <x:v>否</x:v>
      </x:c>
      <x:c r="J1514" s="56" t="str">
        <x:v>否</x:v>
      </x:c>
      <x:c r="K1514" s="56" t="str">
        <x:v>否</x:v>
      </x:c>
      <x:c r="L1514" s="56" t="str">
        <x:v>按结构化事件证据给予0/部分/满分；不能由总结反推已完成</x:v>
      </x:c>
      <x:c r="M1514" s="56" t="str"/>
      <x:c r="N1514" s="56" t="n">
        <x:f>SUMIFS($G$4:$G$1673,$A$4:$A$1673,A1514)</x:f>
        <x:v>360</x:v>
      </x:c>
      <x:c r="O1514" s="56" t="str">
        <x:f>IF(N1514=360,"通过","失败")</x:f>
        <x:v>通过</x:v>
      </x:c>
      <x:c r="P1514" s="56" t="str"/>
      <x:c r="Q1514" s="59" t="str">
        <x:v>待确认</x:v>
      </x:c>
    </x:row>
    <x:row r="1515">
      <x:c r="A1515" s="56" t="str">
        <x:v>P038</x:v>
      </x:c>
      <x:c r="B1515" s="56" t="str">
        <x:v>HX-ADD-026</x:v>
      </x:c>
      <x:c r="C1515" s="56" t="str">
        <x:v>treatment</x:v>
      </x:c>
      <x:c r="D1515" s="56" t="n">
        <x:v>50</x:v>
      </x:c>
      <x:c r="E1515" s="56" t="str">
        <x:v>treatment.definitive</x:v>
      </x:c>
      <x:c r="F1515" s="56" t="str">
        <x:v>definitive</x:v>
      </x:c>
      <x:c r="G1515" s="56" t="n">
        <x:v>12</x:v>
      </x:c>
      <x:c r="H1515" s="56" t="str">
        <x:v>病例特异得分项</x:v>
      </x:c>
      <x:c r="I1515" s="56" t="str">
        <x:v>否</x:v>
      </x:c>
      <x:c r="J1515" s="56" t="str">
        <x:v>否</x:v>
      </x:c>
      <x:c r="K1515" s="56" t="str">
        <x:v>否</x:v>
      </x:c>
      <x:c r="L1515" s="56" t="str">
        <x:v>按结构化事件证据给予0/部分/满分；不能由总结反推已完成</x:v>
      </x:c>
      <x:c r="M1515" s="56" t="str"/>
      <x:c r="N1515" s="56" t="n">
        <x:f>SUMIFS($G$4:$G$1673,$A$4:$A$1673,A1515)</x:f>
        <x:v>360</x:v>
      </x:c>
      <x:c r="O1515" s="56" t="str">
        <x:f>IF(N1515=360,"通过","失败")</x:f>
        <x:v>通过</x:v>
      </x:c>
      <x:c r="P1515" s="56" t="str"/>
      <x:c r="Q1515" s="59" t="str">
        <x:v>待确认</x:v>
      </x:c>
    </x:row>
    <x:row r="1516">
      <x:c r="A1516" s="56" t="str">
        <x:v>P038</x:v>
      </x:c>
      <x:c r="B1516" s="56" t="str">
        <x:v>HX-ADD-026</x:v>
      </x:c>
      <x:c r="C1516" s="56" t="str">
        <x:v>treatment</x:v>
      </x:c>
      <x:c r="D1516" s="56" t="n">
        <x:v>50</x:v>
      </x:c>
      <x:c r="E1516" s="56" t="str">
        <x:v>treatment.perioperative</x:v>
      </x:c>
      <x:c r="F1516" s="56" t="str">
        <x:v>perioperative</x:v>
      </x:c>
      <x:c r="G1516" s="56" t="n">
        <x:v>12</x:v>
      </x:c>
      <x:c r="H1516" s="56" t="str">
        <x:v>病例特异得分项</x:v>
      </x:c>
      <x:c r="I1516" s="56" t="str">
        <x:v>否</x:v>
      </x:c>
      <x:c r="J1516" s="56" t="str">
        <x:v>否</x:v>
      </x:c>
      <x:c r="K1516" s="56" t="str">
        <x:v>否</x:v>
      </x:c>
      <x:c r="L1516" s="56" t="str">
        <x:v>按结构化事件证据给予0/部分/满分；不能由总结反推已完成</x:v>
      </x:c>
      <x:c r="M1516" s="56" t="str"/>
      <x:c r="N1516" s="56" t="n">
        <x:f>SUMIFS($G$4:$G$1673,$A$4:$A$1673,A1516)</x:f>
        <x:v>360</x:v>
      </x:c>
      <x:c r="O1516" s="56" t="str">
        <x:f>IF(N1516=360,"通过","失败")</x:f>
        <x:v>通过</x:v>
      </x:c>
      <x:c r="P1516" s="56" t="str"/>
      <x:c r="Q1516" s="59" t="str">
        <x:v>待确认</x:v>
      </x:c>
    </x:row>
    <x:row r="1517">
      <x:c r="A1517" s="56" t="str">
        <x:v>P038</x:v>
      </x:c>
      <x:c r="B1517" s="56" t="str">
        <x:v>HX-ADD-026</x:v>
      </x:c>
      <x:c r="C1517" s="56" t="str">
        <x:v>followup</x:v>
      </x:c>
      <x:c r="D1517" s="56" t="n">
        <x:v>40</x:v>
      </x:c>
      <x:c r="E1517" s="56" t="str">
        <x:v>followup.plan</x:v>
      </x:c>
      <x:c r="F1517" s="56" t="str">
        <x:v>随访复查</x:v>
      </x:c>
      <x:c r="G1517" s="56" t="n">
        <x:v>10</x:v>
      </x:c>
      <x:c r="H1517" s="56" t="str">
        <x:v>普通得分项</x:v>
      </x:c>
      <x:c r="I1517" s="56" t="str">
        <x:v>否</x:v>
      </x:c>
      <x:c r="J1517" s="56" t="str">
        <x:v>否</x:v>
      </x:c>
      <x:c r="K1517" s="56" t="str">
        <x:v>否</x:v>
      </x:c>
      <x:c r="L1517" s="56" t="str">
        <x:v>按结构化事件证据给予0/部分/满分；不能由总结反推已完成</x:v>
      </x:c>
      <x:c r="M1517" s="56" t="str"/>
      <x:c r="N1517" s="56" t="n">
        <x:f>SUMIFS($G$4:$G$1673,$A$4:$A$1673,A1517)</x:f>
        <x:v>360</x:v>
      </x:c>
      <x:c r="O1517" s="56" t="str">
        <x:f>IF(N1517=360,"通过","失败")</x:f>
        <x:v>通过</x:v>
      </x:c>
      <x:c r="P1517" s="56" t="str"/>
      <x:c r="Q1517" s="59" t="str">
        <x:v>待确认</x:v>
      </x:c>
    </x:row>
    <x:row r="1518">
      <x:c r="A1518" s="56" t="str">
        <x:v>P038</x:v>
      </x:c>
      <x:c r="B1518" s="56" t="str">
        <x:v>HX-ADD-026</x:v>
      </x:c>
      <x:c r="C1518" s="56" t="str">
        <x:v>followup</x:v>
      </x:c>
      <x:c r="D1518" s="56" t="n">
        <x:v>40</x:v>
      </x:c>
      <x:c r="E1518" s="56" t="str">
        <x:v>followup.education</x:v>
      </x:c>
      <x:c r="F1518" s="56" t="str">
        <x:v>患者教育</x:v>
      </x:c>
      <x:c r="G1518" s="56" t="n">
        <x:v>10</x:v>
      </x:c>
      <x:c r="H1518" s="56" t="str">
        <x:v>普通得分项</x:v>
      </x:c>
      <x:c r="I1518" s="56" t="str">
        <x:v>否</x:v>
      </x:c>
      <x:c r="J1518" s="56" t="str">
        <x:v>否</x:v>
      </x:c>
      <x:c r="K1518" s="56" t="str">
        <x:v>否</x:v>
      </x:c>
      <x:c r="L1518" s="56" t="str">
        <x:v>按结构化事件证据给予0/部分/满分；不能由总结反推已完成</x:v>
      </x:c>
      <x:c r="M1518" s="56" t="str"/>
      <x:c r="N1518" s="56" t="n">
        <x:f>SUMIFS($G$4:$G$1673,$A$4:$A$1673,A1518)</x:f>
        <x:v>360</x:v>
      </x:c>
      <x:c r="O1518" s="56" t="str">
        <x:f>IF(N1518=360,"通过","失败")</x:f>
        <x:v>通过</x:v>
      </x:c>
      <x:c r="P1518" s="56" t="str"/>
      <x:c r="Q1518" s="59" t="str">
        <x:v>待确认</x:v>
      </x:c>
    </x:row>
    <x:row r="1519">
      <x:c r="A1519" s="56" t="str">
        <x:v>P038</x:v>
      </x:c>
      <x:c r="B1519" s="56" t="str">
        <x:v>HX-ADD-026</x:v>
      </x:c>
      <x:c r="C1519" s="56" t="str">
        <x:v>followup</x:v>
      </x:c>
      <x:c r="D1519" s="56" t="n">
        <x:v>40</x:v>
      </x:c>
      <x:c r="E1519" s="56" t="str">
        <x:v>followup.reflection</x:v>
      </x:c>
      <x:c r="F1519" s="56" t="str">
        <x:v>学习反思质量</x:v>
      </x:c>
      <x:c r="G1519" s="56" t="n">
        <x:v>10</x:v>
      </x:c>
      <x:c r="H1519" s="56" t="str">
        <x:v>普通得分项</x:v>
      </x:c>
      <x:c r="I1519" s="56" t="str">
        <x:v>否</x:v>
      </x:c>
      <x:c r="J1519" s="56" t="str">
        <x:v>否</x:v>
      </x:c>
      <x:c r="K1519" s="56" t="str">
        <x:v>否</x:v>
      </x:c>
      <x:c r="L1519" s="56" t="str">
        <x:v>按结构化事件证据给予0/部分/满分；不能由总结反推已完成</x:v>
      </x:c>
      <x:c r="M1519" s="56" t="str"/>
      <x:c r="N1519" s="56" t="n">
        <x:f>SUMIFS($G$4:$G$1673,$A$4:$A$1673,A1519)</x:f>
        <x:v>360</x:v>
      </x:c>
      <x:c r="O1519" s="56" t="str">
        <x:f>IF(N1519=360,"通过","失败")</x:f>
        <x:v>通过</x:v>
      </x:c>
      <x:c r="P1519" s="56" t="str"/>
      <x:c r="Q1519" s="59" t="str">
        <x:v>待确认</x:v>
      </x:c>
    </x:row>
    <x:row r="1520">
      <x:c r="A1520" s="56" t="str">
        <x:v>P038</x:v>
      </x:c>
      <x:c r="B1520" s="56" t="str">
        <x:v>HX-ADD-026</x:v>
      </x:c>
      <x:c r="C1520" s="56" t="str">
        <x:v>followup</x:v>
      </x:c>
      <x:c r="D1520" s="56" t="n">
        <x:v>40</x:v>
      </x:c>
      <x:c r="E1520" s="56" t="str">
        <x:v>followup.efficiency</x:v>
      </x:c>
      <x:c r="F1520" s="56" t="str">
        <x:v>操作效率</x:v>
      </x:c>
      <x:c r="G1520" s="56" t="n">
        <x:v>10</x:v>
      </x:c>
      <x:c r="H1520" s="56" t="str">
        <x:v>普通得分项</x:v>
      </x:c>
      <x:c r="I1520" s="56" t="str">
        <x:v>否</x:v>
      </x:c>
      <x:c r="J1520" s="56" t="str">
        <x:v>否</x:v>
      </x:c>
      <x:c r="K1520" s="56" t="str">
        <x:v>否</x:v>
      </x:c>
      <x:c r="L1520" s="56" t="str">
        <x:v>按结构化事件证据给予0/部分/满分；不能由总结反推已完成</x:v>
      </x:c>
      <x:c r="M1520" s="56" t="str"/>
      <x:c r="N1520" s="56" t="n">
        <x:f>SUMIFS($G$4:$G$1673,$A$4:$A$1673,A1520)</x:f>
        <x:v>360</x:v>
      </x:c>
      <x:c r="O1520" s="56" t="str">
        <x:f>IF(N1520=360,"通过","失败")</x:f>
        <x:v>通过</x:v>
      </x:c>
      <x:c r="P1520" s="56" t="str"/>
      <x:c r="Q1520" s="59" t="str">
        <x:v>待确认</x:v>
      </x:c>
    </x:row>
    <x:row r="1521">
      <x:c r="A1521" s="56" t="str">
        <x:v>P038</x:v>
      </x:c>
      <x:c r="B1521" s="56" t="str">
        <x:v>HX-ADD-026</x:v>
      </x:c>
      <x:c r="C1521" s="56" t="str">
        <x:v>safety_gate</x:v>
      </x:c>
      <x:c r="D1521" s="56" t="n">
        <x:v>0</x:v>
      </x:c>
      <x:c r="E1521" s="56" t="str">
        <x:v>safety.P038.1</x:v>
      </x:c>
      <x:c r="F1521" s="56" t="str">
        <x:v>血流动力学不稳定未先进行ABC稳定</x:v>
      </x:c>
      <x:c r="G1521" s="56" t="n">
        <x:v>0</x:v>
      </x:c>
      <x:c r="H1521" s="56" t="str">
        <x:v>患者安全关键项</x:v>
      </x:c>
      <x:c r="I1521" s="56" t="str">
        <x:v>是</x:v>
      </x:c>
      <x:c r="J1521" s="56" t="str">
        <x:v>是</x:v>
      </x:c>
      <x:c r="K1521" s="56" t="str">
        <x:v>是</x:v>
      </x:c>
      <x:c r="L1521" s="56" t="str">
        <x:v>触发时不加分并按专家设定封顶</x:v>
      </x:c>
      <x:c r="M1521" s="56" t="str">
        <x:v>血流动力学不稳定未先进行ABC稳定</x:v>
      </x:c>
      <x:c r="N1521" s="56" t="n">
        <x:f>SUMIFS($G$4:$G$1673,$A$4:$A$1673,A1521)</x:f>
        <x:v>360</x:v>
      </x:c>
      <x:c r="O1521" s="56" t="str">
        <x:f>IF(N1521=360,"通过","失败")</x:f>
        <x:v>通过</x:v>
      </x:c>
      <x:c r="P1521" s="56" t="str"/>
      <x:c r="Q1521" s="59" t="str">
        <x:v>待确认</x:v>
      </x:c>
    </x:row>
    <x:row r="1522">
      <x:c r="A1522" s="56" t="str">
        <x:v>P039</x:v>
      </x:c>
      <x:c r="B1522" s="56" t="str">
        <x:v>HX-ADD-027</x:v>
      </x:c>
      <x:c r="C1522" s="56" t="str">
        <x:v>history</x:v>
      </x:c>
      <x:c r="D1522" s="56" t="n">
        <x:v>50</x:v>
      </x:c>
      <x:c r="E1522" s="56" t="str">
        <x:v>history.hematuria_visibility</x:v>
      </x:c>
      <x:c r="F1522" s="56" t="str">
        <x:v>hematuria_visibility</x:v>
      </x:c>
      <x:c r="G1522" s="56" t="n">
        <x:v>5</x:v>
      </x:c>
      <x:c r="H1522" s="56" t="str">
        <x:v>普通得分项</x:v>
      </x:c>
      <x:c r="I1522" s="56" t="str">
        <x:v>否</x:v>
      </x:c>
      <x:c r="J1522" s="56" t="str">
        <x:v>否</x:v>
      </x:c>
      <x:c r="K1522" s="56" t="str">
        <x:v>否</x:v>
      </x:c>
      <x:c r="L1522" s="56" t="str">
        <x:v>按结构化事件证据给予0/部分/满分；不能由总结反推已完成</x:v>
      </x:c>
      <x:c r="M1522" s="56" t="str"/>
      <x:c r="N1522" s="56" t="n">
        <x:f>SUMIFS($G$4:$G$1673,$A$4:$A$1673,A1522)</x:f>
        <x:v>360</x:v>
      </x:c>
      <x:c r="O1522" s="56" t="str">
        <x:f>IF(N1522=360,"通过","失败")</x:f>
        <x:v>通过</x:v>
      </x:c>
      <x:c r="P1522" s="56" t="str"/>
      <x:c r="Q1522" s="59" t="str">
        <x:v>待确认</x:v>
      </x:c>
    </x:row>
    <x:row r="1523">
      <x:c r="A1523" s="56" t="str">
        <x:v>P039</x:v>
      </x:c>
      <x:c r="B1523" s="56" t="str">
        <x:v>HX-ADD-027</x:v>
      </x:c>
      <x:c r="C1523" s="56" t="str">
        <x:v>history</x:v>
      </x:c>
      <x:c r="D1523" s="56" t="n">
        <x:v>50</x:v>
      </x:c>
      <x:c r="E1523" s="56" t="str">
        <x:v>history.hematuria_onset</x:v>
      </x:c>
      <x:c r="F1523" s="56" t="str">
        <x:v>hematuria_onset</x:v>
      </x:c>
      <x:c r="G1523" s="56" t="n">
        <x:v>5</x:v>
      </x:c>
      <x:c r="H1523" s="56" t="str">
        <x:v>普通得分项</x:v>
      </x:c>
      <x:c r="I1523" s="56" t="str">
        <x:v>否</x:v>
      </x:c>
      <x:c r="J1523" s="56" t="str">
        <x:v>否</x:v>
      </x:c>
      <x:c r="K1523" s="56" t="str">
        <x:v>否</x:v>
      </x:c>
      <x:c r="L1523" s="56" t="str">
        <x:v>按结构化事件证据给予0/部分/满分；不能由总结反推已完成</x:v>
      </x:c>
      <x:c r="M1523" s="56" t="str"/>
      <x:c r="N1523" s="56" t="n">
        <x:f>SUMIFS($G$4:$G$1673,$A$4:$A$1673,A1523)</x:f>
        <x:v>360</x:v>
      </x:c>
      <x:c r="O1523" s="56" t="str">
        <x:f>IF(N1523=360,"通过","失败")</x:f>
        <x:v>通过</x:v>
      </x:c>
      <x:c r="P1523" s="56" t="str"/>
      <x:c r="Q1523" s="59" t="str">
        <x:v>待确认</x:v>
      </x:c>
    </x:row>
    <x:row r="1524">
      <x:c r="A1524" s="56" t="str">
        <x:v>P039</x:v>
      </x:c>
      <x:c r="B1524" s="56" t="str">
        <x:v>HX-ADD-027</x:v>
      </x:c>
      <x:c r="C1524" s="56" t="str">
        <x:v>history</x:v>
      </x:c>
      <x:c r="D1524" s="56" t="n">
        <x:v>50</x:v>
      </x:c>
      <x:c r="E1524" s="56" t="str">
        <x:v>history.hematuria_frequency</x:v>
      </x:c>
      <x:c r="F1524" s="56" t="str">
        <x:v>hematuria_frequency</x:v>
      </x:c>
      <x:c r="G1524" s="56" t="n">
        <x:v>4</x:v>
      </x:c>
      <x:c r="H1524" s="56" t="str">
        <x:v>普通得分项</x:v>
      </x:c>
      <x:c r="I1524" s="56" t="str">
        <x:v>否</x:v>
      </x:c>
      <x:c r="J1524" s="56" t="str">
        <x:v>否</x:v>
      </x:c>
      <x:c r="K1524" s="56" t="str">
        <x:v>否</x:v>
      </x:c>
      <x:c r="L1524" s="56" t="str">
        <x:v>按结构化事件证据给予0/部分/满分；不能由总结反推已完成</x:v>
      </x:c>
      <x:c r="M1524" s="56" t="str"/>
      <x:c r="N1524" s="56" t="n">
        <x:f>SUMIFS($G$4:$G$1673,$A$4:$A$1673,A1524)</x:f>
        <x:v>360</x:v>
      </x:c>
      <x:c r="O1524" s="56" t="str">
        <x:f>IF(N1524=360,"通过","失败")</x:f>
        <x:v>通过</x:v>
      </x:c>
      <x:c r="P1524" s="56" t="str"/>
      <x:c r="Q1524" s="59" t="str">
        <x:v>待确认</x:v>
      </x:c>
    </x:row>
    <x:row r="1525">
      <x:c r="A1525" s="56" t="str">
        <x:v>P039</x:v>
      </x:c>
      <x:c r="B1525" s="56" t="str">
        <x:v>HX-ADD-027</x:v>
      </x:c>
      <x:c r="C1525" s="56" t="str">
        <x:v>history</x:v>
      </x:c>
      <x:c r="D1525" s="56" t="n">
        <x:v>50</x:v>
      </x:c>
      <x:c r="E1525" s="56" t="str">
        <x:v>history.hematuria_phase</x:v>
      </x:c>
      <x:c r="F1525" s="56" t="str">
        <x:v>hematuria_phase</x:v>
      </x:c>
      <x:c r="G1525" s="56" t="n">
        <x:v>4</x:v>
      </x:c>
      <x:c r="H1525" s="56" t="str">
        <x:v>普通得分项</x:v>
      </x:c>
      <x:c r="I1525" s="56" t="str">
        <x:v>否</x:v>
      </x:c>
      <x:c r="J1525" s="56" t="str">
        <x:v>否</x:v>
      </x:c>
      <x:c r="K1525" s="56" t="str">
        <x:v>否</x:v>
      </x:c>
      <x:c r="L1525" s="56" t="str">
        <x:v>按结构化事件证据给予0/部分/满分；不能由总结反推已完成</x:v>
      </x:c>
      <x:c r="M1525" s="56" t="str"/>
      <x:c r="N1525" s="56" t="n">
        <x:f>SUMIFS($G$4:$G$1673,$A$4:$A$1673,A1525)</x:f>
        <x:v>360</x:v>
      </x:c>
      <x:c r="O1525" s="56" t="str">
        <x:f>IF(N1525=360,"通过","失败")</x:f>
        <x:v>通过</x:v>
      </x:c>
      <x:c r="P1525" s="56" t="str"/>
      <x:c r="Q1525" s="59" t="str">
        <x:v>待确认</x:v>
      </x:c>
    </x:row>
    <x:row r="1526">
      <x:c r="A1526" s="56" t="str">
        <x:v>P039</x:v>
      </x:c>
      <x:c r="B1526" s="56" t="str">
        <x:v>HX-ADD-027</x:v>
      </x:c>
      <x:c r="C1526" s="56" t="str">
        <x:v>history</x:v>
      </x:c>
      <x:c r="D1526" s="56" t="n">
        <x:v>50</x:v>
      </x:c>
      <x:c r="E1526" s="56" t="str">
        <x:v>history.urine_color</x:v>
      </x:c>
      <x:c r="F1526" s="56" t="str">
        <x:v>urine_color</x:v>
      </x:c>
      <x:c r="G1526" s="56" t="n">
        <x:v>4</x:v>
      </x:c>
      <x:c r="H1526" s="56" t="str">
        <x:v>普通得分项</x:v>
      </x:c>
      <x:c r="I1526" s="56" t="str">
        <x:v>否</x:v>
      </x:c>
      <x:c r="J1526" s="56" t="str">
        <x:v>否</x:v>
      </x:c>
      <x:c r="K1526" s="56" t="str">
        <x:v>否</x:v>
      </x:c>
      <x:c r="L1526" s="56" t="str">
        <x:v>按结构化事件证据给予0/部分/满分；不能由总结反推已完成</x:v>
      </x:c>
      <x:c r="M1526" s="56" t="str"/>
      <x:c r="N1526" s="56" t="n">
        <x:f>SUMIFS($G$4:$G$1673,$A$4:$A$1673,A1526)</x:f>
        <x:v>360</x:v>
      </x:c>
      <x:c r="O1526" s="56" t="str">
        <x:f>IF(N1526=360,"通过","失败")</x:f>
        <x:v>通过</x:v>
      </x:c>
      <x:c r="P1526" s="56" t="str"/>
      <x:c r="Q1526" s="59" t="str">
        <x:v>待确认</x:v>
      </x:c>
    </x:row>
    <x:row r="1527">
      <x:c r="A1527" s="56" t="str">
        <x:v>P039</x:v>
      </x:c>
      <x:c r="B1527" s="56" t="str">
        <x:v>HX-ADD-027</x:v>
      </x:c>
      <x:c r="C1527" s="56" t="str">
        <x:v>history</x:v>
      </x:c>
      <x:c r="D1527" s="56" t="n">
        <x:v>50</x:v>
      </x:c>
      <x:c r="E1527" s="56" t="str">
        <x:v>history.clots</x:v>
      </x:c>
      <x:c r="F1527" s="56" t="str">
        <x:v>clots</x:v>
      </x:c>
      <x:c r="G1527" s="56" t="n">
        <x:v>4</x:v>
      </x:c>
      <x:c r="H1527" s="56" t="str">
        <x:v>普通得分项</x:v>
      </x:c>
      <x:c r="I1527" s="56" t="str">
        <x:v>否</x:v>
      </x:c>
      <x:c r="J1527" s="56" t="str">
        <x:v>否</x:v>
      </x:c>
      <x:c r="K1527" s="56" t="str">
        <x:v>否</x:v>
      </x:c>
      <x:c r="L1527" s="56" t="str">
        <x:v>按结构化事件证据给予0/部分/满分；不能由总结反推已完成</x:v>
      </x:c>
      <x:c r="M1527" s="56" t="str"/>
      <x:c r="N1527" s="56" t="n">
        <x:f>SUMIFS($G$4:$G$1673,$A$4:$A$1673,A1527)</x:f>
        <x:v>360</x:v>
      </x:c>
      <x:c r="O1527" s="56" t="str">
        <x:f>IF(N1527=360,"通过","失败")</x:f>
        <x:v>通过</x:v>
      </x:c>
      <x:c r="P1527" s="56" t="str"/>
      <x:c r="Q1527" s="59" t="str">
        <x:v>待确认</x:v>
      </x:c>
    </x:row>
    <x:row r="1528">
      <x:c r="A1528" s="56" t="str">
        <x:v>P039</x:v>
      </x:c>
      <x:c r="B1528" s="56" t="str">
        <x:v>HX-ADD-027</x:v>
      </x:c>
      <x:c r="C1528" s="56" t="str">
        <x:v>history</x:v>
      </x:c>
      <x:c r="D1528" s="56" t="n">
        <x:v>50</x:v>
      </x:c>
      <x:c r="E1528" s="56" t="str">
        <x:v>history.pain</x:v>
      </x:c>
      <x:c r="F1528" s="56" t="str">
        <x:v>pain</x:v>
      </x:c>
      <x:c r="G1528" s="56" t="n">
        <x:v>4</x:v>
      </x:c>
      <x:c r="H1528" s="56" t="str">
        <x:v>普通得分项</x:v>
      </x:c>
      <x:c r="I1528" s="56" t="str">
        <x:v>否</x:v>
      </x:c>
      <x:c r="J1528" s="56" t="str">
        <x:v>否</x:v>
      </x:c>
      <x:c r="K1528" s="56" t="str">
        <x:v>否</x:v>
      </x:c>
      <x:c r="L1528" s="56" t="str">
        <x:v>按结构化事件证据给予0/部分/满分；不能由总结反推已完成</x:v>
      </x:c>
      <x:c r="M1528" s="56" t="str"/>
      <x:c r="N1528" s="56" t="n">
        <x:f>SUMIFS($G$4:$G$1673,$A$4:$A$1673,A1528)</x:f>
        <x:v>360</x:v>
      </x:c>
      <x:c r="O1528" s="56" t="str">
        <x:f>IF(N1528=360,"通过","失败")</x:f>
        <x:v>通过</x:v>
      </x:c>
      <x:c r="P1528" s="56" t="str"/>
      <x:c r="Q1528" s="59" t="str">
        <x:v>待确认</x:v>
      </x:c>
    </x:row>
    <x:row r="1529">
      <x:c r="A1529" s="56" t="str">
        <x:v>P039</x:v>
      </x:c>
      <x:c r="B1529" s="56" t="str">
        <x:v>HX-ADD-027</x:v>
      </x:c>
      <x:c r="C1529" s="56" t="str">
        <x:v>history</x:v>
      </x:c>
      <x:c r="D1529" s="56" t="n">
        <x:v>50</x:v>
      </x:c>
      <x:c r="E1529" s="56" t="str">
        <x:v>history.dysuria</x:v>
      </x:c>
      <x:c r="F1529" s="56" t="str">
        <x:v>dysuria</x:v>
      </x:c>
      <x:c r="G1529" s="56" t="n">
        <x:v>4</x:v>
      </x:c>
      <x:c r="H1529" s="56" t="str">
        <x:v>普通得分项</x:v>
      </x:c>
      <x:c r="I1529" s="56" t="str">
        <x:v>否</x:v>
      </x:c>
      <x:c r="J1529" s="56" t="str">
        <x:v>否</x:v>
      </x:c>
      <x:c r="K1529" s="56" t="str">
        <x:v>否</x:v>
      </x:c>
      <x:c r="L1529" s="56" t="str">
        <x:v>按结构化事件证据给予0/部分/满分；不能由总结反推已完成</x:v>
      </x:c>
      <x:c r="M1529" s="56" t="str"/>
      <x:c r="N1529" s="56" t="n">
        <x:f>SUMIFS($G$4:$G$1673,$A$4:$A$1673,A1529)</x:f>
        <x:v>360</x:v>
      </x:c>
      <x:c r="O1529" s="56" t="str">
        <x:f>IF(N1529=360,"通过","失败")</x:f>
        <x:v>通过</x:v>
      </x:c>
      <x:c r="P1529" s="56" t="str"/>
      <x:c r="Q1529" s="59" t="str">
        <x:v>待确认</x:v>
      </x:c>
    </x:row>
    <x:row r="1530">
      <x:c r="A1530" s="56" t="str">
        <x:v>P039</x:v>
      </x:c>
      <x:c r="B1530" s="56" t="str">
        <x:v>HX-ADD-027</x:v>
      </x:c>
      <x:c r="C1530" s="56" t="str">
        <x:v>history</x:v>
      </x:c>
      <x:c r="D1530" s="56" t="n">
        <x:v>50</x:v>
      </x:c>
      <x:c r="E1530" s="56" t="str">
        <x:v>history.urinary_frequency</x:v>
      </x:c>
      <x:c r="F1530" s="56" t="str">
        <x:v>urinary_frequency</x:v>
      </x:c>
      <x:c r="G1530" s="56" t="n">
        <x:v>4</x:v>
      </x:c>
      <x:c r="H1530" s="56" t="str">
        <x:v>普通得分项</x:v>
      </x:c>
      <x:c r="I1530" s="56" t="str">
        <x:v>否</x:v>
      </x:c>
      <x:c r="J1530" s="56" t="str">
        <x:v>否</x:v>
      </x:c>
      <x:c r="K1530" s="56" t="str">
        <x:v>否</x:v>
      </x:c>
      <x:c r="L1530" s="56" t="str">
        <x:v>按结构化事件证据给予0/部分/满分；不能由总结反推已完成</x:v>
      </x:c>
      <x:c r="M1530" s="56" t="str"/>
      <x:c r="N1530" s="56" t="n">
        <x:f>SUMIFS($G$4:$G$1673,$A$4:$A$1673,A1530)</x:f>
        <x:v>360</x:v>
      </x:c>
      <x:c r="O1530" s="56" t="str">
        <x:f>IF(N1530=360,"通过","失败")</x:f>
        <x:v>通过</x:v>
      </x:c>
      <x:c r="P1530" s="56" t="str"/>
      <x:c r="Q1530" s="59" t="str">
        <x:v>待确认</x:v>
      </x:c>
    </x:row>
    <x:row r="1531">
      <x:c r="A1531" s="56" t="str">
        <x:v>P039</x:v>
      </x:c>
      <x:c r="B1531" s="56" t="str">
        <x:v>HX-ADD-027</x:v>
      </x:c>
      <x:c r="C1531" s="56" t="str">
        <x:v>history</x:v>
      </x:c>
      <x:c r="D1531" s="56" t="n">
        <x:v>50</x:v>
      </x:c>
      <x:c r="E1531" s="56" t="str">
        <x:v>history.urinary_urgency</x:v>
      </x:c>
      <x:c r="F1531" s="56" t="str">
        <x:v>urinary_urgency</x:v>
      </x:c>
      <x:c r="G1531" s="56" t="n">
        <x:v>4</x:v>
      </x:c>
      <x:c r="H1531" s="56" t="str">
        <x:v>普通得分项</x:v>
      </x:c>
      <x:c r="I1531" s="56" t="str">
        <x:v>否</x:v>
      </x:c>
      <x:c r="J1531" s="56" t="str">
        <x:v>否</x:v>
      </x:c>
      <x:c r="K1531" s="56" t="str">
        <x:v>否</x:v>
      </x:c>
      <x:c r="L1531" s="56" t="str">
        <x:v>按结构化事件证据给予0/部分/满分；不能由总结反推已完成</x:v>
      </x:c>
      <x:c r="M1531" s="56" t="str"/>
      <x:c r="N1531" s="56" t="n">
        <x:f>SUMIFS($G$4:$G$1673,$A$4:$A$1673,A1531)</x:f>
        <x:v>360</x:v>
      </x:c>
      <x:c r="O1531" s="56" t="str">
        <x:f>IF(N1531=360,"通过","失败")</x:f>
        <x:v>通过</x:v>
      </x:c>
      <x:c r="P1531" s="56" t="str"/>
      <x:c r="Q1531" s="59" t="str">
        <x:v>待确认</x:v>
      </x:c>
    </x:row>
    <x:row r="1532">
      <x:c r="A1532" s="56" t="str">
        <x:v>P039</x:v>
      </x:c>
      <x:c r="B1532" s="56" t="str">
        <x:v>HX-ADD-027</x:v>
      </x:c>
      <x:c r="C1532" s="56" t="str">
        <x:v>history</x:v>
      </x:c>
      <x:c r="D1532" s="56" t="n">
        <x:v>50</x:v>
      </x:c>
      <x:c r="E1532" s="56" t="str">
        <x:v>history.flank_pain</x:v>
      </x:c>
      <x:c r="F1532" s="56" t="str">
        <x:v>flank_pain</x:v>
      </x:c>
      <x:c r="G1532" s="56" t="n">
        <x:v>4</x:v>
      </x:c>
      <x:c r="H1532" s="56" t="str">
        <x:v>普通得分项</x:v>
      </x:c>
      <x:c r="I1532" s="56" t="str">
        <x:v>否</x:v>
      </x:c>
      <x:c r="J1532" s="56" t="str">
        <x:v>否</x:v>
      </x:c>
      <x:c r="K1532" s="56" t="str">
        <x:v>否</x:v>
      </x:c>
      <x:c r="L1532" s="56" t="str">
        <x:v>按结构化事件证据给予0/部分/满分；不能由总结反推已完成</x:v>
      </x:c>
      <x:c r="M1532" s="56" t="str"/>
      <x:c r="N1532" s="56" t="n">
        <x:f>SUMIFS($G$4:$G$1673,$A$4:$A$1673,A1532)</x:f>
        <x:v>360</x:v>
      </x:c>
      <x:c r="O1532" s="56" t="str">
        <x:f>IF(N1532=360,"通过","失败")</x:f>
        <x:v>通过</x:v>
      </x:c>
      <x:c r="P1532" s="56" t="str"/>
      <x:c r="Q1532" s="59" t="str">
        <x:v>待确认</x:v>
      </x:c>
    </x:row>
    <x:row r="1533">
      <x:c r="A1533" s="56" t="str">
        <x:v>P039</x:v>
      </x:c>
      <x:c r="B1533" s="56" t="str">
        <x:v>HX-ADD-027</x:v>
      </x:c>
      <x:c r="C1533" s="56" t="str">
        <x:v>history</x:v>
      </x:c>
      <x:c r="D1533" s="56" t="n">
        <x:v>50</x:v>
      </x:c>
      <x:c r="E1533" s="56" t="str">
        <x:v>history.fever_chills</x:v>
      </x:c>
      <x:c r="F1533" s="56" t="str">
        <x:v>fever_chills</x:v>
      </x:c>
      <x:c r="G1533" s="56" t="n">
        <x:v>4</x:v>
      </x:c>
      <x:c r="H1533" s="56" t="str">
        <x:v>普通得分项</x:v>
      </x:c>
      <x:c r="I1533" s="56" t="str">
        <x:v>否</x:v>
      </x:c>
      <x:c r="J1533" s="56" t="str">
        <x:v>否</x:v>
      </x:c>
      <x:c r="K1533" s="56" t="str">
        <x:v>否</x:v>
      </x:c>
      <x:c r="L1533" s="56" t="str">
        <x:v>按结构化事件证据给予0/部分/满分；不能由总结反推已完成</x:v>
      </x:c>
      <x:c r="M1533" s="56" t="str"/>
      <x:c r="N1533" s="56" t="n">
        <x:f>SUMIFS($G$4:$G$1673,$A$4:$A$1673,A1533)</x:f>
        <x:v>360</x:v>
      </x:c>
      <x:c r="O1533" s="56" t="str">
        <x:f>IF(N1533=360,"通过","失败")</x:f>
        <x:v>通过</x:v>
      </x:c>
      <x:c r="P1533" s="56" t="str"/>
      <x:c r="Q1533" s="59" t="str">
        <x:v>待确认</x:v>
      </x:c>
    </x:row>
    <x:row r="1534">
      <x:c r="A1534" s="56" t="str">
        <x:v>P039</x:v>
      </x:c>
      <x:c r="B1534" s="56" t="str">
        <x:v>HX-ADD-027</x:v>
      </x:c>
      <x:c r="C1534" s="56" t="str">
        <x:v>risk</x:v>
      </x:c>
      <x:c r="D1534" s="56" t="n">
        <x:v>40</x:v>
      </x:c>
      <x:c r="E1534" s="56" t="str">
        <x:v>risk.smoking</x:v>
      </x:c>
      <x:c r="F1534" s="56" t="str">
        <x:v>smoking</x:v>
      </x:c>
      <x:c r="G1534" s="56" t="n">
        <x:v>10</x:v>
      </x:c>
      <x:c r="H1534" s="56" t="str">
        <x:v>普通得分项</x:v>
      </x:c>
      <x:c r="I1534" s="56" t="str">
        <x:v>否</x:v>
      </x:c>
      <x:c r="J1534" s="56" t="str">
        <x:v>否</x:v>
      </x:c>
      <x:c r="K1534" s="56" t="str">
        <x:v>否</x:v>
      </x:c>
      <x:c r="L1534" s="56" t="str">
        <x:v>按结构化事件证据给予0/部分/满分；不能由总结反推已完成</x:v>
      </x:c>
      <x:c r="M1534" s="56" t="str"/>
      <x:c r="N1534" s="56" t="n">
        <x:f>SUMIFS($G$4:$G$1673,$A$4:$A$1673,A1534)</x:f>
        <x:v>360</x:v>
      </x:c>
      <x:c r="O1534" s="56" t="str">
        <x:f>IF(N1534=360,"通过","失败")</x:f>
        <x:v>通过</x:v>
      </x:c>
      <x:c r="P1534" s="56" t="str"/>
      <x:c r="Q1534" s="59" t="str">
        <x:v>待确认</x:v>
      </x:c>
    </x:row>
    <x:row r="1535">
      <x:c r="A1535" s="56" t="str">
        <x:v>P039</x:v>
      </x:c>
      <x:c r="B1535" s="56" t="str">
        <x:v>HX-ADD-027</x:v>
      </x:c>
      <x:c r="C1535" s="56" t="str">
        <x:v>risk</x:v>
      </x:c>
      <x:c r="D1535" s="56" t="n">
        <x:v>40</x:v>
      </x:c>
      <x:c r="E1535" s="56" t="str">
        <x:v>risk.anticoagulant</x:v>
      </x:c>
      <x:c r="F1535" s="56" t="str">
        <x:v>anticoagulant</x:v>
      </x:c>
      <x:c r="G1535" s="56" t="n">
        <x:v>10</x:v>
      </x:c>
      <x:c r="H1535" s="56" t="str">
        <x:v>普通得分项</x:v>
      </x:c>
      <x:c r="I1535" s="56" t="str">
        <x:v>否</x:v>
      </x:c>
      <x:c r="J1535" s="56" t="str">
        <x:v>否</x:v>
      </x:c>
      <x:c r="K1535" s="56" t="str">
        <x:v>否</x:v>
      </x:c>
      <x:c r="L1535" s="56" t="str">
        <x:v>按结构化事件证据给予0/部分/满分；不能由总结反推已完成</x:v>
      </x:c>
      <x:c r="M1535" s="56" t="str"/>
      <x:c r="N1535" s="56" t="n">
        <x:f>SUMIFS($G$4:$G$1673,$A$4:$A$1673,A1535)</x:f>
        <x:v>360</x:v>
      </x:c>
      <x:c r="O1535" s="56" t="str">
        <x:f>IF(N1535=360,"通过","失败")</x:f>
        <x:v>通过</x:v>
      </x:c>
      <x:c r="P1535" s="56" t="str"/>
      <x:c r="Q1535" s="59" t="str">
        <x:v>待确认</x:v>
      </x:c>
    </x:row>
    <x:row r="1536">
      <x:c r="A1536" s="56" t="str">
        <x:v>P039</x:v>
      </x:c>
      <x:c r="B1536" s="56" t="str">
        <x:v>HX-ADD-027</x:v>
      </x:c>
      <x:c r="C1536" s="56" t="str">
        <x:v>risk</x:v>
      </x:c>
      <x:c r="D1536" s="56" t="n">
        <x:v>40</x:v>
      </x:c>
      <x:c r="E1536" s="56" t="str">
        <x:v>risk.family_history</x:v>
      </x:c>
      <x:c r="F1536" s="56" t="str">
        <x:v>family_history</x:v>
      </x:c>
      <x:c r="G1536" s="56" t="n">
        <x:v>10</x:v>
      </x:c>
      <x:c r="H1536" s="56" t="str">
        <x:v>普通得分项</x:v>
      </x:c>
      <x:c r="I1536" s="56" t="str">
        <x:v>否</x:v>
      </x:c>
      <x:c r="J1536" s="56" t="str">
        <x:v>否</x:v>
      </x:c>
      <x:c r="K1536" s="56" t="str">
        <x:v>否</x:v>
      </x:c>
      <x:c r="L1536" s="56" t="str">
        <x:v>按结构化事件证据给予0/部分/满分；不能由总结反推已完成</x:v>
      </x:c>
      <x:c r="M1536" s="56" t="str"/>
      <x:c r="N1536" s="56" t="n">
        <x:f>SUMIFS($G$4:$G$1673,$A$4:$A$1673,A1536)</x:f>
        <x:v>360</x:v>
      </x:c>
      <x:c r="O1536" s="56" t="str">
        <x:f>IF(N1536=360,"通过","失败")</x:f>
        <x:v>通过</x:v>
      </x:c>
      <x:c r="P1536" s="56" t="str"/>
      <x:c r="Q1536" s="59" t="str">
        <x:v>待确认</x:v>
      </x:c>
    </x:row>
    <x:row r="1537">
      <x:c r="A1537" s="56" t="str">
        <x:v>P039</x:v>
      </x:c>
      <x:c r="B1537" s="56" t="str">
        <x:v>HX-ADD-027</x:v>
      </x:c>
      <x:c r="C1537" s="56" t="str">
        <x:v>risk</x:v>
      </x:c>
      <x:c r="D1537" s="56" t="n">
        <x:v>40</x:v>
      </x:c>
      <x:c r="E1537" s="56" t="str">
        <x:v>risk.gynecologic_contamination</x:v>
      </x:c>
      <x:c r="F1537" s="56" t="str">
        <x:v>gynecologic_contamination</x:v>
      </x:c>
      <x:c r="G1537" s="56" t="n">
        <x:v>10</x:v>
      </x:c>
      <x:c r="H1537" s="56" t="str">
        <x:v>普通得分项</x:v>
      </x:c>
      <x:c r="I1537" s="56" t="str">
        <x:v>否</x:v>
      </x:c>
      <x:c r="J1537" s="56" t="str">
        <x:v>否</x:v>
      </x:c>
      <x:c r="K1537" s="56" t="str">
        <x:v>否</x:v>
      </x:c>
      <x:c r="L1537" s="56" t="str">
        <x:v>按结构化事件证据给予0/部分/满分；不能由总结反推已完成</x:v>
      </x:c>
      <x:c r="M1537" s="56" t="str"/>
      <x:c r="N1537" s="56" t="n">
        <x:f>SUMIFS($G$4:$G$1673,$A$4:$A$1673,A1537)</x:f>
        <x:v>360</x:v>
      </x:c>
      <x:c r="O1537" s="56" t="str">
        <x:f>IF(N1537=360,"通过","失败")</x:f>
        <x:v>通过</x:v>
      </x:c>
      <x:c r="P1537" s="56" t="str"/>
      <x:c r="Q1537" s="59" t="str">
        <x:v>待确认</x:v>
      </x:c>
    </x:row>
    <x:row r="1538">
      <x:c r="A1538" s="56" t="str">
        <x:v>P039</x:v>
      </x:c>
      <x:c r="B1538" s="56" t="str">
        <x:v>HX-ADD-027</x:v>
      </x:c>
      <x:c r="C1538" s="56" t="str">
        <x:v>exam</x:v>
      </x:c>
      <x:c r="D1538" s="56" t="n">
        <x:v>35</x:v>
      </x:c>
      <x:c r="E1538" s="56" t="str">
        <x:v>exam.temperature</x:v>
      </x:c>
      <x:c r="F1538" s="56" t="str">
        <x:v>体温</x:v>
      </x:c>
      <x:c r="G1538" s="56" t="n">
        <x:v>12</x:v>
      </x:c>
      <x:c r="H1538" s="56" t="str">
        <x:v>普通得分项</x:v>
      </x:c>
      <x:c r="I1538" s="56" t="str">
        <x:v>否</x:v>
      </x:c>
      <x:c r="J1538" s="56" t="str">
        <x:v>否</x:v>
      </x:c>
      <x:c r="K1538" s="56" t="str">
        <x:v>否</x:v>
      </x:c>
      <x:c r="L1538" s="56" t="str">
        <x:v>按结构化事件证据给予0/部分/满分；不能由总结反推已完成</x:v>
      </x:c>
      <x:c r="M1538" s="56" t="str"/>
      <x:c r="N1538" s="56" t="n">
        <x:f>SUMIFS($G$4:$G$1673,$A$4:$A$1673,A1538)</x:f>
        <x:v>360</x:v>
      </x:c>
      <x:c r="O1538" s="56" t="str">
        <x:f>IF(N1538=360,"通过","失败")</x:f>
        <x:v>通过</x:v>
      </x:c>
      <x:c r="P1538" s="56" t="str"/>
      <x:c r="Q1538" s="59" t="str">
        <x:v>待确认</x:v>
      </x:c>
    </x:row>
    <x:row r="1539">
      <x:c r="A1539" s="56" t="str">
        <x:v>P039</x:v>
      </x:c>
      <x:c r="B1539" s="56" t="str">
        <x:v>HX-ADD-027</x:v>
      </x:c>
      <x:c r="C1539" s="56" t="str">
        <x:v>exam</x:v>
      </x:c>
      <x:c r="D1539" s="56" t="n">
        <x:v>35</x:v>
      </x:c>
      <x:c r="E1539" s="56" t="str">
        <x:v>exam.blood_pressure</x:v>
      </x:c>
      <x:c r="F1539" s="56" t="str">
        <x:v>血压</x:v>
      </x:c>
      <x:c r="G1539" s="56" t="n">
        <x:v>12</x:v>
      </x:c>
      <x:c r="H1539" s="56" t="str">
        <x:v>普通得分项</x:v>
      </x:c>
      <x:c r="I1539" s="56" t="str">
        <x:v>否</x:v>
      </x:c>
      <x:c r="J1539" s="56" t="str">
        <x:v>否</x:v>
      </x:c>
      <x:c r="K1539" s="56" t="str">
        <x:v>否</x:v>
      </x:c>
      <x:c r="L1539" s="56" t="str">
        <x:v>按结构化事件证据给予0/部分/满分；不能由总结反推已完成</x:v>
      </x:c>
      <x:c r="M1539" s="56" t="str"/>
      <x:c r="N1539" s="56" t="n">
        <x:f>SUMIFS($G$4:$G$1673,$A$4:$A$1673,A1539)</x:f>
        <x:v>360</x:v>
      </x:c>
      <x:c r="O1539" s="56" t="str">
        <x:f>IF(N1539=360,"通过","失败")</x:f>
        <x:v>通过</x:v>
      </x:c>
      <x:c r="P1539" s="56" t="str"/>
      <x:c r="Q1539" s="59" t="str">
        <x:v>待确认</x:v>
      </x:c>
    </x:row>
    <x:row r="1540">
      <x:c r="A1540" s="56" t="str">
        <x:v>P039</x:v>
      </x:c>
      <x:c r="B1540" s="56" t="str">
        <x:v>HX-ADD-027</x:v>
      </x:c>
      <x:c r="C1540" s="56" t="str">
        <x:v>exam</x:v>
      </x:c>
      <x:c r="D1540" s="56" t="n">
        <x:v>35</x:v>
      </x:c>
      <x:c r="E1540" s="56" t="str">
        <x:v>exam.targeted</x:v>
      </x:c>
      <x:c r="F1540" s="56" t="str">
        <x:v>病例针对性查体</x:v>
      </x:c>
      <x:c r="G1540" s="56" t="n">
        <x:v>11</x:v>
      </x:c>
      <x:c r="H1540" s="56" t="str">
        <x:v>普通得分项</x:v>
      </x:c>
      <x:c r="I1540" s="56" t="str">
        <x:v>否</x:v>
      </x:c>
      <x:c r="J1540" s="56" t="str">
        <x:v>否</x:v>
      </x:c>
      <x:c r="K1540" s="56" t="str">
        <x:v>否</x:v>
      </x:c>
      <x:c r="L1540" s="56" t="str">
        <x:v>按结构化事件证据给予0/部分/满分；不能由总结反推已完成</x:v>
      </x:c>
      <x:c r="M1540" s="56" t="str"/>
      <x:c r="N1540" s="56" t="n">
        <x:f>SUMIFS($G$4:$G$1673,$A$4:$A$1673,A1540)</x:f>
        <x:v>360</x:v>
      </x:c>
      <x:c r="O1540" s="56" t="str">
        <x:f>IF(N1540=360,"通过","失败")</x:f>
        <x:v>通过</x:v>
      </x:c>
      <x:c r="P1540" s="56" t="str"/>
      <x:c r="Q1540" s="59" t="str">
        <x:v>待确认</x:v>
      </x:c>
    </x:row>
    <x:row r="1541">
      <x:c r="A1541" s="56" t="str">
        <x:v>P039</x:v>
      </x:c>
      <x:c r="B1541" s="56" t="str">
        <x:v>HX-ADD-027</x:v>
      </x:c>
      <x:c r="C1541" s="56" t="str">
        <x:v>diagnosis</x:v>
      </x:c>
      <x:c r="D1541" s="56" t="n">
        <x:v>45</x:v>
      </x:c>
      <x:c r="E1541" s="56" t="str">
        <x:v>diagnosis.primary</x:v>
      </x:c>
      <x:c r="F1541" s="56" t="str">
        <x:v>最可能诊断及依据</x:v>
      </x:c>
      <x:c r="G1541" s="56" t="n">
        <x:v>15</x:v>
      </x:c>
      <x:c r="H1541" s="56" t="str">
        <x:v>普通得分项</x:v>
      </x:c>
      <x:c r="I1541" s="56" t="str">
        <x:v>否</x:v>
      </x:c>
      <x:c r="J1541" s="56" t="str">
        <x:v>否</x:v>
      </x:c>
      <x:c r="K1541" s="56" t="str">
        <x:v>否</x:v>
      </x:c>
      <x:c r="L1541" s="56" t="str">
        <x:v>按结构化事件证据给予0/部分/满分；不能由总结反推已完成</x:v>
      </x:c>
      <x:c r="M1541" s="56" t="str"/>
      <x:c r="N1541" s="56" t="n">
        <x:f>SUMIFS($G$4:$G$1673,$A$4:$A$1673,A1541)</x:f>
        <x:v>360</x:v>
      </x:c>
      <x:c r="O1541" s="56" t="str">
        <x:f>IF(N1541=360,"通过","失败")</x:f>
        <x:v>通过</x:v>
      </x:c>
      <x:c r="P1541" s="56" t="str"/>
      <x:c r="Q1541" s="59" t="str">
        <x:v>待确认</x:v>
      </x:c>
    </x:row>
    <x:row r="1542">
      <x:c r="A1542" s="56" t="str">
        <x:v>P039</x:v>
      </x:c>
      <x:c r="B1542" s="56" t="str">
        <x:v>HX-ADD-027</x:v>
      </x:c>
      <x:c r="C1542" s="56" t="str">
        <x:v>diagnosis</x:v>
      </x:c>
      <x:c r="D1542" s="56" t="n">
        <x:v>45</x:v>
      </x:c>
      <x:c r="E1542" s="56" t="str">
        <x:v>diagnosis.differentials</x:v>
      </x:c>
      <x:c r="F1542" s="56" t="str">
        <x:v>至少3项鉴别及支持/反对点</x:v>
      </x:c>
      <x:c r="G1542" s="56" t="n">
        <x:v>15</x:v>
      </x:c>
      <x:c r="H1542" s="56" t="str">
        <x:v>普通得分项</x:v>
      </x:c>
      <x:c r="I1542" s="56" t="str">
        <x:v>否</x:v>
      </x:c>
      <x:c r="J1542" s="56" t="str">
        <x:v>否</x:v>
      </x:c>
      <x:c r="K1542" s="56" t="str">
        <x:v>否</x:v>
      </x:c>
      <x:c r="L1542" s="56" t="str">
        <x:v>按结构化事件证据给予0/部分/满分；不能由总结反推已完成</x:v>
      </x:c>
      <x:c r="M1542" s="56" t="str"/>
      <x:c r="N1542" s="56" t="n">
        <x:f>SUMIFS($G$4:$G$1673,$A$4:$A$1673,A1542)</x:f>
        <x:v>360</x:v>
      </x:c>
      <x:c r="O1542" s="56" t="str">
        <x:f>IF(N1542=360,"通过","失败")</x:f>
        <x:v>通过</x:v>
      </x:c>
      <x:c r="P1542" s="56" t="str"/>
      <x:c r="Q1542" s="59" t="str">
        <x:v>待确认</x:v>
      </x:c>
    </x:row>
    <x:row r="1543">
      <x:c r="A1543" s="56" t="str">
        <x:v>P039</x:v>
      </x:c>
      <x:c r="B1543" s="56" t="str">
        <x:v>HX-ADD-027</x:v>
      </x:c>
      <x:c r="C1543" s="56" t="str">
        <x:v>diagnosis</x:v>
      </x:c>
      <x:c r="D1543" s="56" t="n">
        <x:v>45</x:v>
      </x:c>
      <x:c r="E1543" s="56" t="str">
        <x:v>diagnosis.confirmation</x:v>
      </x:c>
      <x:c r="F1543" s="56" t="str">
        <x:v>确认计划</x:v>
      </x:c>
      <x:c r="G1543" s="56" t="n">
        <x:v>15</x:v>
      </x:c>
      <x:c r="H1543" s="56" t="str">
        <x:v>普通得分项</x:v>
      </x:c>
      <x:c r="I1543" s="56" t="str">
        <x:v>否</x:v>
      </x:c>
      <x:c r="J1543" s="56" t="str">
        <x:v>否</x:v>
      </x:c>
      <x:c r="K1543" s="56" t="str">
        <x:v>否</x:v>
      </x:c>
      <x:c r="L1543" s="56" t="str">
        <x:v>按结构化事件证据给予0/部分/满分；不能由总结反推已完成</x:v>
      </x:c>
      <x:c r="M1543" s="56" t="str"/>
      <x:c r="N1543" s="56" t="n">
        <x:f>SUMIFS($G$4:$G$1673,$A$4:$A$1673,A1543)</x:f>
        <x:v>360</x:v>
      </x:c>
      <x:c r="O1543" s="56" t="str">
        <x:f>IF(N1543=360,"通过","失败")</x:f>
        <x:v>通过</x:v>
      </x:c>
      <x:c r="P1543" s="56" t="str"/>
      <x:c r="Q1543" s="59" t="str">
        <x:v>待确认</x:v>
      </x:c>
    </x:row>
    <x:row r="1544">
      <x:c r="A1544" s="56" t="str">
        <x:v>P039</x:v>
      </x:c>
      <x:c r="B1544" s="56" t="str">
        <x:v>HX-ADD-027</x:v>
      </x:c>
      <x:c r="C1544" s="56" t="str">
        <x:v>orders</x:v>
      </x:c>
      <x:c r="D1544" s="56" t="n">
        <x:v>55</x:v>
      </x:c>
      <x:c r="E1544" s="56" t="str">
        <x:v>orders.LAB-UR-001</x:v>
      </x:c>
      <x:c r="F1544" s="56" t="str">
        <x:v>LAB-UR-001</x:v>
      </x:c>
      <x:c r="G1544" s="56" t="n">
        <x:v>19</x:v>
      </x:c>
      <x:c r="H1544" s="56" t="str">
        <x:v>病例特异得分项</x:v>
      </x:c>
      <x:c r="I1544" s="56" t="str">
        <x:v>否</x:v>
      </x:c>
      <x:c r="J1544" s="56" t="str">
        <x:v>否</x:v>
      </x:c>
      <x:c r="K1544" s="56" t="str">
        <x:v>否</x:v>
      </x:c>
      <x:c r="L1544" s="56" t="str">
        <x:v>按结构化事件证据给予0/部分/满分；不能由总结反推已完成</x:v>
      </x:c>
      <x:c r="M1544" s="56" t="str"/>
      <x:c r="N1544" s="56" t="n">
        <x:f>SUMIFS($G$4:$G$1673,$A$4:$A$1673,A1544)</x:f>
        <x:v>360</x:v>
      </x:c>
      <x:c r="O1544" s="56" t="str">
        <x:f>IF(N1544=360,"通过","失败")</x:f>
        <x:v>通过</x:v>
      </x:c>
      <x:c r="P1544" s="56" t="str"/>
      <x:c r="Q1544" s="59" t="str">
        <x:v>待确认</x:v>
      </x:c>
    </x:row>
    <x:row r="1545">
      <x:c r="A1545" s="56" t="str">
        <x:v>P039</x:v>
      </x:c>
      <x:c r="B1545" s="56" t="str">
        <x:v>HX-ADD-027</x:v>
      </x:c>
      <x:c r="C1545" s="56" t="str">
        <x:v>orders</x:v>
      </x:c>
      <x:c r="D1545" s="56" t="n">
        <x:v>55</x:v>
      </x:c>
      <x:c r="E1545" s="56" t="str">
        <x:v>orders.LAB-UR-002</x:v>
      </x:c>
      <x:c r="F1545" s="56" t="str">
        <x:v>LAB-UR-002</x:v>
      </x:c>
      <x:c r="G1545" s="56" t="n">
        <x:v>18</x:v>
      </x:c>
      <x:c r="H1545" s="56" t="str">
        <x:v>病例特异得分项</x:v>
      </x:c>
      <x:c r="I1545" s="56" t="str">
        <x:v>否</x:v>
      </x:c>
      <x:c r="J1545" s="56" t="str">
        <x:v>否</x:v>
      </x:c>
      <x:c r="K1545" s="56" t="str">
        <x:v>否</x:v>
      </x:c>
      <x:c r="L1545" s="56" t="str">
        <x:v>按结构化事件证据给予0/部分/满分；不能由总结反推已完成</x:v>
      </x:c>
      <x:c r="M1545" s="56" t="str"/>
      <x:c r="N1545" s="56" t="n">
        <x:f>SUMIFS($G$4:$G$1673,$A$4:$A$1673,A1545)</x:f>
        <x:v>360</x:v>
      </x:c>
      <x:c r="O1545" s="56" t="str">
        <x:f>IF(N1545=360,"通过","失败")</x:f>
        <x:v>通过</x:v>
      </x:c>
      <x:c r="P1545" s="56" t="str"/>
      <x:c r="Q1545" s="59" t="str">
        <x:v>待确认</x:v>
      </x:c>
    </x:row>
    <x:row r="1546">
      <x:c r="A1546" s="56" t="str">
        <x:v>P039</x:v>
      </x:c>
      <x:c r="B1546" s="56" t="str">
        <x:v>HX-ADD-027</x:v>
      </x:c>
      <x:c r="C1546" s="56" t="str">
        <x:v>orders</x:v>
      </x:c>
      <x:c r="D1546" s="56" t="n">
        <x:v>55</x:v>
      </x:c>
      <x:c r="E1546" s="56" t="str">
        <x:v>orders.LAB-BL-003</x:v>
      </x:c>
      <x:c r="F1546" s="56" t="str">
        <x:v>LAB-BL-003</x:v>
      </x:c>
      <x:c r="G1546" s="56" t="n">
        <x:v>18</x:v>
      </x:c>
      <x:c r="H1546" s="56" t="str">
        <x:v>病例特异得分项</x:v>
      </x:c>
      <x:c r="I1546" s="56" t="str">
        <x:v>否</x:v>
      </x:c>
      <x:c r="J1546" s="56" t="str">
        <x:v>否</x:v>
      </x:c>
      <x:c r="K1546" s="56" t="str">
        <x:v>否</x:v>
      </x:c>
      <x:c r="L1546" s="56" t="str">
        <x:v>按结构化事件证据给予0/部分/满分；不能由总结反推已完成</x:v>
      </x:c>
      <x:c r="M1546" s="56" t="str"/>
      <x:c r="N1546" s="56" t="n">
        <x:f>SUMIFS($G$4:$G$1673,$A$4:$A$1673,A1546)</x:f>
        <x:v>360</x:v>
      </x:c>
      <x:c r="O1546" s="56" t="str">
        <x:f>IF(N1546=360,"通过","失败")</x:f>
        <x:v>通过</x:v>
      </x:c>
      <x:c r="P1546" s="56" t="str"/>
      <x:c r="Q1546" s="59" t="str">
        <x:v>待确认</x:v>
      </x:c>
    </x:row>
    <x:row r="1547">
      <x:c r="A1547" s="56" t="str">
        <x:v>P039</x:v>
      </x:c>
      <x:c r="B1547" s="56" t="str">
        <x:v>HX-ADD-027</x:v>
      </x:c>
      <x:c r="C1547" s="56" t="str">
        <x:v>mdt</x:v>
      </x:c>
      <x:c r="D1547" s="56" t="n">
        <x:v>45</x:v>
      </x:c>
      <x:c r="E1547" s="56" t="str">
        <x:v>mdt.department</x:v>
      </x:c>
      <x:c r="F1547" s="56" t="str">
        <x:v>department</x:v>
      </x:c>
      <x:c r="G1547" s="56" t="n">
        <x:v>12</x:v>
      </x:c>
      <x:c r="H1547" s="56" t="str">
        <x:v>病例特异得分项</x:v>
      </x:c>
      <x:c r="I1547" s="56" t="str">
        <x:v>否</x:v>
      </x:c>
      <x:c r="J1547" s="56" t="str">
        <x:v>否</x:v>
      </x:c>
      <x:c r="K1547" s="56" t="str">
        <x:v>否</x:v>
      </x:c>
      <x:c r="L1547" s="56" t="str">
        <x:v>按结构化事件证据给予0/部分/满分；不能由总结反推已完成</x:v>
      </x:c>
      <x:c r="M1547" s="56" t="str"/>
      <x:c r="N1547" s="56" t="n">
        <x:f>SUMIFS($G$4:$G$1673,$A$4:$A$1673,A1547)</x:f>
        <x:v>360</x:v>
      </x:c>
      <x:c r="O1547" s="56" t="str">
        <x:f>IF(N1547=360,"通过","失败")</x:f>
        <x:v>通过</x:v>
      </x:c>
      <x:c r="P1547" s="56" t="str"/>
      <x:c r="Q1547" s="59" t="str">
        <x:v>待确认</x:v>
      </x:c>
    </x:row>
    <x:row r="1548">
      <x:c r="A1548" s="56" t="str">
        <x:v>P039</x:v>
      </x:c>
      <x:c r="B1548" s="56" t="str">
        <x:v>HX-ADD-027</x:v>
      </x:c>
      <x:c r="C1548" s="56" t="str">
        <x:v>mdt</x:v>
      </x:c>
      <x:c r="D1548" s="56" t="n">
        <x:v>45</x:v>
      </x:c>
      <x:c r="E1548" s="56" t="str">
        <x:v>mdt.trigger</x:v>
      </x:c>
      <x:c r="F1548" s="56" t="str">
        <x:v>trigger</x:v>
      </x:c>
      <x:c r="G1548" s="56" t="n">
        <x:v>11</x:v>
      </x:c>
      <x:c r="H1548" s="56" t="str">
        <x:v>病例特异得分项</x:v>
      </x:c>
      <x:c r="I1548" s="56" t="str">
        <x:v>否</x:v>
      </x:c>
      <x:c r="J1548" s="56" t="str">
        <x:v>否</x:v>
      </x:c>
      <x:c r="K1548" s="56" t="str">
        <x:v>否</x:v>
      </x:c>
      <x:c r="L1548" s="56" t="str">
        <x:v>按结构化事件证据给予0/部分/满分；不能由总结反推已完成</x:v>
      </x:c>
      <x:c r="M1548" s="56" t="str"/>
      <x:c r="N1548" s="56" t="n">
        <x:f>SUMIFS($G$4:$G$1673,$A$4:$A$1673,A1548)</x:f>
        <x:v>360</x:v>
      </x:c>
      <x:c r="O1548" s="56" t="str">
        <x:f>IF(N1548=360,"通过","失败")</x:f>
        <x:v>通过</x:v>
      </x:c>
      <x:c r="P1548" s="56" t="str"/>
      <x:c r="Q1548" s="59" t="str">
        <x:v>待确认</x:v>
      </x:c>
    </x:row>
    <x:row r="1549">
      <x:c r="A1549" s="56" t="str">
        <x:v>P039</x:v>
      </x:c>
      <x:c r="B1549" s="56" t="str">
        <x:v>HX-ADD-027</x:v>
      </x:c>
      <x:c r="C1549" s="56" t="str">
        <x:v>mdt</x:v>
      </x:c>
      <x:c r="D1549" s="56" t="n">
        <x:v>45</x:v>
      </x:c>
      <x:c r="E1549" s="56" t="str">
        <x:v>mdt.question</x:v>
      </x:c>
      <x:c r="F1549" s="56" t="str">
        <x:v>question</x:v>
      </x:c>
      <x:c r="G1549" s="56" t="n">
        <x:v>11</x:v>
      </x:c>
      <x:c r="H1549" s="56" t="str">
        <x:v>病例特异得分项</x:v>
      </x:c>
      <x:c r="I1549" s="56" t="str">
        <x:v>否</x:v>
      </x:c>
      <x:c r="J1549" s="56" t="str">
        <x:v>否</x:v>
      </x:c>
      <x:c r="K1549" s="56" t="str">
        <x:v>否</x:v>
      </x:c>
      <x:c r="L1549" s="56" t="str">
        <x:v>按结构化事件证据给予0/部分/满分；不能由总结反推已完成</x:v>
      </x:c>
      <x:c r="M1549" s="56" t="str"/>
      <x:c r="N1549" s="56" t="n">
        <x:f>SUMIFS($G$4:$G$1673,$A$4:$A$1673,A1549)</x:f>
        <x:v>360</x:v>
      </x:c>
      <x:c r="O1549" s="56" t="str">
        <x:f>IF(N1549=360,"通过","失败")</x:f>
        <x:v>通过</x:v>
      </x:c>
      <x:c r="P1549" s="56" t="str"/>
      <x:c r="Q1549" s="59" t="str">
        <x:v>待确认</x:v>
      </x:c>
    </x:row>
    <x:row r="1550">
      <x:c r="A1550" s="56" t="str">
        <x:v>P039</x:v>
      </x:c>
      <x:c r="B1550" s="56" t="str">
        <x:v>HX-ADD-027</x:v>
      </x:c>
      <x:c r="C1550" s="56" t="str">
        <x:v>mdt</x:v>
      </x:c>
      <x:c r="D1550" s="56" t="n">
        <x:v>45</x:v>
      </x:c>
      <x:c r="E1550" s="56" t="str">
        <x:v>mdt.evidence</x:v>
      </x:c>
      <x:c r="F1550" s="56" t="str">
        <x:v>evidence</x:v>
      </x:c>
      <x:c r="G1550" s="56" t="n">
        <x:v>11</x:v>
      </x:c>
      <x:c r="H1550" s="56" t="str">
        <x:v>病例特异得分项</x:v>
      </x:c>
      <x:c r="I1550" s="56" t="str">
        <x:v>否</x:v>
      </x:c>
      <x:c r="J1550" s="56" t="str">
        <x:v>否</x:v>
      </x:c>
      <x:c r="K1550" s="56" t="str">
        <x:v>否</x:v>
      </x:c>
      <x:c r="L1550" s="56" t="str">
        <x:v>按结构化事件证据给予0/部分/满分；不能由总结反推已完成</x:v>
      </x:c>
      <x:c r="M1550" s="56" t="str"/>
      <x:c r="N1550" s="56" t="n">
        <x:f>SUMIFS($G$4:$G$1673,$A$4:$A$1673,A1550)</x:f>
        <x:v>360</x:v>
      </x:c>
      <x:c r="O1550" s="56" t="str">
        <x:f>IF(N1550=360,"通过","失败")</x:f>
        <x:v>通过</x:v>
      </x:c>
      <x:c r="P1550" s="56" t="str"/>
      <x:c r="Q1550" s="59" t="str">
        <x:v>待确认</x:v>
      </x:c>
    </x:row>
    <x:row r="1551">
      <x:c r="A1551" s="56" t="str">
        <x:v>P039</x:v>
      </x:c>
      <x:c r="B1551" s="56" t="str">
        <x:v>HX-ADD-027</x:v>
      </x:c>
      <x:c r="C1551" s="56" t="str">
        <x:v>treatment</x:v>
      </x:c>
      <x:c r="D1551" s="56" t="n">
        <x:v>50</x:v>
      </x:c>
      <x:c r="E1551" s="56" t="str">
        <x:v>treatment.immediate</x:v>
      </x:c>
      <x:c r="F1551" s="56" t="str">
        <x:v>immediate</x:v>
      </x:c>
      <x:c r="G1551" s="56" t="n">
        <x:v>13</x:v>
      </x:c>
      <x:c r="H1551" s="56" t="str">
        <x:v>病例特异得分项</x:v>
      </x:c>
      <x:c r="I1551" s="56" t="str">
        <x:v>否</x:v>
      </x:c>
      <x:c r="J1551" s="56" t="str">
        <x:v>否</x:v>
      </x:c>
      <x:c r="K1551" s="56" t="str">
        <x:v>否</x:v>
      </x:c>
      <x:c r="L1551" s="56" t="str">
        <x:v>按结构化事件证据给予0/部分/满分；不能由总结反推已完成</x:v>
      </x:c>
      <x:c r="M1551" s="56" t="str"/>
      <x:c r="N1551" s="56" t="n">
        <x:f>SUMIFS($G$4:$G$1673,$A$4:$A$1673,A1551)</x:f>
        <x:v>360</x:v>
      </x:c>
      <x:c r="O1551" s="56" t="str">
        <x:f>IF(N1551=360,"通过","失败")</x:f>
        <x:v>通过</x:v>
      </x:c>
      <x:c r="P1551" s="56" t="str"/>
      <x:c r="Q1551" s="59" t="str">
        <x:v>待确认</x:v>
      </x:c>
    </x:row>
    <x:row r="1552">
      <x:c r="A1552" s="56" t="str">
        <x:v>P039</x:v>
      </x:c>
      <x:c r="B1552" s="56" t="str">
        <x:v>HX-ADD-027</x:v>
      </x:c>
      <x:c r="C1552" s="56" t="str">
        <x:v>treatment</x:v>
      </x:c>
      <x:c r="D1552" s="56" t="n">
        <x:v>50</x:v>
      </x:c>
      <x:c r="E1552" s="56" t="str">
        <x:v>treatment.etiologic</x:v>
      </x:c>
      <x:c r="F1552" s="56" t="str">
        <x:v>etiologic</x:v>
      </x:c>
      <x:c r="G1552" s="56" t="n">
        <x:v>13</x:v>
      </x:c>
      <x:c r="H1552" s="56" t="str">
        <x:v>病例特异得分项</x:v>
      </x:c>
      <x:c r="I1552" s="56" t="str">
        <x:v>否</x:v>
      </x:c>
      <x:c r="J1552" s="56" t="str">
        <x:v>否</x:v>
      </x:c>
      <x:c r="K1552" s="56" t="str">
        <x:v>否</x:v>
      </x:c>
      <x:c r="L1552" s="56" t="str">
        <x:v>按结构化事件证据给予0/部分/满分；不能由总结反推已完成</x:v>
      </x:c>
      <x:c r="M1552" s="56" t="str"/>
      <x:c r="N1552" s="56" t="n">
        <x:f>SUMIFS($G$4:$G$1673,$A$4:$A$1673,A1552)</x:f>
        <x:v>360</x:v>
      </x:c>
      <x:c r="O1552" s="56" t="str">
        <x:f>IF(N1552=360,"通过","失败")</x:f>
        <x:v>通过</x:v>
      </x:c>
      <x:c r="P1552" s="56" t="str"/>
      <x:c r="Q1552" s="59" t="str">
        <x:v>待确认</x:v>
      </x:c>
    </x:row>
    <x:row r="1553">
      <x:c r="A1553" s="56" t="str">
        <x:v>P039</x:v>
      </x:c>
      <x:c r="B1553" s="56" t="str">
        <x:v>HX-ADD-027</x:v>
      </x:c>
      <x:c r="C1553" s="56" t="str">
        <x:v>treatment</x:v>
      </x:c>
      <x:c r="D1553" s="56" t="n">
        <x:v>50</x:v>
      </x:c>
      <x:c r="E1553" s="56" t="str">
        <x:v>treatment.definitive</x:v>
      </x:c>
      <x:c r="F1553" s="56" t="str">
        <x:v>definitive</x:v>
      </x:c>
      <x:c r="G1553" s="56" t="n">
        <x:v>12</x:v>
      </x:c>
      <x:c r="H1553" s="56" t="str">
        <x:v>病例特异得分项</x:v>
      </x:c>
      <x:c r="I1553" s="56" t="str">
        <x:v>否</x:v>
      </x:c>
      <x:c r="J1553" s="56" t="str">
        <x:v>否</x:v>
      </x:c>
      <x:c r="K1553" s="56" t="str">
        <x:v>否</x:v>
      </x:c>
      <x:c r="L1553" s="56" t="str">
        <x:v>按结构化事件证据给予0/部分/满分；不能由总结反推已完成</x:v>
      </x:c>
      <x:c r="M1553" s="56" t="str"/>
      <x:c r="N1553" s="56" t="n">
        <x:f>SUMIFS($G$4:$G$1673,$A$4:$A$1673,A1553)</x:f>
        <x:v>360</x:v>
      </x:c>
      <x:c r="O1553" s="56" t="str">
        <x:f>IF(N1553=360,"通过","失败")</x:f>
        <x:v>通过</x:v>
      </x:c>
      <x:c r="P1553" s="56" t="str"/>
      <x:c r="Q1553" s="59" t="str">
        <x:v>待确认</x:v>
      </x:c>
    </x:row>
    <x:row r="1554">
      <x:c r="A1554" s="56" t="str">
        <x:v>P039</x:v>
      </x:c>
      <x:c r="B1554" s="56" t="str">
        <x:v>HX-ADD-027</x:v>
      </x:c>
      <x:c r="C1554" s="56" t="str">
        <x:v>treatment</x:v>
      </x:c>
      <x:c r="D1554" s="56" t="n">
        <x:v>50</x:v>
      </x:c>
      <x:c r="E1554" s="56" t="str">
        <x:v>treatment.perioperative</x:v>
      </x:c>
      <x:c r="F1554" s="56" t="str">
        <x:v>perioperative</x:v>
      </x:c>
      <x:c r="G1554" s="56" t="n">
        <x:v>12</x:v>
      </x:c>
      <x:c r="H1554" s="56" t="str">
        <x:v>病例特异得分项</x:v>
      </x:c>
      <x:c r="I1554" s="56" t="str">
        <x:v>否</x:v>
      </x:c>
      <x:c r="J1554" s="56" t="str">
        <x:v>否</x:v>
      </x:c>
      <x:c r="K1554" s="56" t="str">
        <x:v>否</x:v>
      </x:c>
      <x:c r="L1554" s="56" t="str">
        <x:v>按结构化事件证据给予0/部分/满分；不能由总结反推已完成</x:v>
      </x:c>
      <x:c r="M1554" s="56" t="str"/>
      <x:c r="N1554" s="56" t="n">
        <x:f>SUMIFS($G$4:$G$1673,$A$4:$A$1673,A1554)</x:f>
        <x:v>360</x:v>
      </x:c>
      <x:c r="O1554" s="56" t="str">
        <x:f>IF(N1554=360,"通过","失败")</x:f>
        <x:v>通过</x:v>
      </x:c>
      <x:c r="P1554" s="56" t="str"/>
      <x:c r="Q1554" s="59" t="str">
        <x:v>待确认</x:v>
      </x:c>
    </x:row>
    <x:row r="1555">
      <x:c r="A1555" s="56" t="str">
        <x:v>P039</x:v>
      </x:c>
      <x:c r="B1555" s="56" t="str">
        <x:v>HX-ADD-027</x:v>
      </x:c>
      <x:c r="C1555" s="56" t="str">
        <x:v>followup</x:v>
      </x:c>
      <x:c r="D1555" s="56" t="n">
        <x:v>40</x:v>
      </x:c>
      <x:c r="E1555" s="56" t="str">
        <x:v>followup.plan</x:v>
      </x:c>
      <x:c r="F1555" s="56" t="str">
        <x:v>随访复查</x:v>
      </x:c>
      <x:c r="G1555" s="56" t="n">
        <x:v>10</x:v>
      </x:c>
      <x:c r="H1555" s="56" t="str">
        <x:v>普通得分项</x:v>
      </x:c>
      <x:c r="I1555" s="56" t="str">
        <x:v>否</x:v>
      </x:c>
      <x:c r="J1555" s="56" t="str">
        <x:v>否</x:v>
      </x:c>
      <x:c r="K1555" s="56" t="str">
        <x:v>否</x:v>
      </x:c>
      <x:c r="L1555" s="56" t="str">
        <x:v>按结构化事件证据给予0/部分/满分；不能由总结反推已完成</x:v>
      </x:c>
      <x:c r="M1555" s="56" t="str"/>
      <x:c r="N1555" s="56" t="n">
        <x:f>SUMIFS($G$4:$G$1673,$A$4:$A$1673,A1555)</x:f>
        <x:v>360</x:v>
      </x:c>
      <x:c r="O1555" s="56" t="str">
        <x:f>IF(N1555=360,"通过","失败")</x:f>
        <x:v>通过</x:v>
      </x:c>
      <x:c r="P1555" s="56" t="str"/>
      <x:c r="Q1555" s="59" t="str">
        <x:v>待确认</x:v>
      </x:c>
    </x:row>
    <x:row r="1556">
      <x:c r="A1556" s="56" t="str">
        <x:v>P039</x:v>
      </x:c>
      <x:c r="B1556" s="56" t="str">
        <x:v>HX-ADD-027</x:v>
      </x:c>
      <x:c r="C1556" s="56" t="str">
        <x:v>followup</x:v>
      </x:c>
      <x:c r="D1556" s="56" t="n">
        <x:v>40</x:v>
      </x:c>
      <x:c r="E1556" s="56" t="str">
        <x:v>followup.education</x:v>
      </x:c>
      <x:c r="F1556" s="56" t="str">
        <x:v>患者教育</x:v>
      </x:c>
      <x:c r="G1556" s="56" t="n">
        <x:v>10</x:v>
      </x:c>
      <x:c r="H1556" s="56" t="str">
        <x:v>普通得分项</x:v>
      </x:c>
      <x:c r="I1556" s="56" t="str">
        <x:v>否</x:v>
      </x:c>
      <x:c r="J1556" s="56" t="str">
        <x:v>否</x:v>
      </x:c>
      <x:c r="K1556" s="56" t="str">
        <x:v>否</x:v>
      </x:c>
      <x:c r="L1556" s="56" t="str">
        <x:v>按结构化事件证据给予0/部分/满分；不能由总结反推已完成</x:v>
      </x:c>
      <x:c r="M1556" s="56" t="str"/>
      <x:c r="N1556" s="56" t="n">
        <x:f>SUMIFS($G$4:$G$1673,$A$4:$A$1673,A1556)</x:f>
        <x:v>360</x:v>
      </x:c>
      <x:c r="O1556" s="56" t="str">
        <x:f>IF(N1556=360,"通过","失败")</x:f>
        <x:v>通过</x:v>
      </x:c>
      <x:c r="P1556" s="56" t="str"/>
      <x:c r="Q1556" s="59" t="str">
        <x:v>待确认</x:v>
      </x:c>
    </x:row>
    <x:row r="1557">
      <x:c r="A1557" s="56" t="str">
        <x:v>P039</x:v>
      </x:c>
      <x:c r="B1557" s="56" t="str">
        <x:v>HX-ADD-027</x:v>
      </x:c>
      <x:c r="C1557" s="56" t="str">
        <x:v>followup</x:v>
      </x:c>
      <x:c r="D1557" s="56" t="n">
        <x:v>40</x:v>
      </x:c>
      <x:c r="E1557" s="56" t="str">
        <x:v>followup.reflection</x:v>
      </x:c>
      <x:c r="F1557" s="56" t="str">
        <x:v>学习反思质量</x:v>
      </x:c>
      <x:c r="G1557" s="56" t="n">
        <x:v>10</x:v>
      </x:c>
      <x:c r="H1557" s="56" t="str">
        <x:v>普通得分项</x:v>
      </x:c>
      <x:c r="I1557" s="56" t="str">
        <x:v>否</x:v>
      </x:c>
      <x:c r="J1557" s="56" t="str">
        <x:v>否</x:v>
      </x:c>
      <x:c r="K1557" s="56" t="str">
        <x:v>否</x:v>
      </x:c>
      <x:c r="L1557" s="56" t="str">
        <x:v>按结构化事件证据给予0/部分/满分；不能由总结反推已完成</x:v>
      </x:c>
      <x:c r="M1557" s="56" t="str"/>
      <x:c r="N1557" s="56" t="n">
        <x:f>SUMIFS($G$4:$G$1673,$A$4:$A$1673,A1557)</x:f>
        <x:v>360</x:v>
      </x:c>
      <x:c r="O1557" s="56" t="str">
        <x:f>IF(N1557=360,"通过","失败")</x:f>
        <x:v>通过</x:v>
      </x:c>
      <x:c r="P1557" s="56" t="str"/>
      <x:c r="Q1557" s="59" t="str">
        <x:v>待确认</x:v>
      </x:c>
    </x:row>
    <x:row r="1558">
      <x:c r="A1558" s="56" t="str">
        <x:v>P039</x:v>
      </x:c>
      <x:c r="B1558" s="56" t="str">
        <x:v>HX-ADD-027</x:v>
      </x:c>
      <x:c r="C1558" s="56" t="str">
        <x:v>followup</x:v>
      </x:c>
      <x:c r="D1558" s="56" t="n">
        <x:v>40</x:v>
      </x:c>
      <x:c r="E1558" s="56" t="str">
        <x:v>followup.efficiency</x:v>
      </x:c>
      <x:c r="F1558" s="56" t="str">
        <x:v>操作效率</x:v>
      </x:c>
      <x:c r="G1558" s="56" t="n">
        <x:v>10</x:v>
      </x:c>
      <x:c r="H1558" s="56" t="str">
        <x:v>普通得分项</x:v>
      </x:c>
      <x:c r="I1558" s="56" t="str">
        <x:v>否</x:v>
      </x:c>
      <x:c r="J1558" s="56" t="str">
        <x:v>否</x:v>
      </x:c>
      <x:c r="K1558" s="56" t="str">
        <x:v>否</x:v>
      </x:c>
      <x:c r="L1558" s="56" t="str">
        <x:v>按结构化事件证据给予0/部分/满分；不能由总结反推已完成</x:v>
      </x:c>
      <x:c r="M1558" s="56" t="str"/>
      <x:c r="N1558" s="56" t="n">
        <x:f>SUMIFS($G$4:$G$1673,$A$4:$A$1673,A1558)</x:f>
        <x:v>360</x:v>
      </x:c>
      <x:c r="O1558" s="56" t="str">
        <x:f>IF(N1558=360,"通过","失败")</x:f>
        <x:v>通过</x:v>
      </x:c>
      <x:c r="P1558" s="56" t="str"/>
      <x:c r="Q1558" s="59" t="str">
        <x:v>待确认</x:v>
      </x:c>
    </x:row>
    <x:row r="1559">
      <x:c r="A1559" s="56" t="str">
        <x:v>P040</x:v>
      </x:c>
      <x:c r="B1559" s="56" t="str">
        <x:v>HX-ADD-028</x:v>
      </x:c>
      <x:c r="C1559" s="56" t="str">
        <x:v>history</x:v>
      </x:c>
      <x:c r="D1559" s="56" t="n">
        <x:v>50</x:v>
      </x:c>
      <x:c r="E1559" s="56" t="str">
        <x:v>history.hematuria_visibility</x:v>
      </x:c>
      <x:c r="F1559" s="56" t="str">
        <x:v>hematuria_visibility</x:v>
      </x:c>
      <x:c r="G1559" s="56" t="n">
        <x:v>5</x:v>
      </x:c>
      <x:c r="H1559" s="56" t="str">
        <x:v>普通得分项</x:v>
      </x:c>
      <x:c r="I1559" s="56" t="str">
        <x:v>否</x:v>
      </x:c>
      <x:c r="J1559" s="56" t="str">
        <x:v>否</x:v>
      </x:c>
      <x:c r="K1559" s="56" t="str">
        <x:v>否</x:v>
      </x:c>
      <x:c r="L1559" s="56" t="str">
        <x:v>按结构化事件证据给予0/部分/满分；不能由总结反推已完成</x:v>
      </x:c>
      <x:c r="M1559" s="56" t="str"/>
      <x:c r="N1559" s="56" t="n">
        <x:f>SUMIFS($G$4:$G$1673,$A$4:$A$1673,A1559)</x:f>
        <x:v>360</x:v>
      </x:c>
      <x:c r="O1559" s="56" t="str">
        <x:f>IF(N1559=360,"通过","失败")</x:f>
        <x:v>通过</x:v>
      </x:c>
      <x:c r="P1559" s="56" t="str"/>
      <x:c r="Q1559" s="59" t="str">
        <x:v>待确认</x:v>
      </x:c>
    </x:row>
    <x:row r="1560">
      <x:c r="A1560" s="56" t="str">
        <x:v>P040</x:v>
      </x:c>
      <x:c r="B1560" s="56" t="str">
        <x:v>HX-ADD-028</x:v>
      </x:c>
      <x:c r="C1560" s="56" t="str">
        <x:v>history</x:v>
      </x:c>
      <x:c r="D1560" s="56" t="n">
        <x:v>50</x:v>
      </x:c>
      <x:c r="E1560" s="56" t="str">
        <x:v>history.hematuria_onset</x:v>
      </x:c>
      <x:c r="F1560" s="56" t="str">
        <x:v>hematuria_onset</x:v>
      </x:c>
      <x:c r="G1560" s="56" t="n">
        <x:v>5</x:v>
      </x:c>
      <x:c r="H1560" s="56" t="str">
        <x:v>普通得分项</x:v>
      </x:c>
      <x:c r="I1560" s="56" t="str">
        <x:v>否</x:v>
      </x:c>
      <x:c r="J1560" s="56" t="str">
        <x:v>否</x:v>
      </x:c>
      <x:c r="K1560" s="56" t="str">
        <x:v>否</x:v>
      </x:c>
      <x:c r="L1560" s="56" t="str">
        <x:v>按结构化事件证据给予0/部分/满分；不能由总结反推已完成</x:v>
      </x:c>
      <x:c r="M1560" s="56" t="str"/>
      <x:c r="N1560" s="56" t="n">
        <x:f>SUMIFS($G$4:$G$1673,$A$4:$A$1673,A1560)</x:f>
        <x:v>360</x:v>
      </x:c>
      <x:c r="O1560" s="56" t="str">
        <x:f>IF(N1560=360,"通过","失败")</x:f>
        <x:v>通过</x:v>
      </x:c>
      <x:c r="P1560" s="56" t="str"/>
      <x:c r="Q1560" s="59" t="str">
        <x:v>待确认</x:v>
      </x:c>
    </x:row>
    <x:row r="1561">
      <x:c r="A1561" s="56" t="str">
        <x:v>P040</x:v>
      </x:c>
      <x:c r="B1561" s="56" t="str">
        <x:v>HX-ADD-028</x:v>
      </x:c>
      <x:c r="C1561" s="56" t="str">
        <x:v>history</x:v>
      </x:c>
      <x:c r="D1561" s="56" t="n">
        <x:v>50</x:v>
      </x:c>
      <x:c r="E1561" s="56" t="str">
        <x:v>history.hematuria_frequency</x:v>
      </x:c>
      <x:c r="F1561" s="56" t="str">
        <x:v>hematuria_frequency</x:v>
      </x:c>
      <x:c r="G1561" s="56" t="n">
        <x:v>4</x:v>
      </x:c>
      <x:c r="H1561" s="56" t="str">
        <x:v>普通得分项</x:v>
      </x:c>
      <x:c r="I1561" s="56" t="str">
        <x:v>否</x:v>
      </x:c>
      <x:c r="J1561" s="56" t="str">
        <x:v>否</x:v>
      </x:c>
      <x:c r="K1561" s="56" t="str">
        <x:v>否</x:v>
      </x:c>
      <x:c r="L1561" s="56" t="str">
        <x:v>按结构化事件证据给予0/部分/满分；不能由总结反推已完成</x:v>
      </x:c>
      <x:c r="M1561" s="56" t="str"/>
      <x:c r="N1561" s="56" t="n">
        <x:f>SUMIFS($G$4:$G$1673,$A$4:$A$1673,A1561)</x:f>
        <x:v>360</x:v>
      </x:c>
      <x:c r="O1561" s="56" t="str">
        <x:f>IF(N1561=360,"通过","失败")</x:f>
        <x:v>通过</x:v>
      </x:c>
      <x:c r="P1561" s="56" t="str"/>
      <x:c r="Q1561" s="59" t="str">
        <x:v>待确认</x:v>
      </x:c>
    </x:row>
    <x:row r="1562">
      <x:c r="A1562" s="56" t="str">
        <x:v>P040</x:v>
      </x:c>
      <x:c r="B1562" s="56" t="str">
        <x:v>HX-ADD-028</x:v>
      </x:c>
      <x:c r="C1562" s="56" t="str">
        <x:v>history</x:v>
      </x:c>
      <x:c r="D1562" s="56" t="n">
        <x:v>50</x:v>
      </x:c>
      <x:c r="E1562" s="56" t="str">
        <x:v>history.hematuria_phase</x:v>
      </x:c>
      <x:c r="F1562" s="56" t="str">
        <x:v>hematuria_phase</x:v>
      </x:c>
      <x:c r="G1562" s="56" t="n">
        <x:v>4</x:v>
      </x:c>
      <x:c r="H1562" s="56" t="str">
        <x:v>普通得分项</x:v>
      </x:c>
      <x:c r="I1562" s="56" t="str">
        <x:v>否</x:v>
      </x:c>
      <x:c r="J1562" s="56" t="str">
        <x:v>否</x:v>
      </x:c>
      <x:c r="K1562" s="56" t="str">
        <x:v>否</x:v>
      </x:c>
      <x:c r="L1562" s="56" t="str">
        <x:v>按结构化事件证据给予0/部分/满分；不能由总结反推已完成</x:v>
      </x:c>
      <x:c r="M1562" s="56" t="str"/>
      <x:c r="N1562" s="56" t="n">
        <x:f>SUMIFS($G$4:$G$1673,$A$4:$A$1673,A1562)</x:f>
        <x:v>360</x:v>
      </x:c>
      <x:c r="O1562" s="56" t="str">
        <x:f>IF(N1562=360,"通过","失败")</x:f>
        <x:v>通过</x:v>
      </x:c>
      <x:c r="P1562" s="56" t="str"/>
      <x:c r="Q1562" s="59" t="str">
        <x:v>待确认</x:v>
      </x:c>
    </x:row>
    <x:row r="1563">
      <x:c r="A1563" s="56" t="str">
        <x:v>P040</x:v>
      </x:c>
      <x:c r="B1563" s="56" t="str">
        <x:v>HX-ADD-028</x:v>
      </x:c>
      <x:c r="C1563" s="56" t="str">
        <x:v>history</x:v>
      </x:c>
      <x:c r="D1563" s="56" t="n">
        <x:v>50</x:v>
      </x:c>
      <x:c r="E1563" s="56" t="str">
        <x:v>history.urine_color</x:v>
      </x:c>
      <x:c r="F1563" s="56" t="str">
        <x:v>urine_color</x:v>
      </x:c>
      <x:c r="G1563" s="56" t="n">
        <x:v>4</x:v>
      </x:c>
      <x:c r="H1563" s="56" t="str">
        <x:v>普通得分项</x:v>
      </x:c>
      <x:c r="I1563" s="56" t="str">
        <x:v>否</x:v>
      </x:c>
      <x:c r="J1563" s="56" t="str">
        <x:v>否</x:v>
      </x:c>
      <x:c r="K1563" s="56" t="str">
        <x:v>否</x:v>
      </x:c>
      <x:c r="L1563" s="56" t="str">
        <x:v>按结构化事件证据给予0/部分/满分；不能由总结反推已完成</x:v>
      </x:c>
      <x:c r="M1563" s="56" t="str"/>
      <x:c r="N1563" s="56" t="n">
        <x:f>SUMIFS($G$4:$G$1673,$A$4:$A$1673,A1563)</x:f>
        <x:v>360</x:v>
      </x:c>
      <x:c r="O1563" s="56" t="str">
        <x:f>IF(N1563=360,"通过","失败")</x:f>
        <x:v>通过</x:v>
      </x:c>
      <x:c r="P1563" s="56" t="str"/>
      <x:c r="Q1563" s="59" t="str">
        <x:v>待确认</x:v>
      </x:c>
    </x:row>
    <x:row r="1564">
      <x:c r="A1564" s="56" t="str">
        <x:v>P040</x:v>
      </x:c>
      <x:c r="B1564" s="56" t="str">
        <x:v>HX-ADD-028</x:v>
      </x:c>
      <x:c r="C1564" s="56" t="str">
        <x:v>history</x:v>
      </x:c>
      <x:c r="D1564" s="56" t="n">
        <x:v>50</x:v>
      </x:c>
      <x:c r="E1564" s="56" t="str">
        <x:v>history.clots</x:v>
      </x:c>
      <x:c r="F1564" s="56" t="str">
        <x:v>clots</x:v>
      </x:c>
      <x:c r="G1564" s="56" t="n">
        <x:v>4</x:v>
      </x:c>
      <x:c r="H1564" s="56" t="str">
        <x:v>普通得分项</x:v>
      </x:c>
      <x:c r="I1564" s="56" t="str">
        <x:v>否</x:v>
      </x:c>
      <x:c r="J1564" s="56" t="str">
        <x:v>否</x:v>
      </x:c>
      <x:c r="K1564" s="56" t="str">
        <x:v>否</x:v>
      </x:c>
      <x:c r="L1564" s="56" t="str">
        <x:v>按结构化事件证据给予0/部分/满分；不能由总结反推已完成</x:v>
      </x:c>
      <x:c r="M1564" s="56" t="str"/>
      <x:c r="N1564" s="56" t="n">
        <x:f>SUMIFS($G$4:$G$1673,$A$4:$A$1673,A1564)</x:f>
        <x:v>360</x:v>
      </x:c>
      <x:c r="O1564" s="56" t="str">
        <x:f>IF(N1564=360,"通过","失败")</x:f>
        <x:v>通过</x:v>
      </x:c>
      <x:c r="P1564" s="56" t="str"/>
      <x:c r="Q1564" s="59" t="str">
        <x:v>待确认</x:v>
      </x:c>
    </x:row>
    <x:row r="1565">
      <x:c r="A1565" s="56" t="str">
        <x:v>P040</x:v>
      </x:c>
      <x:c r="B1565" s="56" t="str">
        <x:v>HX-ADD-028</x:v>
      </x:c>
      <x:c r="C1565" s="56" t="str">
        <x:v>history</x:v>
      </x:c>
      <x:c r="D1565" s="56" t="n">
        <x:v>50</x:v>
      </x:c>
      <x:c r="E1565" s="56" t="str">
        <x:v>history.pain</x:v>
      </x:c>
      <x:c r="F1565" s="56" t="str">
        <x:v>pain</x:v>
      </x:c>
      <x:c r="G1565" s="56" t="n">
        <x:v>4</x:v>
      </x:c>
      <x:c r="H1565" s="56" t="str">
        <x:v>普通得分项</x:v>
      </x:c>
      <x:c r="I1565" s="56" t="str">
        <x:v>否</x:v>
      </x:c>
      <x:c r="J1565" s="56" t="str">
        <x:v>否</x:v>
      </x:c>
      <x:c r="K1565" s="56" t="str">
        <x:v>否</x:v>
      </x:c>
      <x:c r="L1565" s="56" t="str">
        <x:v>按结构化事件证据给予0/部分/满分；不能由总结反推已完成</x:v>
      </x:c>
      <x:c r="M1565" s="56" t="str"/>
      <x:c r="N1565" s="56" t="n">
        <x:f>SUMIFS($G$4:$G$1673,$A$4:$A$1673,A1565)</x:f>
        <x:v>360</x:v>
      </x:c>
      <x:c r="O1565" s="56" t="str">
        <x:f>IF(N1565=360,"通过","失败")</x:f>
        <x:v>通过</x:v>
      </x:c>
      <x:c r="P1565" s="56" t="str"/>
      <x:c r="Q1565" s="59" t="str">
        <x:v>待确认</x:v>
      </x:c>
    </x:row>
    <x:row r="1566">
      <x:c r="A1566" s="56" t="str">
        <x:v>P040</x:v>
      </x:c>
      <x:c r="B1566" s="56" t="str">
        <x:v>HX-ADD-028</x:v>
      </x:c>
      <x:c r="C1566" s="56" t="str">
        <x:v>history</x:v>
      </x:c>
      <x:c r="D1566" s="56" t="n">
        <x:v>50</x:v>
      </x:c>
      <x:c r="E1566" s="56" t="str">
        <x:v>history.dysuria</x:v>
      </x:c>
      <x:c r="F1566" s="56" t="str">
        <x:v>dysuria</x:v>
      </x:c>
      <x:c r="G1566" s="56" t="n">
        <x:v>4</x:v>
      </x:c>
      <x:c r="H1566" s="56" t="str">
        <x:v>普通得分项</x:v>
      </x:c>
      <x:c r="I1566" s="56" t="str">
        <x:v>否</x:v>
      </x:c>
      <x:c r="J1566" s="56" t="str">
        <x:v>否</x:v>
      </x:c>
      <x:c r="K1566" s="56" t="str">
        <x:v>否</x:v>
      </x:c>
      <x:c r="L1566" s="56" t="str">
        <x:v>按结构化事件证据给予0/部分/满分；不能由总结反推已完成</x:v>
      </x:c>
      <x:c r="M1566" s="56" t="str"/>
      <x:c r="N1566" s="56" t="n">
        <x:f>SUMIFS($G$4:$G$1673,$A$4:$A$1673,A1566)</x:f>
        <x:v>360</x:v>
      </x:c>
      <x:c r="O1566" s="56" t="str">
        <x:f>IF(N1566=360,"通过","失败")</x:f>
        <x:v>通过</x:v>
      </x:c>
      <x:c r="P1566" s="56" t="str"/>
      <x:c r="Q1566" s="59" t="str">
        <x:v>待确认</x:v>
      </x:c>
    </x:row>
    <x:row r="1567">
      <x:c r="A1567" s="56" t="str">
        <x:v>P040</x:v>
      </x:c>
      <x:c r="B1567" s="56" t="str">
        <x:v>HX-ADD-028</x:v>
      </x:c>
      <x:c r="C1567" s="56" t="str">
        <x:v>history</x:v>
      </x:c>
      <x:c r="D1567" s="56" t="n">
        <x:v>50</x:v>
      </x:c>
      <x:c r="E1567" s="56" t="str">
        <x:v>history.urinary_frequency</x:v>
      </x:c>
      <x:c r="F1567" s="56" t="str">
        <x:v>urinary_frequency</x:v>
      </x:c>
      <x:c r="G1567" s="56" t="n">
        <x:v>4</x:v>
      </x:c>
      <x:c r="H1567" s="56" t="str">
        <x:v>普通得分项</x:v>
      </x:c>
      <x:c r="I1567" s="56" t="str">
        <x:v>否</x:v>
      </x:c>
      <x:c r="J1567" s="56" t="str">
        <x:v>否</x:v>
      </x:c>
      <x:c r="K1567" s="56" t="str">
        <x:v>否</x:v>
      </x:c>
      <x:c r="L1567" s="56" t="str">
        <x:v>按结构化事件证据给予0/部分/满分；不能由总结反推已完成</x:v>
      </x:c>
      <x:c r="M1567" s="56" t="str"/>
      <x:c r="N1567" s="56" t="n">
        <x:f>SUMIFS($G$4:$G$1673,$A$4:$A$1673,A1567)</x:f>
        <x:v>360</x:v>
      </x:c>
      <x:c r="O1567" s="56" t="str">
        <x:f>IF(N1567=360,"通过","失败")</x:f>
        <x:v>通过</x:v>
      </x:c>
      <x:c r="P1567" s="56" t="str"/>
      <x:c r="Q1567" s="59" t="str">
        <x:v>待确认</x:v>
      </x:c>
    </x:row>
    <x:row r="1568">
      <x:c r="A1568" s="56" t="str">
        <x:v>P040</x:v>
      </x:c>
      <x:c r="B1568" s="56" t="str">
        <x:v>HX-ADD-028</x:v>
      </x:c>
      <x:c r="C1568" s="56" t="str">
        <x:v>history</x:v>
      </x:c>
      <x:c r="D1568" s="56" t="n">
        <x:v>50</x:v>
      </x:c>
      <x:c r="E1568" s="56" t="str">
        <x:v>history.urinary_urgency</x:v>
      </x:c>
      <x:c r="F1568" s="56" t="str">
        <x:v>urinary_urgency</x:v>
      </x:c>
      <x:c r="G1568" s="56" t="n">
        <x:v>4</x:v>
      </x:c>
      <x:c r="H1568" s="56" t="str">
        <x:v>普通得分项</x:v>
      </x:c>
      <x:c r="I1568" s="56" t="str">
        <x:v>否</x:v>
      </x:c>
      <x:c r="J1568" s="56" t="str">
        <x:v>否</x:v>
      </x:c>
      <x:c r="K1568" s="56" t="str">
        <x:v>否</x:v>
      </x:c>
      <x:c r="L1568" s="56" t="str">
        <x:v>按结构化事件证据给予0/部分/满分；不能由总结反推已完成</x:v>
      </x:c>
      <x:c r="M1568" s="56" t="str"/>
      <x:c r="N1568" s="56" t="n">
        <x:f>SUMIFS($G$4:$G$1673,$A$4:$A$1673,A1568)</x:f>
        <x:v>360</x:v>
      </x:c>
      <x:c r="O1568" s="56" t="str">
        <x:f>IF(N1568=360,"通过","失败")</x:f>
        <x:v>通过</x:v>
      </x:c>
      <x:c r="P1568" s="56" t="str"/>
      <x:c r="Q1568" s="59" t="str">
        <x:v>待确认</x:v>
      </x:c>
    </x:row>
    <x:row r="1569">
      <x:c r="A1569" s="56" t="str">
        <x:v>P040</x:v>
      </x:c>
      <x:c r="B1569" s="56" t="str">
        <x:v>HX-ADD-028</x:v>
      </x:c>
      <x:c r="C1569" s="56" t="str">
        <x:v>history</x:v>
      </x:c>
      <x:c r="D1569" s="56" t="n">
        <x:v>50</x:v>
      </x:c>
      <x:c r="E1569" s="56" t="str">
        <x:v>history.flank_pain</x:v>
      </x:c>
      <x:c r="F1569" s="56" t="str">
        <x:v>flank_pain</x:v>
      </x:c>
      <x:c r="G1569" s="56" t="n">
        <x:v>4</x:v>
      </x:c>
      <x:c r="H1569" s="56" t="str">
        <x:v>普通得分项</x:v>
      </x:c>
      <x:c r="I1569" s="56" t="str">
        <x:v>否</x:v>
      </x:c>
      <x:c r="J1569" s="56" t="str">
        <x:v>否</x:v>
      </x:c>
      <x:c r="K1569" s="56" t="str">
        <x:v>否</x:v>
      </x:c>
      <x:c r="L1569" s="56" t="str">
        <x:v>按结构化事件证据给予0/部分/满分；不能由总结反推已完成</x:v>
      </x:c>
      <x:c r="M1569" s="56" t="str"/>
      <x:c r="N1569" s="56" t="n">
        <x:f>SUMIFS($G$4:$G$1673,$A$4:$A$1673,A1569)</x:f>
        <x:v>360</x:v>
      </x:c>
      <x:c r="O1569" s="56" t="str">
        <x:f>IF(N1569=360,"通过","失败")</x:f>
        <x:v>通过</x:v>
      </x:c>
      <x:c r="P1569" s="56" t="str"/>
      <x:c r="Q1569" s="59" t="str">
        <x:v>待确认</x:v>
      </x:c>
    </x:row>
    <x:row r="1570">
      <x:c r="A1570" s="56" t="str">
        <x:v>P040</x:v>
      </x:c>
      <x:c r="B1570" s="56" t="str">
        <x:v>HX-ADD-028</x:v>
      </x:c>
      <x:c r="C1570" s="56" t="str">
        <x:v>history</x:v>
      </x:c>
      <x:c r="D1570" s="56" t="n">
        <x:v>50</x:v>
      </x:c>
      <x:c r="E1570" s="56" t="str">
        <x:v>history.fever_chills</x:v>
      </x:c>
      <x:c r="F1570" s="56" t="str">
        <x:v>fever_chills</x:v>
      </x:c>
      <x:c r="G1570" s="56" t="n">
        <x:v>4</x:v>
      </x:c>
      <x:c r="H1570" s="56" t="str">
        <x:v>普通得分项</x:v>
      </x:c>
      <x:c r="I1570" s="56" t="str">
        <x:v>否</x:v>
      </x:c>
      <x:c r="J1570" s="56" t="str">
        <x:v>否</x:v>
      </x:c>
      <x:c r="K1570" s="56" t="str">
        <x:v>否</x:v>
      </x:c>
      <x:c r="L1570" s="56" t="str">
        <x:v>按结构化事件证据给予0/部分/满分；不能由总结反推已完成</x:v>
      </x:c>
      <x:c r="M1570" s="56" t="str"/>
      <x:c r="N1570" s="56" t="n">
        <x:f>SUMIFS($G$4:$G$1673,$A$4:$A$1673,A1570)</x:f>
        <x:v>360</x:v>
      </x:c>
      <x:c r="O1570" s="56" t="str">
        <x:f>IF(N1570=360,"通过","失败")</x:f>
        <x:v>通过</x:v>
      </x:c>
      <x:c r="P1570" s="56" t="str"/>
      <x:c r="Q1570" s="59" t="str">
        <x:v>待确认</x:v>
      </x:c>
    </x:row>
    <x:row r="1571">
      <x:c r="A1571" s="56" t="str">
        <x:v>P040</x:v>
      </x:c>
      <x:c r="B1571" s="56" t="str">
        <x:v>HX-ADD-028</x:v>
      </x:c>
      <x:c r="C1571" s="56" t="str">
        <x:v>risk</x:v>
      </x:c>
      <x:c r="D1571" s="56" t="n">
        <x:v>40</x:v>
      </x:c>
      <x:c r="E1571" s="56" t="str">
        <x:v>risk.smoking</x:v>
      </x:c>
      <x:c r="F1571" s="56" t="str">
        <x:v>smoking</x:v>
      </x:c>
      <x:c r="G1571" s="56" t="n">
        <x:v>14</x:v>
      </x:c>
      <x:c r="H1571" s="56" t="str">
        <x:v>普通得分项</x:v>
      </x:c>
      <x:c r="I1571" s="56" t="str">
        <x:v>否</x:v>
      </x:c>
      <x:c r="J1571" s="56" t="str">
        <x:v>否</x:v>
      </x:c>
      <x:c r="K1571" s="56" t="str">
        <x:v>否</x:v>
      </x:c>
      <x:c r="L1571" s="56" t="str">
        <x:v>按结构化事件证据给予0/部分/满分；不能由总结反推已完成</x:v>
      </x:c>
      <x:c r="M1571" s="56" t="str"/>
      <x:c r="N1571" s="56" t="n">
        <x:f>SUMIFS($G$4:$G$1673,$A$4:$A$1673,A1571)</x:f>
        <x:v>360</x:v>
      </x:c>
      <x:c r="O1571" s="56" t="str">
        <x:f>IF(N1571=360,"通过","失败")</x:f>
        <x:v>通过</x:v>
      </x:c>
      <x:c r="P1571" s="56" t="str"/>
      <x:c r="Q1571" s="59" t="str">
        <x:v>待确认</x:v>
      </x:c>
    </x:row>
    <x:row r="1572">
      <x:c r="A1572" s="56" t="str">
        <x:v>P040</x:v>
      </x:c>
      <x:c r="B1572" s="56" t="str">
        <x:v>HX-ADD-028</x:v>
      </x:c>
      <x:c r="C1572" s="56" t="str">
        <x:v>risk</x:v>
      </x:c>
      <x:c r="D1572" s="56" t="n">
        <x:v>40</x:v>
      </x:c>
      <x:c r="E1572" s="56" t="str">
        <x:v>risk.anticoagulant</x:v>
      </x:c>
      <x:c r="F1572" s="56" t="str">
        <x:v>anticoagulant</x:v>
      </x:c>
      <x:c r="G1572" s="56" t="n">
        <x:v>13</x:v>
      </x:c>
      <x:c r="H1572" s="56" t="str">
        <x:v>普通得分项</x:v>
      </x:c>
      <x:c r="I1572" s="56" t="str">
        <x:v>否</x:v>
      </x:c>
      <x:c r="J1572" s="56" t="str">
        <x:v>否</x:v>
      </x:c>
      <x:c r="K1572" s="56" t="str">
        <x:v>否</x:v>
      </x:c>
      <x:c r="L1572" s="56" t="str">
        <x:v>按结构化事件证据给予0/部分/满分；不能由总结反推已完成</x:v>
      </x:c>
      <x:c r="M1572" s="56" t="str"/>
      <x:c r="N1572" s="56" t="n">
        <x:f>SUMIFS($G$4:$G$1673,$A$4:$A$1673,A1572)</x:f>
        <x:v>360</x:v>
      </x:c>
      <x:c r="O1572" s="56" t="str">
        <x:f>IF(N1572=360,"通过","失败")</x:f>
        <x:v>通过</x:v>
      </x:c>
      <x:c r="P1572" s="56" t="str"/>
      <x:c r="Q1572" s="59" t="str">
        <x:v>待确认</x:v>
      </x:c>
    </x:row>
    <x:row r="1573">
      <x:c r="A1573" s="56" t="str">
        <x:v>P040</x:v>
      </x:c>
      <x:c r="B1573" s="56" t="str">
        <x:v>HX-ADD-028</x:v>
      </x:c>
      <x:c r="C1573" s="56" t="str">
        <x:v>risk</x:v>
      </x:c>
      <x:c r="D1573" s="56" t="n">
        <x:v>40</x:v>
      </x:c>
      <x:c r="E1573" s="56" t="str">
        <x:v>risk.family_history</x:v>
      </x:c>
      <x:c r="F1573" s="56" t="str">
        <x:v>family_history</x:v>
      </x:c>
      <x:c r="G1573" s="56" t="n">
        <x:v>13</x:v>
      </x:c>
      <x:c r="H1573" s="56" t="str">
        <x:v>普通得分项</x:v>
      </x:c>
      <x:c r="I1573" s="56" t="str">
        <x:v>否</x:v>
      </x:c>
      <x:c r="J1573" s="56" t="str">
        <x:v>否</x:v>
      </x:c>
      <x:c r="K1573" s="56" t="str">
        <x:v>否</x:v>
      </x:c>
      <x:c r="L1573" s="56" t="str">
        <x:v>按结构化事件证据给予0/部分/满分；不能由总结反推已完成</x:v>
      </x:c>
      <x:c r="M1573" s="56" t="str"/>
      <x:c r="N1573" s="56" t="n">
        <x:f>SUMIFS($G$4:$G$1673,$A$4:$A$1673,A1573)</x:f>
        <x:v>360</x:v>
      </x:c>
      <x:c r="O1573" s="56" t="str">
        <x:f>IF(N1573=360,"通过","失败")</x:f>
        <x:v>通过</x:v>
      </x:c>
      <x:c r="P1573" s="56" t="str"/>
      <x:c r="Q1573" s="59" t="str">
        <x:v>待确认</x:v>
      </x:c>
    </x:row>
    <x:row r="1574">
      <x:c r="A1574" s="56" t="str">
        <x:v>P040</x:v>
      </x:c>
      <x:c r="B1574" s="56" t="str">
        <x:v>HX-ADD-028</x:v>
      </x:c>
      <x:c r="C1574" s="56" t="str">
        <x:v>exam</x:v>
      </x:c>
      <x:c r="D1574" s="56" t="n">
        <x:v>35</x:v>
      </x:c>
      <x:c r="E1574" s="56" t="str">
        <x:v>exam.temperature</x:v>
      </x:c>
      <x:c r="F1574" s="56" t="str">
        <x:v>体温</x:v>
      </x:c>
      <x:c r="G1574" s="56" t="n">
        <x:v>12</x:v>
      </x:c>
      <x:c r="H1574" s="56" t="str">
        <x:v>普通得分项</x:v>
      </x:c>
      <x:c r="I1574" s="56" t="str">
        <x:v>否</x:v>
      </x:c>
      <x:c r="J1574" s="56" t="str">
        <x:v>否</x:v>
      </x:c>
      <x:c r="K1574" s="56" t="str">
        <x:v>否</x:v>
      </x:c>
      <x:c r="L1574" s="56" t="str">
        <x:v>按结构化事件证据给予0/部分/满分；不能由总结反推已完成</x:v>
      </x:c>
      <x:c r="M1574" s="56" t="str"/>
      <x:c r="N1574" s="56" t="n">
        <x:f>SUMIFS($G$4:$G$1673,$A$4:$A$1673,A1574)</x:f>
        <x:v>360</x:v>
      </x:c>
      <x:c r="O1574" s="56" t="str">
        <x:f>IF(N1574=360,"通过","失败")</x:f>
        <x:v>通过</x:v>
      </x:c>
      <x:c r="P1574" s="56" t="str"/>
      <x:c r="Q1574" s="59" t="str">
        <x:v>待确认</x:v>
      </x:c>
    </x:row>
    <x:row r="1575">
      <x:c r="A1575" s="56" t="str">
        <x:v>P040</x:v>
      </x:c>
      <x:c r="B1575" s="56" t="str">
        <x:v>HX-ADD-028</x:v>
      </x:c>
      <x:c r="C1575" s="56" t="str">
        <x:v>exam</x:v>
      </x:c>
      <x:c r="D1575" s="56" t="n">
        <x:v>35</x:v>
      </x:c>
      <x:c r="E1575" s="56" t="str">
        <x:v>exam.blood_pressure</x:v>
      </x:c>
      <x:c r="F1575" s="56" t="str">
        <x:v>血压</x:v>
      </x:c>
      <x:c r="G1575" s="56" t="n">
        <x:v>12</x:v>
      </x:c>
      <x:c r="H1575" s="56" t="str">
        <x:v>普通得分项</x:v>
      </x:c>
      <x:c r="I1575" s="56" t="str">
        <x:v>否</x:v>
      </x:c>
      <x:c r="J1575" s="56" t="str">
        <x:v>否</x:v>
      </x:c>
      <x:c r="K1575" s="56" t="str">
        <x:v>否</x:v>
      </x:c>
      <x:c r="L1575" s="56" t="str">
        <x:v>按结构化事件证据给予0/部分/满分；不能由总结反推已完成</x:v>
      </x:c>
      <x:c r="M1575" s="56" t="str"/>
      <x:c r="N1575" s="56" t="n">
        <x:f>SUMIFS($G$4:$G$1673,$A$4:$A$1673,A1575)</x:f>
        <x:v>360</x:v>
      </x:c>
      <x:c r="O1575" s="56" t="str">
        <x:f>IF(N1575=360,"通过","失败")</x:f>
        <x:v>通过</x:v>
      </x:c>
      <x:c r="P1575" s="56" t="str"/>
      <x:c r="Q1575" s="59" t="str">
        <x:v>待确认</x:v>
      </x:c>
    </x:row>
    <x:row r="1576">
      <x:c r="A1576" s="56" t="str">
        <x:v>P040</x:v>
      </x:c>
      <x:c r="B1576" s="56" t="str">
        <x:v>HX-ADD-028</x:v>
      </x:c>
      <x:c r="C1576" s="56" t="str">
        <x:v>exam</x:v>
      </x:c>
      <x:c r="D1576" s="56" t="n">
        <x:v>35</x:v>
      </x:c>
      <x:c r="E1576" s="56" t="str">
        <x:v>exam.targeted</x:v>
      </x:c>
      <x:c r="F1576" s="56" t="str">
        <x:v>病例针对性查体</x:v>
      </x:c>
      <x:c r="G1576" s="56" t="n">
        <x:v>11</x:v>
      </x:c>
      <x:c r="H1576" s="56" t="str">
        <x:v>普通得分项</x:v>
      </x:c>
      <x:c r="I1576" s="56" t="str">
        <x:v>否</x:v>
      </x:c>
      <x:c r="J1576" s="56" t="str">
        <x:v>否</x:v>
      </x:c>
      <x:c r="K1576" s="56" t="str">
        <x:v>否</x:v>
      </x:c>
      <x:c r="L1576" s="56" t="str">
        <x:v>按结构化事件证据给予0/部分/满分；不能由总结反推已完成</x:v>
      </x:c>
      <x:c r="M1576" s="56" t="str"/>
      <x:c r="N1576" s="56" t="n">
        <x:f>SUMIFS($G$4:$G$1673,$A$4:$A$1673,A1576)</x:f>
        <x:v>360</x:v>
      </x:c>
      <x:c r="O1576" s="56" t="str">
        <x:f>IF(N1576=360,"通过","失败")</x:f>
        <x:v>通过</x:v>
      </x:c>
      <x:c r="P1576" s="56" t="str"/>
      <x:c r="Q1576" s="59" t="str">
        <x:v>待确认</x:v>
      </x:c>
    </x:row>
    <x:row r="1577">
      <x:c r="A1577" s="56" t="str">
        <x:v>P040</x:v>
      </x:c>
      <x:c r="B1577" s="56" t="str">
        <x:v>HX-ADD-028</x:v>
      </x:c>
      <x:c r="C1577" s="56" t="str">
        <x:v>diagnosis</x:v>
      </x:c>
      <x:c r="D1577" s="56" t="n">
        <x:v>45</x:v>
      </x:c>
      <x:c r="E1577" s="56" t="str">
        <x:v>diagnosis.primary</x:v>
      </x:c>
      <x:c r="F1577" s="56" t="str">
        <x:v>最可能诊断及依据</x:v>
      </x:c>
      <x:c r="G1577" s="56" t="n">
        <x:v>15</x:v>
      </x:c>
      <x:c r="H1577" s="56" t="str">
        <x:v>普通得分项</x:v>
      </x:c>
      <x:c r="I1577" s="56" t="str">
        <x:v>否</x:v>
      </x:c>
      <x:c r="J1577" s="56" t="str">
        <x:v>否</x:v>
      </x:c>
      <x:c r="K1577" s="56" t="str">
        <x:v>否</x:v>
      </x:c>
      <x:c r="L1577" s="56" t="str">
        <x:v>按结构化事件证据给予0/部分/满分；不能由总结反推已完成</x:v>
      </x:c>
      <x:c r="M1577" s="56" t="str"/>
      <x:c r="N1577" s="56" t="n">
        <x:f>SUMIFS($G$4:$G$1673,$A$4:$A$1673,A1577)</x:f>
        <x:v>360</x:v>
      </x:c>
      <x:c r="O1577" s="56" t="str">
        <x:f>IF(N1577=360,"通过","失败")</x:f>
        <x:v>通过</x:v>
      </x:c>
      <x:c r="P1577" s="56" t="str"/>
      <x:c r="Q1577" s="59" t="str">
        <x:v>待确认</x:v>
      </x:c>
    </x:row>
    <x:row r="1578">
      <x:c r="A1578" s="56" t="str">
        <x:v>P040</x:v>
      </x:c>
      <x:c r="B1578" s="56" t="str">
        <x:v>HX-ADD-028</x:v>
      </x:c>
      <x:c r="C1578" s="56" t="str">
        <x:v>diagnosis</x:v>
      </x:c>
      <x:c r="D1578" s="56" t="n">
        <x:v>45</x:v>
      </x:c>
      <x:c r="E1578" s="56" t="str">
        <x:v>diagnosis.differentials</x:v>
      </x:c>
      <x:c r="F1578" s="56" t="str">
        <x:v>至少3项鉴别及支持/反对点</x:v>
      </x:c>
      <x:c r="G1578" s="56" t="n">
        <x:v>15</x:v>
      </x:c>
      <x:c r="H1578" s="56" t="str">
        <x:v>普通得分项</x:v>
      </x:c>
      <x:c r="I1578" s="56" t="str">
        <x:v>否</x:v>
      </x:c>
      <x:c r="J1578" s="56" t="str">
        <x:v>否</x:v>
      </x:c>
      <x:c r="K1578" s="56" t="str">
        <x:v>否</x:v>
      </x:c>
      <x:c r="L1578" s="56" t="str">
        <x:v>按结构化事件证据给予0/部分/满分；不能由总结反推已完成</x:v>
      </x:c>
      <x:c r="M1578" s="56" t="str"/>
      <x:c r="N1578" s="56" t="n">
        <x:f>SUMIFS($G$4:$G$1673,$A$4:$A$1673,A1578)</x:f>
        <x:v>360</x:v>
      </x:c>
      <x:c r="O1578" s="56" t="str">
        <x:f>IF(N1578=360,"通过","失败")</x:f>
        <x:v>通过</x:v>
      </x:c>
      <x:c r="P1578" s="56" t="str"/>
      <x:c r="Q1578" s="59" t="str">
        <x:v>待确认</x:v>
      </x:c>
    </x:row>
    <x:row r="1579">
      <x:c r="A1579" s="56" t="str">
        <x:v>P040</x:v>
      </x:c>
      <x:c r="B1579" s="56" t="str">
        <x:v>HX-ADD-028</x:v>
      </x:c>
      <x:c r="C1579" s="56" t="str">
        <x:v>diagnosis</x:v>
      </x:c>
      <x:c r="D1579" s="56" t="n">
        <x:v>45</x:v>
      </x:c>
      <x:c r="E1579" s="56" t="str">
        <x:v>diagnosis.confirmation</x:v>
      </x:c>
      <x:c r="F1579" s="56" t="str">
        <x:v>确认计划</x:v>
      </x:c>
      <x:c r="G1579" s="56" t="n">
        <x:v>15</x:v>
      </x:c>
      <x:c r="H1579" s="56" t="str">
        <x:v>普通得分项</x:v>
      </x:c>
      <x:c r="I1579" s="56" t="str">
        <x:v>否</x:v>
      </x:c>
      <x:c r="J1579" s="56" t="str">
        <x:v>否</x:v>
      </x:c>
      <x:c r="K1579" s="56" t="str">
        <x:v>否</x:v>
      </x:c>
      <x:c r="L1579" s="56" t="str">
        <x:v>按结构化事件证据给予0/部分/满分；不能由总结反推已完成</x:v>
      </x:c>
      <x:c r="M1579" s="56" t="str"/>
      <x:c r="N1579" s="56" t="n">
        <x:f>SUMIFS($G$4:$G$1673,$A$4:$A$1673,A1579)</x:f>
        <x:v>360</x:v>
      </x:c>
      <x:c r="O1579" s="56" t="str">
        <x:f>IF(N1579=360,"通过","失败")</x:f>
        <x:v>通过</x:v>
      </x:c>
      <x:c r="P1579" s="56" t="str"/>
      <x:c r="Q1579" s="59" t="str">
        <x:v>待确认</x:v>
      </x:c>
    </x:row>
    <x:row r="1580">
      <x:c r="A1580" s="56" t="str">
        <x:v>P040</x:v>
      </x:c>
      <x:c r="B1580" s="56" t="str">
        <x:v>HX-ADD-028</x:v>
      </x:c>
      <x:c r="C1580" s="56" t="str">
        <x:v>orders</x:v>
      </x:c>
      <x:c r="D1580" s="56" t="n">
        <x:v>55</x:v>
      </x:c>
      <x:c r="E1580" s="56" t="str">
        <x:v>orders.LAB-UR-001</x:v>
      </x:c>
      <x:c r="F1580" s="56" t="str">
        <x:v>LAB-UR-001</x:v>
      </x:c>
      <x:c r="G1580" s="56" t="n">
        <x:v>19</x:v>
      </x:c>
      <x:c r="H1580" s="56" t="str">
        <x:v>病例特异得分项</x:v>
      </x:c>
      <x:c r="I1580" s="56" t="str">
        <x:v>否</x:v>
      </x:c>
      <x:c r="J1580" s="56" t="str">
        <x:v>否</x:v>
      </x:c>
      <x:c r="K1580" s="56" t="str">
        <x:v>否</x:v>
      </x:c>
      <x:c r="L1580" s="56" t="str">
        <x:v>按结构化事件证据给予0/部分/满分；不能由总结反推已完成</x:v>
      </x:c>
      <x:c r="M1580" s="56" t="str"/>
      <x:c r="N1580" s="56" t="n">
        <x:f>SUMIFS($G$4:$G$1673,$A$4:$A$1673,A1580)</x:f>
        <x:v>360</x:v>
      </x:c>
      <x:c r="O1580" s="56" t="str">
        <x:f>IF(N1580=360,"通过","失败")</x:f>
        <x:v>通过</x:v>
      </x:c>
      <x:c r="P1580" s="56" t="str"/>
      <x:c r="Q1580" s="59" t="str">
        <x:v>待确认</x:v>
      </x:c>
    </x:row>
    <x:row r="1581">
      <x:c r="A1581" s="56" t="str">
        <x:v>P040</x:v>
      </x:c>
      <x:c r="B1581" s="56" t="str">
        <x:v>HX-ADD-028</x:v>
      </x:c>
      <x:c r="C1581" s="56" t="str">
        <x:v>orders</x:v>
      </x:c>
      <x:c r="D1581" s="56" t="n">
        <x:v>55</x:v>
      </x:c>
      <x:c r="E1581" s="56" t="str">
        <x:v>orders.LAB-UR-002</x:v>
      </x:c>
      <x:c r="F1581" s="56" t="str">
        <x:v>LAB-UR-002</x:v>
      </x:c>
      <x:c r="G1581" s="56" t="n">
        <x:v>18</x:v>
      </x:c>
      <x:c r="H1581" s="56" t="str">
        <x:v>病例特异得分项</x:v>
      </x:c>
      <x:c r="I1581" s="56" t="str">
        <x:v>否</x:v>
      </x:c>
      <x:c r="J1581" s="56" t="str">
        <x:v>否</x:v>
      </x:c>
      <x:c r="K1581" s="56" t="str">
        <x:v>否</x:v>
      </x:c>
      <x:c r="L1581" s="56" t="str">
        <x:v>按结构化事件证据给予0/部分/满分；不能由总结反推已完成</x:v>
      </x:c>
      <x:c r="M1581" s="56" t="str"/>
      <x:c r="N1581" s="56" t="n">
        <x:f>SUMIFS($G$4:$G$1673,$A$4:$A$1673,A1581)</x:f>
        <x:v>360</x:v>
      </x:c>
      <x:c r="O1581" s="56" t="str">
        <x:f>IF(N1581=360,"通过","失败")</x:f>
        <x:v>通过</x:v>
      </x:c>
      <x:c r="P1581" s="56" t="str"/>
      <x:c r="Q1581" s="59" t="str">
        <x:v>待确认</x:v>
      </x:c>
    </x:row>
    <x:row r="1582">
      <x:c r="A1582" s="56" t="str">
        <x:v>P040</x:v>
      </x:c>
      <x:c r="B1582" s="56" t="str">
        <x:v>HX-ADD-028</x:v>
      </x:c>
      <x:c r="C1582" s="56" t="str">
        <x:v>orders</x:v>
      </x:c>
      <x:c r="D1582" s="56" t="n">
        <x:v>55</x:v>
      </x:c>
      <x:c r="E1582" s="56" t="str">
        <x:v>orders.LAB-BL-003</x:v>
      </x:c>
      <x:c r="F1582" s="56" t="str">
        <x:v>LAB-BL-003</x:v>
      </x:c>
      <x:c r="G1582" s="56" t="n">
        <x:v>18</x:v>
      </x:c>
      <x:c r="H1582" s="56" t="str">
        <x:v>病例特异得分项</x:v>
      </x:c>
      <x:c r="I1582" s="56" t="str">
        <x:v>否</x:v>
      </x:c>
      <x:c r="J1582" s="56" t="str">
        <x:v>否</x:v>
      </x:c>
      <x:c r="K1582" s="56" t="str">
        <x:v>否</x:v>
      </x:c>
      <x:c r="L1582" s="56" t="str">
        <x:v>按结构化事件证据给予0/部分/满分；不能由总结反推已完成</x:v>
      </x:c>
      <x:c r="M1582" s="56" t="str"/>
      <x:c r="N1582" s="56" t="n">
        <x:f>SUMIFS($G$4:$G$1673,$A$4:$A$1673,A1582)</x:f>
        <x:v>360</x:v>
      </x:c>
      <x:c r="O1582" s="56" t="str">
        <x:f>IF(N1582=360,"通过","失败")</x:f>
        <x:v>通过</x:v>
      </x:c>
      <x:c r="P1582" s="56" t="str"/>
      <x:c r="Q1582" s="59" t="str">
        <x:v>待确认</x:v>
      </x:c>
    </x:row>
    <x:row r="1583">
      <x:c r="A1583" s="56" t="str">
        <x:v>P040</x:v>
      </x:c>
      <x:c r="B1583" s="56" t="str">
        <x:v>HX-ADD-028</x:v>
      </x:c>
      <x:c r="C1583" s="56" t="str">
        <x:v>mdt</x:v>
      </x:c>
      <x:c r="D1583" s="56" t="n">
        <x:v>45</x:v>
      </x:c>
      <x:c r="E1583" s="56" t="str">
        <x:v>mdt.department</x:v>
      </x:c>
      <x:c r="F1583" s="56" t="str">
        <x:v>department</x:v>
      </x:c>
      <x:c r="G1583" s="56" t="n">
        <x:v>12</x:v>
      </x:c>
      <x:c r="H1583" s="56" t="str">
        <x:v>病例特异得分项</x:v>
      </x:c>
      <x:c r="I1583" s="56" t="str">
        <x:v>否</x:v>
      </x:c>
      <x:c r="J1583" s="56" t="str">
        <x:v>否</x:v>
      </x:c>
      <x:c r="K1583" s="56" t="str">
        <x:v>否</x:v>
      </x:c>
      <x:c r="L1583" s="56" t="str">
        <x:v>按结构化事件证据给予0/部分/满分；不能由总结反推已完成</x:v>
      </x:c>
      <x:c r="M1583" s="56" t="str"/>
      <x:c r="N1583" s="56" t="n">
        <x:f>SUMIFS($G$4:$G$1673,$A$4:$A$1673,A1583)</x:f>
        <x:v>360</x:v>
      </x:c>
      <x:c r="O1583" s="56" t="str">
        <x:f>IF(N1583=360,"通过","失败")</x:f>
        <x:v>通过</x:v>
      </x:c>
      <x:c r="P1583" s="56" t="str"/>
      <x:c r="Q1583" s="59" t="str">
        <x:v>待确认</x:v>
      </x:c>
    </x:row>
    <x:row r="1584">
      <x:c r="A1584" s="56" t="str">
        <x:v>P040</x:v>
      </x:c>
      <x:c r="B1584" s="56" t="str">
        <x:v>HX-ADD-028</x:v>
      </x:c>
      <x:c r="C1584" s="56" t="str">
        <x:v>mdt</x:v>
      </x:c>
      <x:c r="D1584" s="56" t="n">
        <x:v>45</x:v>
      </x:c>
      <x:c r="E1584" s="56" t="str">
        <x:v>mdt.trigger</x:v>
      </x:c>
      <x:c r="F1584" s="56" t="str">
        <x:v>trigger</x:v>
      </x:c>
      <x:c r="G1584" s="56" t="n">
        <x:v>11</x:v>
      </x:c>
      <x:c r="H1584" s="56" t="str">
        <x:v>病例特异得分项</x:v>
      </x:c>
      <x:c r="I1584" s="56" t="str">
        <x:v>否</x:v>
      </x:c>
      <x:c r="J1584" s="56" t="str">
        <x:v>否</x:v>
      </x:c>
      <x:c r="K1584" s="56" t="str">
        <x:v>否</x:v>
      </x:c>
      <x:c r="L1584" s="56" t="str">
        <x:v>按结构化事件证据给予0/部分/满分；不能由总结反推已完成</x:v>
      </x:c>
      <x:c r="M1584" s="56" t="str"/>
      <x:c r="N1584" s="56" t="n">
        <x:f>SUMIFS($G$4:$G$1673,$A$4:$A$1673,A1584)</x:f>
        <x:v>360</x:v>
      </x:c>
      <x:c r="O1584" s="56" t="str">
        <x:f>IF(N1584=360,"通过","失败")</x:f>
        <x:v>通过</x:v>
      </x:c>
      <x:c r="P1584" s="56" t="str"/>
      <x:c r="Q1584" s="59" t="str">
        <x:v>待确认</x:v>
      </x:c>
    </x:row>
    <x:row r="1585">
      <x:c r="A1585" s="56" t="str">
        <x:v>P040</x:v>
      </x:c>
      <x:c r="B1585" s="56" t="str">
        <x:v>HX-ADD-028</x:v>
      </x:c>
      <x:c r="C1585" s="56" t="str">
        <x:v>mdt</x:v>
      </x:c>
      <x:c r="D1585" s="56" t="n">
        <x:v>45</x:v>
      </x:c>
      <x:c r="E1585" s="56" t="str">
        <x:v>mdt.question</x:v>
      </x:c>
      <x:c r="F1585" s="56" t="str">
        <x:v>question</x:v>
      </x:c>
      <x:c r="G1585" s="56" t="n">
        <x:v>11</x:v>
      </x:c>
      <x:c r="H1585" s="56" t="str">
        <x:v>病例特异得分项</x:v>
      </x:c>
      <x:c r="I1585" s="56" t="str">
        <x:v>否</x:v>
      </x:c>
      <x:c r="J1585" s="56" t="str">
        <x:v>否</x:v>
      </x:c>
      <x:c r="K1585" s="56" t="str">
        <x:v>否</x:v>
      </x:c>
      <x:c r="L1585" s="56" t="str">
        <x:v>按结构化事件证据给予0/部分/满分；不能由总结反推已完成</x:v>
      </x:c>
      <x:c r="M1585" s="56" t="str"/>
      <x:c r="N1585" s="56" t="n">
        <x:f>SUMIFS($G$4:$G$1673,$A$4:$A$1673,A1585)</x:f>
        <x:v>360</x:v>
      </x:c>
      <x:c r="O1585" s="56" t="str">
        <x:f>IF(N1585=360,"通过","失败")</x:f>
        <x:v>通过</x:v>
      </x:c>
      <x:c r="P1585" s="56" t="str"/>
      <x:c r="Q1585" s="59" t="str">
        <x:v>待确认</x:v>
      </x:c>
    </x:row>
    <x:row r="1586">
      <x:c r="A1586" s="56" t="str">
        <x:v>P040</x:v>
      </x:c>
      <x:c r="B1586" s="56" t="str">
        <x:v>HX-ADD-028</x:v>
      </x:c>
      <x:c r="C1586" s="56" t="str">
        <x:v>mdt</x:v>
      </x:c>
      <x:c r="D1586" s="56" t="n">
        <x:v>45</x:v>
      </x:c>
      <x:c r="E1586" s="56" t="str">
        <x:v>mdt.evidence</x:v>
      </x:c>
      <x:c r="F1586" s="56" t="str">
        <x:v>evidence</x:v>
      </x:c>
      <x:c r="G1586" s="56" t="n">
        <x:v>11</x:v>
      </x:c>
      <x:c r="H1586" s="56" t="str">
        <x:v>病例特异得分项</x:v>
      </x:c>
      <x:c r="I1586" s="56" t="str">
        <x:v>否</x:v>
      </x:c>
      <x:c r="J1586" s="56" t="str">
        <x:v>否</x:v>
      </x:c>
      <x:c r="K1586" s="56" t="str">
        <x:v>否</x:v>
      </x:c>
      <x:c r="L1586" s="56" t="str">
        <x:v>按结构化事件证据给予0/部分/满分；不能由总结反推已完成</x:v>
      </x:c>
      <x:c r="M1586" s="56" t="str"/>
      <x:c r="N1586" s="56" t="n">
        <x:f>SUMIFS($G$4:$G$1673,$A$4:$A$1673,A1586)</x:f>
        <x:v>360</x:v>
      </x:c>
      <x:c r="O1586" s="56" t="str">
        <x:f>IF(N1586=360,"通过","失败")</x:f>
        <x:v>通过</x:v>
      </x:c>
      <x:c r="P1586" s="56" t="str"/>
      <x:c r="Q1586" s="59" t="str">
        <x:v>待确认</x:v>
      </x:c>
    </x:row>
    <x:row r="1587">
      <x:c r="A1587" s="56" t="str">
        <x:v>P040</x:v>
      </x:c>
      <x:c r="B1587" s="56" t="str">
        <x:v>HX-ADD-028</x:v>
      </x:c>
      <x:c r="C1587" s="56" t="str">
        <x:v>treatment</x:v>
      </x:c>
      <x:c r="D1587" s="56" t="n">
        <x:v>50</x:v>
      </x:c>
      <x:c r="E1587" s="56" t="str">
        <x:v>treatment.immediate</x:v>
      </x:c>
      <x:c r="F1587" s="56" t="str">
        <x:v>immediate</x:v>
      </x:c>
      <x:c r="G1587" s="56" t="n">
        <x:v>13</x:v>
      </x:c>
      <x:c r="H1587" s="56" t="str">
        <x:v>病例特异得分项</x:v>
      </x:c>
      <x:c r="I1587" s="56" t="str">
        <x:v>否</x:v>
      </x:c>
      <x:c r="J1587" s="56" t="str">
        <x:v>否</x:v>
      </x:c>
      <x:c r="K1587" s="56" t="str">
        <x:v>否</x:v>
      </x:c>
      <x:c r="L1587" s="56" t="str">
        <x:v>按结构化事件证据给予0/部分/满分；不能由总结反推已完成</x:v>
      </x:c>
      <x:c r="M1587" s="56" t="str"/>
      <x:c r="N1587" s="56" t="n">
        <x:f>SUMIFS($G$4:$G$1673,$A$4:$A$1673,A1587)</x:f>
        <x:v>360</x:v>
      </x:c>
      <x:c r="O1587" s="56" t="str">
        <x:f>IF(N1587=360,"通过","失败")</x:f>
        <x:v>通过</x:v>
      </x:c>
      <x:c r="P1587" s="56" t="str"/>
      <x:c r="Q1587" s="59" t="str">
        <x:v>待确认</x:v>
      </x:c>
    </x:row>
    <x:row r="1588">
      <x:c r="A1588" s="56" t="str">
        <x:v>P040</x:v>
      </x:c>
      <x:c r="B1588" s="56" t="str">
        <x:v>HX-ADD-028</x:v>
      </x:c>
      <x:c r="C1588" s="56" t="str">
        <x:v>treatment</x:v>
      </x:c>
      <x:c r="D1588" s="56" t="n">
        <x:v>50</x:v>
      </x:c>
      <x:c r="E1588" s="56" t="str">
        <x:v>treatment.etiologic</x:v>
      </x:c>
      <x:c r="F1588" s="56" t="str">
        <x:v>etiologic</x:v>
      </x:c>
      <x:c r="G1588" s="56" t="n">
        <x:v>13</x:v>
      </x:c>
      <x:c r="H1588" s="56" t="str">
        <x:v>病例特异得分项</x:v>
      </x:c>
      <x:c r="I1588" s="56" t="str">
        <x:v>否</x:v>
      </x:c>
      <x:c r="J1588" s="56" t="str">
        <x:v>否</x:v>
      </x:c>
      <x:c r="K1588" s="56" t="str">
        <x:v>否</x:v>
      </x:c>
      <x:c r="L1588" s="56" t="str">
        <x:v>按结构化事件证据给予0/部分/满分；不能由总结反推已完成</x:v>
      </x:c>
      <x:c r="M1588" s="56" t="str"/>
      <x:c r="N1588" s="56" t="n">
        <x:f>SUMIFS($G$4:$G$1673,$A$4:$A$1673,A1588)</x:f>
        <x:v>360</x:v>
      </x:c>
      <x:c r="O1588" s="56" t="str">
        <x:f>IF(N1588=360,"通过","失败")</x:f>
        <x:v>通过</x:v>
      </x:c>
      <x:c r="P1588" s="56" t="str"/>
      <x:c r="Q1588" s="59" t="str">
        <x:v>待确认</x:v>
      </x:c>
    </x:row>
    <x:row r="1589">
      <x:c r="A1589" s="56" t="str">
        <x:v>P040</x:v>
      </x:c>
      <x:c r="B1589" s="56" t="str">
        <x:v>HX-ADD-028</x:v>
      </x:c>
      <x:c r="C1589" s="56" t="str">
        <x:v>treatment</x:v>
      </x:c>
      <x:c r="D1589" s="56" t="n">
        <x:v>50</x:v>
      </x:c>
      <x:c r="E1589" s="56" t="str">
        <x:v>treatment.definitive</x:v>
      </x:c>
      <x:c r="F1589" s="56" t="str">
        <x:v>definitive</x:v>
      </x:c>
      <x:c r="G1589" s="56" t="n">
        <x:v>12</x:v>
      </x:c>
      <x:c r="H1589" s="56" t="str">
        <x:v>病例特异得分项</x:v>
      </x:c>
      <x:c r="I1589" s="56" t="str">
        <x:v>否</x:v>
      </x:c>
      <x:c r="J1589" s="56" t="str">
        <x:v>否</x:v>
      </x:c>
      <x:c r="K1589" s="56" t="str">
        <x:v>否</x:v>
      </x:c>
      <x:c r="L1589" s="56" t="str">
        <x:v>按结构化事件证据给予0/部分/满分；不能由总结反推已完成</x:v>
      </x:c>
      <x:c r="M1589" s="56" t="str"/>
      <x:c r="N1589" s="56" t="n">
        <x:f>SUMIFS($G$4:$G$1673,$A$4:$A$1673,A1589)</x:f>
        <x:v>360</x:v>
      </x:c>
      <x:c r="O1589" s="56" t="str">
        <x:f>IF(N1589=360,"通过","失败")</x:f>
        <x:v>通过</x:v>
      </x:c>
      <x:c r="P1589" s="56" t="str"/>
      <x:c r="Q1589" s="59" t="str">
        <x:v>待确认</x:v>
      </x:c>
    </x:row>
    <x:row r="1590">
      <x:c r="A1590" s="56" t="str">
        <x:v>P040</x:v>
      </x:c>
      <x:c r="B1590" s="56" t="str">
        <x:v>HX-ADD-028</x:v>
      </x:c>
      <x:c r="C1590" s="56" t="str">
        <x:v>treatment</x:v>
      </x:c>
      <x:c r="D1590" s="56" t="n">
        <x:v>50</x:v>
      </x:c>
      <x:c r="E1590" s="56" t="str">
        <x:v>treatment.perioperative</x:v>
      </x:c>
      <x:c r="F1590" s="56" t="str">
        <x:v>perioperative</x:v>
      </x:c>
      <x:c r="G1590" s="56" t="n">
        <x:v>12</x:v>
      </x:c>
      <x:c r="H1590" s="56" t="str">
        <x:v>病例特异得分项</x:v>
      </x:c>
      <x:c r="I1590" s="56" t="str">
        <x:v>否</x:v>
      </x:c>
      <x:c r="J1590" s="56" t="str">
        <x:v>否</x:v>
      </x:c>
      <x:c r="K1590" s="56" t="str">
        <x:v>否</x:v>
      </x:c>
      <x:c r="L1590" s="56" t="str">
        <x:v>按结构化事件证据给予0/部分/满分；不能由总结反推已完成</x:v>
      </x:c>
      <x:c r="M1590" s="56" t="str"/>
      <x:c r="N1590" s="56" t="n">
        <x:f>SUMIFS($G$4:$G$1673,$A$4:$A$1673,A1590)</x:f>
        <x:v>360</x:v>
      </x:c>
      <x:c r="O1590" s="56" t="str">
        <x:f>IF(N1590=360,"通过","失败")</x:f>
        <x:v>通过</x:v>
      </x:c>
      <x:c r="P1590" s="56" t="str"/>
      <x:c r="Q1590" s="59" t="str">
        <x:v>待确认</x:v>
      </x:c>
    </x:row>
    <x:row r="1591">
      <x:c r="A1591" s="56" t="str">
        <x:v>P040</x:v>
      </x:c>
      <x:c r="B1591" s="56" t="str">
        <x:v>HX-ADD-028</x:v>
      </x:c>
      <x:c r="C1591" s="56" t="str">
        <x:v>followup</x:v>
      </x:c>
      <x:c r="D1591" s="56" t="n">
        <x:v>40</x:v>
      </x:c>
      <x:c r="E1591" s="56" t="str">
        <x:v>followup.plan</x:v>
      </x:c>
      <x:c r="F1591" s="56" t="str">
        <x:v>随访复查</x:v>
      </x:c>
      <x:c r="G1591" s="56" t="n">
        <x:v>10</x:v>
      </x:c>
      <x:c r="H1591" s="56" t="str">
        <x:v>普通得分项</x:v>
      </x:c>
      <x:c r="I1591" s="56" t="str">
        <x:v>否</x:v>
      </x:c>
      <x:c r="J1591" s="56" t="str">
        <x:v>否</x:v>
      </x:c>
      <x:c r="K1591" s="56" t="str">
        <x:v>否</x:v>
      </x:c>
      <x:c r="L1591" s="56" t="str">
        <x:v>按结构化事件证据给予0/部分/满分；不能由总结反推已完成</x:v>
      </x:c>
      <x:c r="M1591" s="56" t="str"/>
      <x:c r="N1591" s="56" t="n">
        <x:f>SUMIFS($G$4:$G$1673,$A$4:$A$1673,A1591)</x:f>
        <x:v>360</x:v>
      </x:c>
      <x:c r="O1591" s="56" t="str">
        <x:f>IF(N1591=360,"通过","失败")</x:f>
        <x:v>通过</x:v>
      </x:c>
      <x:c r="P1591" s="56" t="str"/>
      <x:c r="Q1591" s="59" t="str">
        <x:v>待确认</x:v>
      </x:c>
    </x:row>
    <x:row r="1592">
      <x:c r="A1592" s="56" t="str">
        <x:v>P040</x:v>
      </x:c>
      <x:c r="B1592" s="56" t="str">
        <x:v>HX-ADD-028</x:v>
      </x:c>
      <x:c r="C1592" s="56" t="str">
        <x:v>followup</x:v>
      </x:c>
      <x:c r="D1592" s="56" t="n">
        <x:v>40</x:v>
      </x:c>
      <x:c r="E1592" s="56" t="str">
        <x:v>followup.education</x:v>
      </x:c>
      <x:c r="F1592" s="56" t="str">
        <x:v>患者教育</x:v>
      </x:c>
      <x:c r="G1592" s="56" t="n">
        <x:v>10</x:v>
      </x:c>
      <x:c r="H1592" s="56" t="str">
        <x:v>普通得分项</x:v>
      </x:c>
      <x:c r="I1592" s="56" t="str">
        <x:v>否</x:v>
      </x:c>
      <x:c r="J1592" s="56" t="str">
        <x:v>否</x:v>
      </x:c>
      <x:c r="K1592" s="56" t="str">
        <x:v>否</x:v>
      </x:c>
      <x:c r="L1592" s="56" t="str">
        <x:v>按结构化事件证据给予0/部分/满分；不能由总结反推已完成</x:v>
      </x:c>
      <x:c r="M1592" s="56" t="str"/>
      <x:c r="N1592" s="56" t="n">
        <x:f>SUMIFS($G$4:$G$1673,$A$4:$A$1673,A1592)</x:f>
        <x:v>360</x:v>
      </x:c>
      <x:c r="O1592" s="56" t="str">
        <x:f>IF(N1592=360,"通过","失败")</x:f>
        <x:v>通过</x:v>
      </x:c>
      <x:c r="P1592" s="56" t="str"/>
      <x:c r="Q1592" s="59" t="str">
        <x:v>待确认</x:v>
      </x:c>
    </x:row>
    <x:row r="1593">
      <x:c r="A1593" s="56" t="str">
        <x:v>P040</x:v>
      </x:c>
      <x:c r="B1593" s="56" t="str">
        <x:v>HX-ADD-028</x:v>
      </x:c>
      <x:c r="C1593" s="56" t="str">
        <x:v>followup</x:v>
      </x:c>
      <x:c r="D1593" s="56" t="n">
        <x:v>40</x:v>
      </x:c>
      <x:c r="E1593" s="56" t="str">
        <x:v>followup.reflection</x:v>
      </x:c>
      <x:c r="F1593" s="56" t="str">
        <x:v>学习反思质量</x:v>
      </x:c>
      <x:c r="G1593" s="56" t="n">
        <x:v>10</x:v>
      </x:c>
      <x:c r="H1593" s="56" t="str">
        <x:v>普通得分项</x:v>
      </x:c>
      <x:c r="I1593" s="56" t="str">
        <x:v>否</x:v>
      </x:c>
      <x:c r="J1593" s="56" t="str">
        <x:v>否</x:v>
      </x:c>
      <x:c r="K1593" s="56" t="str">
        <x:v>否</x:v>
      </x:c>
      <x:c r="L1593" s="56" t="str">
        <x:v>按结构化事件证据给予0/部分/满分；不能由总结反推已完成</x:v>
      </x:c>
      <x:c r="M1593" s="56" t="str"/>
      <x:c r="N1593" s="56" t="n">
        <x:f>SUMIFS($G$4:$G$1673,$A$4:$A$1673,A1593)</x:f>
        <x:v>360</x:v>
      </x:c>
      <x:c r="O1593" s="56" t="str">
        <x:f>IF(N1593=360,"通过","失败")</x:f>
        <x:v>通过</x:v>
      </x:c>
      <x:c r="P1593" s="56" t="str"/>
      <x:c r="Q1593" s="59" t="str">
        <x:v>待确认</x:v>
      </x:c>
    </x:row>
    <x:row r="1594">
      <x:c r="A1594" s="56" t="str">
        <x:v>P040</x:v>
      </x:c>
      <x:c r="B1594" s="56" t="str">
        <x:v>HX-ADD-028</x:v>
      </x:c>
      <x:c r="C1594" s="56" t="str">
        <x:v>followup</x:v>
      </x:c>
      <x:c r="D1594" s="56" t="n">
        <x:v>40</x:v>
      </x:c>
      <x:c r="E1594" s="56" t="str">
        <x:v>followup.efficiency</x:v>
      </x:c>
      <x:c r="F1594" s="56" t="str">
        <x:v>操作效率</x:v>
      </x:c>
      <x:c r="G1594" s="56" t="n">
        <x:v>10</x:v>
      </x:c>
      <x:c r="H1594" s="56" t="str">
        <x:v>普通得分项</x:v>
      </x:c>
      <x:c r="I1594" s="56" t="str">
        <x:v>否</x:v>
      </x:c>
      <x:c r="J1594" s="56" t="str">
        <x:v>否</x:v>
      </x:c>
      <x:c r="K1594" s="56" t="str">
        <x:v>否</x:v>
      </x:c>
      <x:c r="L1594" s="56" t="str">
        <x:v>按结构化事件证据给予0/部分/满分；不能由总结反推已完成</x:v>
      </x:c>
      <x:c r="M1594" s="56" t="str"/>
      <x:c r="N1594" s="56" t="n">
        <x:f>SUMIFS($G$4:$G$1673,$A$4:$A$1673,A1594)</x:f>
        <x:v>360</x:v>
      </x:c>
      <x:c r="O1594" s="56" t="str">
        <x:f>IF(N1594=360,"通过","失败")</x:f>
        <x:v>通过</x:v>
      </x:c>
      <x:c r="P1594" s="56" t="str"/>
      <x:c r="Q1594" s="59" t="str">
        <x:v>待确认</x:v>
      </x:c>
    </x:row>
    <x:row r="1595">
      <x:c r="A1595" s="56" t="str">
        <x:v>P041</x:v>
      </x:c>
      <x:c r="B1595" s="56" t="str">
        <x:v>HX-ADD-029</x:v>
      </x:c>
      <x:c r="C1595" s="56" t="str">
        <x:v>history</x:v>
      </x:c>
      <x:c r="D1595" s="56" t="n">
        <x:v>50</x:v>
      </x:c>
      <x:c r="E1595" s="56" t="str">
        <x:v>history.hematuria_visibility</x:v>
      </x:c>
      <x:c r="F1595" s="56" t="str">
        <x:v>hematuria_visibility</x:v>
      </x:c>
      <x:c r="G1595" s="56" t="n">
        <x:v>5</x:v>
      </x:c>
      <x:c r="H1595" s="56" t="str">
        <x:v>普通得分项</x:v>
      </x:c>
      <x:c r="I1595" s="56" t="str">
        <x:v>否</x:v>
      </x:c>
      <x:c r="J1595" s="56" t="str">
        <x:v>否</x:v>
      </x:c>
      <x:c r="K1595" s="56" t="str">
        <x:v>否</x:v>
      </x:c>
      <x:c r="L1595" s="56" t="str">
        <x:v>按结构化事件证据给予0/部分/满分；不能由总结反推已完成</x:v>
      </x:c>
      <x:c r="M1595" s="56" t="str"/>
      <x:c r="N1595" s="56" t="n">
        <x:f>SUMIFS($G$4:$G$1673,$A$4:$A$1673,A1595)</x:f>
        <x:v>360</x:v>
      </x:c>
      <x:c r="O1595" s="56" t="str">
        <x:f>IF(N1595=360,"通过","失败")</x:f>
        <x:v>通过</x:v>
      </x:c>
      <x:c r="P1595" s="56" t="str"/>
      <x:c r="Q1595" s="59" t="str">
        <x:v>待确认</x:v>
      </x:c>
    </x:row>
    <x:row r="1596">
      <x:c r="A1596" s="56" t="str">
        <x:v>P041</x:v>
      </x:c>
      <x:c r="B1596" s="56" t="str">
        <x:v>HX-ADD-029</x:v>
      </x:c>
      <x:c r="C1596" s="56" t="str">
        <x:v>history</x:v>
      </x:c>
      <x:c r="D1596" s="56" t="n">
        <x:v>50</x:v>
      </x:c>
      <x:c r="E1596" s="56" t="str">
        <x:v>history.hematuria_onset</x:v>
      </x:c>
      <x:c r="F1596" s="56" t="str">
        <x:v>hematuria_onset</x:v>
      </x:c>
      <x:c r="G1596" s="56" t="n">
        <x:v>5</x:v>
      </x:c>
      <x:c r="H1596" s="56" t="str">
        <x:v>普通得分项</x:v>
      </x:c>
      <x:c r="I1596" s="56" t="str">
        <x:v>否</x:v>
      </x:c>
      <x:c r="J1596" s="56" t="str">
        <x:v>否</x:v>
      </x:c>
      <x:c r="K1596" s="56" t="str">
        <x:v>否</x:v>
      </x:c>
      <x:c r="L1596" s="56" t="str">
        <x:v>按结构化事件证据给予0/部分/满分；不能由总结反推已完成</x:v>
      </x:c>
      <x:c r="M1596" s="56" t="str"/>
      <x:c r="N1596" s="56" t="n">
        <x:f>SUMIFS($G$4:$G$1673,$A$4:$A$1673,A1596)</x:f>
        <x:v>360</x:v>
      </x:c>
      <x:c r="O1596" s="56" t="str">
        <x:f>IF(N1596=360,"通过","失败")</x:f>
        <x:v>通过</x:v>
      </x:c>
      <x:c r="P1596" s="56" t="str"/>
      <x:c r="Q1596" s="59" t="str">
        <x:v>待确认</x:v>
      </x:c>
    </x:row>
    <x:row r="1597">
      <x:c r="A1597" s="56" t="str">
        <x:v>P041</x:v>
      </x:c>
      <x:c r="B1597" s="56" t="str">
        <x:v>HX-ADD-029</x:v>
      </x:c>
      <x:c r="C1597" s="56" t="str">
        <x:v>history</x:v>
      </x:c>
      <x:c r="D1597" s="56" t="n">
        <x:v>50</x:v>
      </x:c>
      <x:c r="E1597" s="56" t="str">
        <x:v>history.hematuria_frequency</x:v>
      </x:c>
      <x:c r="F1597" s="56" t="str">
        <x:v>hematuria_frequency</x:v>
      </x:c>
      <x:c r="G1597" s="56" t="n">
        <x:v>4</x:v>
      </x:c>
      <x:c r="H1597" s="56" t="str">
        <x:v>普通得分项</x:v>
      </x:c>
      <x:c r="I1597" s="56" t="str">
        <x:v>否</x:v>
      </x:c>
      <x:c r="J1597" s="56" t="str">
        <x:v>否</x:v>
      </x:c>
      <x:c r="K1597" s="56" t="str">
        <x:v>否</x:v>
      </x:c>
      <x:c r="L1597" s="56" t="str">
        <x:v>按结构化事件证据给予0/部分/满分；不能由总结反推已完成</x:v>
      </x:c>
      <x:c r="M1597" s="56" t="str"/>
      <x:c r="N1597" s="56" t="n">
        <x:f>SUMIFS($G$4:$G$1673,$A$4:$A$1673,A1597)</x:f>
        <x:v>360</x:v>
      </x:c>
      <x:c r="O1597" s="56" t="str">
        <x:f>IF(N1597=360,"通过","失败")</x:f>
        <x:v>通过</x:v>
      </x:c>
      <x:c r="P1597" s="56" t="str"/>
      <x:c r="Q1597" s="59" t="str">
        <x:v>待确认</x:v>
      </x:c>
    </x:row>
    <x:row r="1598">
      <x:c r="A1598" s="56" t="str">
        <x:v>P041</x:v>
      </x:c>
      <x:c r="B1598" s="56" t="str">
        <x:v>HX-ADD-029</x:v>
      </x:c>
      <x:c r="C1598" s="56" t="str">
        <x:v>history</x:v>
      </x:c>
      <x:c r="D1598" s="56" t="n">
        <x:v>50</x:v>
      </x:c>
      <x:c r="E1598" s="56" t="str">
        <x:v>history.hematuria_phase</x:v>
      </x:c>
      <x:c r="F1598" s="56" t="str">
        <x:v>hematuria_phase</x:v>
      </x:c>
      <x:c r="G1598" s="56" t="n">
        <x:v>4</x:v>
      </x:c>
      <x:c r="H1598" s="56" t="str">
        <x:v>普通得分项</x:v>
      </x:c>
      <x:c r="I1598" s="56" t="str">
        <x:v>否</x:v>
      </x:c>
      <x:c r="J1598" s="56" t="str">
        <x:v>否</x:v>
      </x:c>
      <x:c r="K1598" s="56" t="str">
        <x:v>否</x:v>
      </x:c>
      <x:c r="L1598" s="56" t="str">
        <x:v>按结构化事件证据给予0/部分/满分；不能由总结反推已完成</x:v>
      </x:c>
      <x:c r="M1598" s="56" t="str"/>
      <x:c r="N1598" s="56" t="n">
        <x:f>SUMIFS($G$4:$G$1673,$A$4:$A$1673,A1598)</x:f>
        <x:v>360</x:v>
      </x:c>
      <x:c r="O1598" s="56" t="str">
        <x:f>IF(N1598=360,"通过","失败")</x:f>
        <x:v>通过</x:v>
      </x:c>
      <x:c r="P1598" s="56" t="str"/>
      <x:c r="Q1598" s="59" t="str">
        <x:v>待确认</x:v>
      </x:c>
    </x:row>
    <x:row r="1599">
      <x:c r="A1599" s="56" t="str">
        <x:v>P041</x:v>
      </x:c>
      <x:c r="B1599" s="56" t="str">
        <x:v>HX-ADD-029</x:v>
      </x:c>
      <x:c r="C1599" s="56" t="str">
        <x:v>history</x:v>
      </x:c>
      <x:c r="D1599" s="56" t="n">
        <x:v>50</x:v>
      </x:c>
      <x:c r="E1599" s="56" t="str">
        <x:v>history.urine_color</x:v>
      </x:c>
      <x:c r="F1599" s="56" t="str">
        <x:v>urine_color</x:v>
      </x:c>
      <x:c r="G1599" s="56" t="n">
        <x:v>4</x:v>
      </x:c>
      <x:c r="H1599" s="56" t="str">
        <x:v>普通得分项</x:v>
      </x:c>
      <x:c r="I1599" s="56" t="str">
        <x:v>否</x:v>
      </x:c>
      <x:c r="J1599" s="56" t="str">
        <x:v>否</x:v>
      </x:c>
      <x:c r="K1599" s="56" t="str">
        <x:v>否</x:v>
      </x:c>
      <x:c r="L1599" s="56" t="str">
        <x:v>按结构化事件证据给予0/部分/满分；不能由总结反推已完成</x:v>
      </x:c>
      <x:c r="M1599" s="56" t="str"/>
      <x:c r="N1599" s="56" t="n">
        <x:f>SUMIFS($G$4:$G$1673,$A$4:$A$1673,A1599)</x:f>
        <x:v>360</x:v>
      </x:c>
      <x:c r="O1599" s="56" t="str">
        <x:f>IF(N1599=360,"通过","失败")</x:f>
        <x:v>通过</x:v>
      </x:c>
      <x:c r="P1599" s="56" t="str"/>
      <x:c r="Q1599" s="59" t="str">
        <x:v>待确认</x:v>
      </x:c>
    </x:row>
    <x:row r="1600">
      <x:c r="A1600" s="56" t="str">
        <x:v>P041</x:v>
      </x:c>
      <x:c r="B1600" s="56" t="str">
        <x:v>HX-ADD-029</x:v>
      </x:c>
      <x:c r="C1600" s="56" t="str">
        <x:v>history</x:v>
      </x:c>
      <x:c r="D1600" s="56" t="n">
        <x:v>50</x:v>
      </x:c>
      <x:c r="E1600" s="56" t="str">
        <x:v>history.clots</x:v>
      </x:c>
      <x:c r="F1600" s="56" t="str">
        <x:v>clots</x:v>
      </x:c>
      <x:c r="G1600" s="56" t="n">
        <x:v>4</x:v>
      </x:c>
      <x:c r="H1600" s="56" t="str">
        <x:v>普通得分项</x:v>
      </x:c>
      <x:c r="I1600" s="56" t="str">
        <x:v>否</x:v>
      </x:c>
      <x:c r="J1600" s="56" t="str">
        <x:v>否</x:v>
      </x:c>
      <x:c r="K1600" s="56" t="str">
        <x:v>否</x:v>
      </x:c>
      <x:c r="L1600" s="56" t="str">
        <x:v>按结构化事件证据给予0/部分/满分；不能由总结反推已完成</x:v>
      </x:c>
      <x:c r="M1600" s="56" t="str"/>
      <x:c r="N1600" s="56" t="n">
        <x:f>SUMIFS($G$4:$G$1673,$A$4:$A$1673,A1600)</x:f>
        <x:v>360</x:v>
      </x:c>
      <x:c r="O1600" s="56" t="str">
        <x:f>IF(N1600=360,"通过","失败")</x:f>
        <x:v>通过</x:v>
      </x:c>
      <x:c r="P1600" s="56" t="str"/>
      <x:c r="Q1600" s="59" t="str">
        <x:v>待确认</x:v>
      </x:c>
    </x:row>
    <x:row r="1601">
      <x:c r="A1601" s="56" t="str">
        <x:v>P041</x:v>
      </x:c>
      <x:c r="B1601" s="56" t="str">
        <x:v>HX-ADD-029</x:v>
      </x:c>
      <x:c r="C1601" s="56" t="str">
        <x:v>history</x:v>
      </x:c>
      <x:c r="D1601" s="56" t="n">
        <x:v>50</x:v>
      </x:c>
      <x:c r="E1601" s="56" t="str">
        <x:v>history.pain</x:v>
      </x:c>
      <x:c r="F1601" s="56" t="str">
        <x:v>pain</x:v>
      </x:c>
      <x:c r="G1601" s="56" t="n">
        <x:v>4</x:v>
      </x:c>
      <x:c r="H1601" s="56" t="str">
        <x:v>普通得分项</x:v>
      </x:c>
      <x:c r="I1601" s="56" t="str">
        <x:v>否</x:v>
      </x:c>
      <x:c r="J1601" s="56" t="str">
        <x:v>否</x:v>
      </x:c>
      <x:c r="K1601" s="56" t="str">
        <x:v>否</x:v>
      </x:c>
      <x:c r="L1601" s="56" t="str">
        <x:v>按结构化事件证据给予0/部分/满分；不能由总结反推已完成</x:v>
      </x:c>
      <x:c r="M1601" s="56" t="str"/>
      <x:c r="N1601" s="56" t="n">
        <x:f>SUMIFS($G$4:$G$1673,$A$4:$A$1673,A1601)</x:f>
        <x:v>360</x:v>
      </x:c>
      <x:c r="O1601" s="56" t="str">
        <x:f>IF(N1601=360,"通过","失败")</x:f>
        <x:v>通过</x:v>
      </x:c>
      <x:c r="P1601" s="56" t="str"/>
      <x:c r="Q1601" s="59" t="str">
        <x:v>待确认</x:v>
      </x:c>
    </x:row>
    <x:row r="1602">
      <x:c r="A1602" s="56" t="str">
        <x:v>P041</x:v>
      </x:c>
      <x:c r="B1602" s="56" t="str">
        <x:v>HX-ADD-029</x:v>
      </x:c>
      <x:c r="C1602" s="56" t="str">
        <x:v>history</x:v>
      </x:c>
      <x:c r="D1602" s="56" t="n">
        <x:v>50</x:v>
      </x:c>
      <x:c r="E1602" s="56" t="str">
        <x:v>history.dysuria</x:v>
      </x:c>
      <x:c r="F1602" s="56" t="str">
        <x:v>dysuria</x:v>
      </x:c>
      <x:c r="G1602" s="56" t="n">
        <x:v>4</x:v>
      </x:c>
      <x:c r="H1602" s="56" t="str">
        <x:v>普通得分项</x:v>
      </x:c>
      <x:c r="I1602" s="56" t="str">
        <x:v>否</x:v>
      </x:c>
      <x:c r="J1602" s="56" t="str">
        <x:v>否</x:v>
      </x:c>
      <x:c r="K1602" s="56" t="str">
        <x:v>否</x:v>
      </x:c>
      <x:c r="L1602" s="56" t="str">
        <x:v>按结构化事件证据给予0/部分/满分；不能由总结反推已完成</x:v>
      </x:c>
      <x:c r="M1602" s="56" t="str"/>
      <x:c r="N1602" s="56" t="n">
        <x:f>SUMIFS($G$4:$G$1673,$A$4:$A$1673,A1602)</x:f>
        <x:v>360</x:v>
      </x:c>
      <x:c r="O1602" s="56" t="str">
        <x:f>IF(N1602=360,"通过","失败")</x:f>
        <x:v>通过</x:v>
      </x:c>
      <x:c r="P1602" s="56" t="str"/>
      <x:c r="Q1602" s="59" t="str">
        <x:v>待确认</x:v>
      </x:c>
    </x:row>
    <x:row r="1603">
      <x:c r="A1603" s="56" t="str">
        <x:v>P041</x:v>
      </x:c>
      <x:c r="B1603" s="56" t="str">
        <x:v>HX-ADD-029</x:v>
      </x:c>
      <x:c r="C1603" s="56" t="str">
        <x:v>history</x:v>
      </x:c>
      <x:c r="D1603" s="56" t="n">
        <x:v>50</x:v>
      </x:c>
      <x:c r="E1603" s="56" t="str">
        <x:v>history.urinary_frequency</x:v>
      </x:c>
      <x:c r="F1603" s="56" t="str">
        <x:v>urinary_frequency</x:v>
      </x:c>
      <x:c r="G1603" s="56" t="n">
        <x:v>4</x:v>
      </x:c>
      <x:c r="H1603" s="56" t="str">
        <x:v>普通得分项</x:v>
      </x:c>
      <x:c r="I1603" s="56" t="str">
        <x:v>否</x:v>
      </x:c>
      <x:c r="J1603" s="56" t="str">
        <x:v>否</x:v>
      </x:c>
      <x:c r="K1603" s="56" t="str">
        <x:v>否</x:v>
      </x:c>
      <x:c r="L1603" s="56" t="str">
        <x:v>按结构化事件证据给予0/部分/满分；不能由总结反推已完成</x:v>
      </x:c>
      <x:c r="M1603" s="56" t="str"/>
      <x:c r="N1603" s="56" t="n">
        <x:f>SUMIFS($G$4:$G$1673,$A$4:$A$1673,A1603)</x:f>
        <x:v>360</x:v>
      </x:c>
      <x:c r="O1603" s="56" t="str">
        <x:f>IF(N1603=360,"通过","失败")</x:f>
        <x:v>通过</x:v>
      </x:c>
      <x:c r="P1603" s="56" t="str"/>
      <x:c r="Q1603" s="59" t="str">
        <x:v>待确认</x:v>
      </x:c>
    </x:row>
    <x:row r="1604">
      <x:c r="A1604" s="56" t="str">
        <x:v>P041</x:v>
      </x:c>
      <x:c r="B1604" s="56" t="str">
        <x:v>HX-ADD-029</x:v>
      </x:c>
      <x:c r="C1604" s="56" t="str">
        <x:v>history</x:v>
      </x:c>
      <x:c r="D1604" s="56" t="n">
        <x:v>50</x:v>
      </x:c>
      <x:c r="E1604" s="56" t="str">
        <x:v>history.urinary_urgency</x:v>
      </x:c>
      <x:c r="F1604" s="56" t="str">
        <x:v>urinary_urgency</x:v>
      </x:c>
      <x:c r="G1604" s="56" t="n">
        <x:v>4</x:v>
      </x:c>
      <x:c r="H1604" s="56" t="str">
        <x:v>普通得分项</x:v>
      </x:c>
      <x:c r="I1604" s="56" t="str">
        <x:v>否</x:v>
      </x:c>
      <x:c r="J1604" s="56" t="str">
        <x:v>否</x:v>
      </x:c>
      <x:c r="K1604" s="56" t="str">
        <x:v>否</x:v>
      </x:c>
      <x:c r="L1604" s="56" t="str">
        <x:v>按结构化事件证据给予0/部分/满分；不能由总结反推已完成</x:v>
      </x:c>
      <x:c r="M1604" s="56" t="str"/>
      <x:c r="N1604" s="56" t="n">
        <x:f>SUMIFS($G$4:$G$1673,$A$4:$A$1673,A1604)</x:f>
        <x:v>360</x:v>
      </x:c>
      <x:c r="O1604" s="56" t="str">
        <x:f>IF(N1604=360,"通过","失败")</x:f>
        <x:v>通过</x:v>
      </x:c>
      <x:c r="P1604" s="56" t="str"/>
      <x:c r="Q1604" s="59" t="str">
        <x:v>待确认</x:v>
      </x:c>
    </x:row>
    <x:row r="1605">
      <x:c r="A1605" s="56" t="str">
        <x:v>P041</x:v>
      </x:c>
      <x:c r="B1605" s="56" t="str">
        <x:v>HX-ADD-029</x:v>
      </x:c>
      <x:c r="C1605" s="56" t="str">
        <x:v>history</x:v>
      </x:c>
      <x:c r="D1605" s="56" t="n">
        <x:v>50</x:v>
      </x:c>
      <x:c r="E1605" s="56" t="str">
        <x:v>history.flank_pain</x:v>
      </x:c>
      <x:c r="F1605" s="56" t="str">
        <x:v>flank_pain</x:v>
      </x:c>
      <x:c r="G1605" s="56" t="n">
        <x:v>4</x:v>
      </x:c>
      <x:c r="H1605" s="56" t="str">
        <x:v>普通得分项</x:v>
      </x:c>
      <x:c r="I1605" s="56" t="str">
        <x:v>否</x:v>
      </x:c>
      <x:c r="J1605" s="56" t="str">
        <x:v>否</x:v>
      </x:c>
      <x:c r="K1605" s="56" t="str">
        <x:v>否</x:v>
      </x:c>
      <x:c r="L1605" s="56" t="str">
        <x:v>按结构化事件证据给予0/部分/满分；不能由总结反推已完成</x:v>
      </x:c>
      <x:c r="M1605" s="56" t="str"/>
      <x:c r="N1605" s="56" t="n">
        <x:f>SUMIFS($G$4:$G$1673,$A$4:$A$1673,A1605)</x:f>
        <x:v>360</x:v>
      </x:c>
      <x:c r="O1605" s="56" t="str">
        <x:f>IF(N1605=360,"通过","失败")</x:f>
        <x:v>通过</x:v>
      </x:c>
      <x:c r="P1605" s="56" t="str"/>
      <x:c r="Q1605" s="59" t="str">
        <x:v>待确认</x:v>
      </x:c>
    </x:row>
    <x:row r="1606">
      <x:c r="A1606" s="56" t="str">
        <x:v>P041</x:v>
      </x:c>
      <x:c r="B1606" s="56" t="str">
        <x:v>HX-ADD-029</x:v>
      </x:c>
      <x:c r="C1606" s="56" t="str">
        <x:v>history</x:v>
      </x:c>
      <x:c r="D1606" s="56" t="n">
        <x:v>50</x:v>
      </x:c>
      <x:c r="E1606" s="56" t="str">
        <x:v>history.fever_chills</x:v>
      </x:c>
      <x:c r="F1606" s="56" t="str">
        <x:v>fever_chills</x:v>
      </x:c>
      <x:c r="G1606" s="56" t="n">
        <x:v>4</x:v>
      </x:c>
      <x:c r="H1606" s="56" t="str">
        <x:v>普通得分项</x:v>
      </x:c>
      <x:c r="I1606" s="56" t="str">
        <x:v>否</x:v>
      </x:c>
      <x:c r="J1606" s="56" t="str">
        <x:v>否</x:v>
      </x:c>
      <x:c r="K1606" s="56" t="str">
        <x:v>否</x:v>
      </x:c>
      <x:c r="L1606" s="56" t="str">
        <x:v>按结构化事件证据给予0/部分/满分；不能由总结反推已完成</x:v>
      </x:c>
      <x:c r="M1606" s="56" t="str"/>
      <x:c r="N1606" s="56" t="n">
        <x:f>SUMIFS($G$4:$G$1673,$A$4:$A$1673,A1606)</x:f>
        <x:v>360</x:v>
      </x:c>
      <x:c r="O1606" s="56" t="str">
        <x:f>IF(N1606=360,"通过","失败")</x:f>
        <x:v>通过</x:v>
      </x:c>
      <x:c r="P1606" s="56" t="str"/>
      <x:c r="Q1606" s="59" t="str">
        <x:v>待确认</x:v>
      </x:c>
    </x:row>
    <x:row r="1607">
      <x:c r="A1607" s="56" t="str">
        <x:v>P041</x:v>
      </x:c>
      <x:c r="B1607" s="56" t="str">
        <x:v>HX-ADD-029</x:v>
      </x:c>
      <x:c r="C1607" s="56" t="str">
        <x:v>risk</x:v>
      </x:c>
      <x:c r="D1607" s="56" t="n">
        <x:v>40</x:v>
      </x:c>
      <x:c r="E1607" s="56" t="str">
        <x:v>risk.smoking</x:v>
      </x:c>
      <x:c r="F1607" s="56" t="str">
        <x:v>smoking</x:v>
      </x:c>
      <x:c r="G1607" s="56" t="n">
        <x:v>10</x:v>
      </x:c>
      <x:c r="H1607" s="56" t="str">
        <x:v>普通得分项</x:v>
      </x:c>
      <x:c r="I1607" s="56" t="str">
        <x:v>否</x:v>
      </x:c>
      <x:c r="J1607" s="56" t="str">
        <x:v>否</x:v>
      </x:c>
      <x:c r="K1607" s="56" t="str">
        <x:v>否</x:v>
      </x:c>
      <x:c r="L1607" s="56" t="str">
        <x:v>按结构化事件证据给予0/部分/满分；不能由总结反推已完成</x:v>
      </x:c>
      <x:c r="M1607" s="56" t="str"/>
      <x:c r="N1607" s="56" t="n">
        <x:f>SUMIFS($G$4:$G$1673,$A$4:$A$1673,A1607)</x:f>
        <x:v>360</x:v>
      </x:c>
      <x:c r="O1607" s="56" t="str">
        <x:f>IF(N1607=360,"通过","失败")</x:f>
        <x:v>通过</x:v>
      </x:c>
      <x:c r="P1607" s="56" t="str"/>
      <x:c r="Q1607" s="59" t="str">
        <x:v>待确认</x:v>
      </x:c>
    </x:row>
    <x:row r="1608">
      <x:c r="A1608" s="56" t="str">
        <x:v>P041</x:v>
      </x:c>
      <x:c r="B1608" s="56" t="str">
        <x:v>HX-ADD-029</x:v>
      </x:c>
      <x:c r="C1608" s="56" t="str">
        <x:v>risk</x:v>
      </x:c>
      <x:c r="D1608" s="56" t="n">
        <x:v>40</x:v>
      </x:c>
      <x:c r="E1608" s="56" t="str">
        <x:v>risk.anticoagulant</x:v>
      </x:c>
      <x:c r="F1608" s="56" t="str">
        <x:v>anticoagulant</x:v>
      </x:c>
      <x:c r="G1608" s="56" t="n">
        <x:v>10</x:v>
      </x:c>
      <x:c r="H1608" s="56" t="str">
        <x:v>普通得分项</x:v>
      </x:c>
      <x:c r="I1608" s="56" t="str">
        <x:v>否</x:v>
      </x:c>
      <x:c r="J1608" s="56" t="str">
        <x:v>否</x:v>
      </x:c>
      <x:c r="K1608" s="56" t="str">
        <x:v>否</x:v>
      </x:c>
      <x:c r="L1608" s="56" t="str">
        <x:v>按结构化事件证据给予0/部分/满分；不能由总结反推已完成</x:v>
      </x:c>
      <x:c r="M1608" s="56" t="str"/>
      <x:c r="N1608" s="56" t="n">
        <x:f>SUMIFS($G$4:$G$1673,$A$4:$A$1673,A1608)</x:f>
        <x:v>360</x:v>
      </x:c>
      <x:c r="O1608" s="56" t="str">
        <x:f>IF(N1608=360,"通过","失败")</x:f>
        <x:v>通过</x:v>
      </x:c>
      <x:c r="P1608" s="56" t="str"/>
      <x:c r="Q1608" s="59" t="str">
        <x:v>待确认</x:v>
      </x:c>
    </x:row>
    <x:row r="1609">
      <x:c r="A1609" s="56" t="str">
        <x:v>P041</x:v>
      </x:c>
      <x:c r="B1609" s="56" t="str">
        <x:v>HX-ADD-029</x:v>
      </x:c>
      <x:c r="C1609" s="56" t="str">
        <x:v>risk</x:v>
      </x:c>
      <x:c r="D1609" s="56" t="n">
        <x:v>40</x:v>
      </x:c>
      <x:c r="E1609" s="56" t="str">
        <x:v>risk.family_history</x:v>
      </x:c>
      <x:c r="F1609" s="56" t="str">
        <x:v>family_history</x:v>
      </x:c>
      <x:c r="G1609" s="56" t="n">
        <x:v>10</x:v>
      </x:c>
      <x:c r="H1609" s="56" t="str">
        <x:v>普通得分项</x:v>
      </x:c>
      <x:c r="I1609" s="56" t="str">
        <x:v>否</x:v>
      </x:c>
      <x:c r="J1609" s="56" t="str">
        <x:v>否</x:v>
      </x:c>
      <x:c r="K1609" s="56" t="str">
        <x:v>否</x:v>
      </x:c>
      <x:c r="L1609" s="56" t="str">
        <x:v>按结构化事件证据给予0/部分/满分；不能由总结反推已完成</x:v>
      </x:c>
      <x:c r="M1609" s="56" t="str"/>
      <x:c r="N1609" s="56" t="n">
        <x:f>SUMIFS($G$4:$G$1673,$A$4:$A$1673,A1609)</x:f>
        <x:v>360</x:v>
      </x:c>
      <x:c r="O1609" s="56" t="str">
        <x:f>IF(N1609=360,"通过","失败")</x:f>
        <x:v>通过</x:v>
      </x:c>
      <x:c r="P1609" s="56" t="str"/>
      <x:c r="Q1609" s="59" t="str">
        <x:v>待确认</x:v>
      </x:c>
    </x:row>
    <x:row r="1610">
      <x:c r="A1610" s="56" t="str">
        <x:v>P041</x:v>
      </x:c>
      <x:c r="B1610" s="56" t="str">
        <x:v>HX-ADD-029</x:v>
      </x:c>
      <x:c r="C1610" s="56" t="str">
        <x:v>risk</x:v>
      </x:c>
      <x:c r="D1610" s="56" t="n">
        <x:v>40</x:v>
      </x:c>
      <x:c r="E1610" s="56" t="str">
        <x:v>risk.gynecologic_contamination</x:v>
      </x:c>
      <x:c r="F1610" s="56" t="str">
        <x:v>gynecologic_contamination</x:v>
      </x:c>
      <x:c r="G1610" s="56" t="n">
        <x:v>10</x:v>
      </x:c>
      <x:c r="H1610" s="56" t="str">
        <x:v>普通得分项</x:v>
      </x:c>
      <x:c r="I1610" s="56" t="str">
        <x:v>否</x:v>
      </x:c>
      <x:c r="J1610" s="56" t="str">
        <x:v>否</x:v>
      </x:c>
      <x:c r="K1610" s="56" t="str">
        <x:v>否</x:v>
      </x:c>
      <x:c r="L1610" s="56" t="str">
        <x:v>按结构化事件证据给予0/部分/满分；不能由总结反推已完成</x:v>
      </x:c>
      <x:c r="M1610" s="56" t="str"/>
      <x:c r="N1610" s="56" t="n">
        <x:f>SUMIFS($G$4:$G$1673,$A$4:$A$1673,A1610)</x:f>
        <x:v>360</x:v>
      </x:c>
      <x:c r="O1610" s="56" t="str">
        <x:f>IF(N1610=360,"通过","失败")</x:f>
        <x:v>通过</x:v>
      </x:c>
      <x:c r="P1610" s="56" t="str"/>
      <x:c r="Q1610" s="59" t="str">
        <x:v>待确认</x:v>
      </x:c>
    </x:row>
    <x:row r="1611">
      <x:c r="A1611" s="56" t="str">
        <x:v>P041</x:v>
      </x:c>
      <x:c r="B1611" s="56" t="str">
        <x:v>HX-ADD-029</x:v>
      </x:c>
      <x:c r="C1611" s="56" t="str">
        <x:v>exam</x:v>
      </x:c>
      <x:c r="D1611" s="56" t="n">
        <x:v>35</x:v>
      </x:c>
      <x:c r="E1611" s="56" t="str">
        <x:v>exam.temperature</x:v>
      </x:c>
      <x:c r="F1611" s="56" t="str">
        <x:v>体温</x:v>
      </x:c>
      <x:c r="G1611" s="56" t="n">
        <x:v>12</x:v>
      </x:c>
      <x:c r="H1611" s="56" t="str">
        <x:v>普通得分项</x:v>
      </x:c>
      <x:c r="I1611" s="56" t="str">
        <x:v>否</x:v>
      </x:c>
      <x:c r="J1611" s="56" t="str">
        <x:v>否</x:v>
      </x:c>
      <x:c r="K1611" s="56" t="str">
        <x:v>否</x:v>
      </x:c>
      <x:c r="L1611" s="56" t="str">
        <x:v>按结构化事件证据给予0/部分/满分；不能由总结反推已完成</x:v>
      </x:c>
      <x:c r="M1611" s="56" t="str"/>
      <x:c r="N1611" s="56" t="n">
        <x:f>SUMIFS($G$4:$G$1673,$A$4:$A$1673,A1611)</x:f>
        <x:v>360</x:v>
      </x:c>
      <x:c r="O1611" s="56" t="str">
        <x:f>IF(N1611=360,"通过","失败")</x:f>
        <x:v>通过</x:v>
      </x:c>
      <x:c r="P1611" s="56" t="str"/>
      <x:c r="Q1611" s="59" t="str">
        <x:v>待确认</x:v>
      </x:c>
    </x:row>
    <x:row r="1612">
      <x:c r="A1612" s="56" t="str">
        <x:v>P041</x:v>
      </x:c>
      <x:c r="B1612" s="56" t="str">
        <x:v>HX-ADD-029</x:v>
      </x:c>
      <x:c r="C1612" s="56" t="str">
        <x:v>exam</x:v>
      </x:c>
      <x:c r="D1612" s="56" t="n">
        <x:v>35</x:v>
      </x:c>
      <x:c r="E1612" s="56" t="str">
        <x:v>exam.blood_pressure</x:v>
      </x:c>
      <x:c r="F1612" s="56" t="str">
        <x:v>血压</x:v>
      </x:c>
      <x:c r="G1612" s="56" t="n">
        <x:v>12</x:v>
      </x:c>
      <x:c r="H1612" s="56" t="str">
        <x:v>普通得分项</x:v>
      </x:c>
      <x:c r="I1612" s="56" t="str">
        <x:v>否</x:v>
      </x:c>
      <x:c r="J1612" s="56" t="str">
        <x:v>否</x:v>
      </x:c>
      <x:c r="K1612" s="56" t="str">
        <x:v>否</x:v>
      </x:c>
      <x:c r="L1612" s="56" t="str">
        <x:v>按结构化事件证据给予0/部分/满分；不能由总结反推已完成</x:v>
      </x:c>
      <x:c r="M1612" s="56" t="str"/>
      <x:c r="N1612" s="56" t="n">
        <x:f>SUMIFS($G$4:$G$1673,$A$4:$A$1673,A1612)</x:f>
        <x:v>360</x:v>
      </x:c>
      <x:c r="O1612" s="56" t="str">
        <x:f>IF(N1612=360,"通过","失败")</x:f>
        <x:v>通过</x:v>
      </x:c>
      <x:c r="P1612" s="56" t="str"/>
      <x:c r="Q1612" s="59" t="str">
        <x:v>待确认</x:v>
      </x:c>
    </x:row>
    <x:row r="1613">
      <x:c r="A1613" s="56" t="str">
        <x:v>P041</x:v>
      </x:c>
      <x:c r="B1613" s="56" t="str">
        <x:v>HX-ADD-029</x:v>
      </x:c>
      <x:c r="C1613" s="56" t="str">
        <x:v>exam</x:v>
      </x:c>
      <x:c r="D1613" s="56" t="n">
        <x:v>35</x:v>
      </x:c>
      <x:c r="E1613" s="56" t="str">
        <x:v>exam.targeted</x:v>
      </x:c>
      <x:c r="F1613" s="56" t="str">
        <x:v>病例针对性查体</x:v>
      </x:c>
      <x:c r="G1613" s="56" t="n">
        <x:v>11</x:v>
      </x:c>
      <x:c r="H1613" s="56" t="str">
        <x:v>普通得分项</x:v>
      </x:c>
      <x:c r="I1613" s="56" t="str">
        <x:v>否</x:v>
      </x:c>
      <x:c r="J1613" s="56" t="str">
        <x:v>否</x:v>
      </x:c>
      <x:c r="K1613" s="56" t="str">
        <x:v>否</x:v>
      </x:c>
      <x:c r="L1613" s="56" t="str">
        <x:v>按结构化事件证据给予0/部分/满分；不能由总结反推已完成</x:v>
      </x:c>
      <x:c r="M1613" s="56" t="str"/>
      <x:c r="N1613" s="56" t="n">
        <x:f>SUMIFS($G$4:$G$1673,$A$4:$A$1673,A1613)</x:f>
        <x:v>360</x:v>
      </x:c>
      <x:c r="O1613" s="56" t="str">
        <x:f>IF(N1613=360,"通过","失败")</x:f>
        <x:v>通过</x:v>
      </x:c>
      <x:c r="P1613" s="56" t="str"/>
      <x:c r="Q1613" s="59" t="str">
        <x:v>待确认</x:v>
      </x:c>
    </x:row>
    <x:row r="1614">
      <x:c r="A1614" s="56" t="str">
        <x:v>P041</x:v>
      </x:c>
      <x:c r="B1614" s="56" t="str">
        <x:v>HX-ADD-029</x:v>
      </x:c>
      <x:c r="C1614" s="56" t="str">
        <x:v>diagnosis</x:v>
      </x:c>
      <x:c r="D1614" s="56" t="n">
        <x:v>45</x:v>
      </x:c>
      <x:c r="E1614" s="56" t="str">
        <x:v>diagnosis.primary</x:v>
      </x:c>
      <x:c r="F1614" s="56" t="str">
        <x:v>最可能诊断及依据</x:v>
      </x:c>
      <x:c r="G1614" s="56" t="n">
        <x:v>15</x:v>
      </x:c>
      <x:c r="H1614" s="56" t="str">
        <x:v>普通得分项</x:v>
      </x:c>
      <x:c r="I1614" s="56" t="str">
        <x:v>否</x:v>
      </x:c>
      <x:c r="J1614" s="56" t="str">
        <x:v>否</x:v>
      </x:c>
      <x:c r="K1614" s="56" t="str">
        <x:v>否</x:v>
      </x:c>
      <x:c r="L1614" s="56" t="str">
        <x:v>按结构化事件证据给予0/部分/满分；不能由总结反推已完成</x:v>
      </x:c>
      <x:c r="M1614" s="56" t="str"/>
      <x:c r="N1614" s="56" t="n">
        <x:f>SUMIFS($G$4:$G$1673,$A$4:$A$1673,A1614)</x:f>
        <x:v>360</x:v>
      </x:c>
      <x:c r="O1614" s="56" t="str">
        <x:f>IF(N1614=360,"通过","失败")</x:f>
        <x:v>通过</x:v>
      </x:c>
      <x:c r="P1614" s="56" t="str"/>
      <x:c r="Q1614" s="59" t="str">
        <x:v>待确认</x:v>
      </x:c>
    </x:row>
    <x:row r="1615">
      <x:c r="A1615" s="56" t="str">
        <x:v>P041</x:v>
      </x:c>
      <x:c r="B1615" s="56" t="str">
        <x:v>HX-ADD-029</x:v>
      </x:c>
      <x:c r="C1615" s="56" t="str">
        <x:v>diagnosis</x:v>
      </x:c>
      <x:c r="D1615" s="56" t="n">
        <x:v>45</x:v>
      </x:c>
      <x:c r="E1615" s="56" t="str">
        <x:v>diagnosis.differentials</x:v>
      </x:c>
      <x:c r="F1615" s="56" t="str">
        <x:v>至少3项鉴别及支持/反对点</x:v>
      </x:c>
      <x:c r="G1615" s="56" t="n">
        <x:v>15</x:v>
      </x:c>
      <x:c r="H1615" s="56" t="str">
        <x:v>普通得分项</x:v>
      </x:c>
      <x:c r="I1615" s="56" t="str">
        <x:v>否</x:v>
      </x:c>
      <x:c r="J1615" s="56" t="str">
        <x:v>否</x:v>
      </x:c>
      <x:c r="K1615" s="56" t="str">
        <x:v>否</x:v>
      </x:c>
      <x:c r="L1615" s="56" t="str">
        <x:v>按结构化事件证据给予0/部分/满分；不能由总结反推已完成</x:v>
      </x:c>
      <x:c r="M1615" s="56" t="str"/>
      <x:c r="N1615" s="56" t="n">
        <x:f>SUMIFS($G$4:$G$1673,$A$4:$A$1673,A1615)</x:f>
        <x:v>360</x:v>
      </x:c>
      <x:c r="O1615" s="56" t="str">
        <x:f>IF(N1615=360,"通过","失败")</x:f>
        <x:v>通过</x:v>
      </x:c>
      <x:c r="P1615" s="56" t="str"/>
      <x:c r="Q1615" s="59" t="str">
        <x:v>待确认</x:v>
      </x:c>
    </x:row>
    <x:row r="1616">
      <x:c r="A1616" s="56" t="str">
        <x:v>P041</x:v>
      </x:c>
      <x:c r="B1616" s="56" t="str">
        <x:v>HX-ADD-029</x:v>
      </x:c>
      <x:c r="C1616" s="56" t="str">
        <x:v>diagnosis</x:v>
      </x:c>
      <x:c r="D1616" s="56" t="n">
        <x:v>45</x:v>
      </x:c>
      <x:c r="E1616" s="56" t="str">
        <x:v>diagnosis.confirmation</x:v>
      </x:c>
      <x:c r="F1616" s="56" t="str">
        <x:v>确认计划</x:v>
      </x:c>
      <x:c r="G1616" s="56" t="n">
        <x:v>15</x:v>
      </x:c>
      <x:c r="H1616" s="56" t="str">
        <x:v>普通得分项</x:v>
      </x:c>
      <x:c r="I1616" s="56" t="str">
        <x:v>否</x:v>
      </x:c>
      <x:c r="J1616" s="56" t="str">
        <x:v>否</x:v>
      </x:c>
      <x:c r="K1616" s="56" t="str">
        <x:v>否</x:v>
      </x:c>
      <x:c r="L1616" s="56" t="str">
        <x:v>按结构化事件证据给予0/部分/满分；不能由总结反推已完成</x:v>
      </x:c>
      <x:c r="M1616" s="56" t="str"/>
      <x:c r="N1616" s="56" t="n">
        <x:f>SUMIFS($G$4:$G$1673,$A$4:$A$1673,A1616)</x:f>
        <x:v>360</x:v>
      </x:c>
      <x:c r="O1616" s="56" t="str">
        <x:f>IF(N1616=360,"通过","失败")</x:f>
        <x:v>通过</x:v>
      </x:c>
      <x:c r="P1616" s="56" t="str"/>
      <x:c r="Q1616" s="59" t="str">
        <x:v>待确认</x:v>
      </x:c>
    </x:row>
    <x:row r="1617">
      <x:c r="A1617" s="56" t="str">
        <x:v>P041</x:v>
      </x:c>
      <x:c r="B1617" s="56" t="str">
        <x:v>HX-ADD-029</x:v>
      </x:c>
      <x:c r="C1617" s="56" t="str">
        <x:v>orders</x:v>
      </x:c>
      <x:c r="D1617" s="56" t="n">
        <x:v>55</x:v>
      </x:c>
      <x:c r="E1617" s="56" t="str">
        <x:v>orders.LAB-UR-001</x:v>
      </x:c>
      <x:c r="F1617" s="56" t="str">
        <x:v>LAB-UR-001</x:v>
      </x:c>
      <x:c r="G1617" s="56" t="n">
        <x:v>19</x:v>
      </x:c>
      <x:c r="H1617" s="56" t="str">
        <x:v>病例特异得分项</x:v>
      </x:c>
      <x:c r="I1617" s="56" t="str">
        <x:v>否</x:v>
      </x:c>
      <x:c r="J1617" s="56" t="str">
        <x:v>否</x:v>
      </x:c>
      <x:c r="K1617" s="56" t="str">
        <x:v>否</x:v>
      </x:c>
      <x:c r="L1617" s="56" t="str">
        <x:v>按结构化事件证据给予0/部分/满分；不能由总结反推已完成</x:v>
      </x:c>
      <x:c r="M1617" s="56" t="str"/>
      <x:c r="N1617" s="56" t="n">
        <x:f>SUMIFS($G$4:$G$1673,$A$4:$A$1673,A1617)</x:f>
        <x:v>360</x:v>
      </x:c>
      <x:c r="O1617" s="56" t="str">
        <x:f>IF(N1617=360,"通过","失败")</x:f>
        <x:v>通过</x:v>
      </x:c>
      <x:c r="P1617" s="56" t="str"/>
      <x:c r="Q1617" s="59" t="str">
        <x:v>待确认</x:v>
      </x:c>
    </x:row>
    <x:row r="1618">
      <x:c r="A1618" s="56" t="str">
        <x:v>P041</x:v>
      </x:c>
      <x:c r="B1618" s="56" t="str">
        <x:v>HX-ADD-029</x:v>
      </x:c>
      <x:c r="C1618" s="56" t="str">
        <x:v>orders</x:v>
      </x:c>
      <x:c r="D1618" s="56" t="n">
        <x:v>55</x:v>
      </x:c>
      <x:c r="E1618" s="56" t="str">
        <x:v>orders.LAB-UR-002</x:v>
      </x:c>
      <x:c r="F1618" s="56" t="str">
        <x:v>LAB-UR-002</x:v>
      </x:c>
      <x:c r="G1618" s="56" t="n">
        <x:v>18</x:v>
      </x:c>
      <x:c r="H1618" s="56" t="str">
        <x:v>病例特异得分项</x:v>
      </x:c>
      <x:c r="I1618" s="56" t="str">
        <x:v>否</x:v>
      </x:c>
      <x:c r="J1618" s="56" t="str">
        <x:v>否</x:v>
      </x:c>
      <x:c r="K1618" s="56" t="str">
        <x:v>否</x:v>
      </x:c>
      <x:c r="L1618" s="56" t="str">
        <x:v>按结构化事件证据给予0/部分/满分；不能由总结反推已完成</x:v>
      </x:c>
      <x:c r="M1618" s="56" t="str"/>
      <x:c r="N1618" s="56" t="n">
        <x:f>SUMIFS($G$4:$G$1673,$A$4:$A$1673,A1618)</x:f>
        <x:v>360</x:v>
      </x:c>
      <x:c r="O1618" s="56" t="str">
        <x:f>IF(N1618=360,"通过","失败")</x:f>
        <x:v>通过</x:v>
      </x:c>
      <x:c r="P1618" s="56" t="str"/>
      <x:c r="Q1618" s="59" t="str">
        <x:v>待确认</x:v>
      </x:c>
    </x:row>
    <x:row r="1619">
      <x:c r="A1619" s="56" t="str">
        <x:v>P041</x:v>
      </x:c>
      <x:c r="B1619" s="56" t="str">
        <x:v>HX-ADD-029</x:v>
      </x:c>
      <x:c r="C1619" s="56" t="str">
        <x:v>orders</x:v>
      </x:c>
      <x:c r="D1619" s="56" t="n">
        <x:v>55</x:v>
      </x:c>
      <x:c r="E1619" s="56" t="str">
        <x:v>orders.LAB-BL-003</x:v>
      </x:c>
      <x:c r="F1619" s="56" t="str">
        <x:v>LAB-BL-003</x:v>
      </x:c>
      <x:c r="G1619" s="56" t="n">
        <x:v>18</x:v>
      </x:c>
      <x:c r="H1619" s="56" t="str">
        <x:v>病例特异得分项</x:v>
      </x:c>
      <x:c r="I1619" s="56" t="str">
        <x:v>否</x:v>
      </x:c>
      <x:c r="J1619" s="56" t="str">
        <x:v>否</x:v>
      </x:c>
      <x:c r="K1619" s="56" t="str">
        <x:v>否</x:v>
      </x:c>
      <x:c r="L1619" s="56" t="str">
        <x:v>按结构化事件证据给予0/部分/满分；不能由总结反推已完成</x:v>
      </x:c>
      <x:c r="M1619" s="56" t="str"/>
      <x:c r="N1619" s="56" t="n">
        <x:f>SUMIFS($G$4:$G$1673,$A$4:$A$1673,A1619)</x:f>
        <x:v>360</x:v>
      </x:c>
      <x:c r="O1619" s="56" t="str">
        <x:f>IF(N1619=360,"通过","失败")</x:f>
        <x:v>通过</x:v>
      </x:c>
      <x:c r="P1619" s="56" t="str"/>
      <x:c r="Q1619" s="59" t="str">
        <x:v>待确认</x:v>
      </x:c>
    </x:row>
    <x:row r="1620">
      <x:c r="A1620" s="56" t="str">
        <x:v>P041</x:v>
      </x:c>
      <x:c r="B1620" s="56" t="str">
        <x:v>HX-ADD-029</x:v>
      </x:c>
      <x:c r="C1620" s="56" t="str">
        <x:v>mdt</x:v>
      </x:c>
      <x:c r="D1620" s="56" t="n">
        <x:v>45</x:v>
      </x:c>
      <x:c r="E1620" s="56" t="str">
        <x:v>mdt.department</x:v>
      </x:c>
      <x:c r="F1620" s="56" t="str">
        <x:v>department</x:v>
      </x:c>
      <x:c r="G1620" s="56" t="n">
        <x:v>12</x:v>
      </x:c>
      <x:c r="H1620" s="56" t="str">
        <x:v>病例特异得分项</x:v>
      </x:c>
      <x:c r="I1620" s="56" t="str">
        <x:v>否</x:v>
      </x:c>
      <x:c r="J1620" s="56" t="str">
        <x:v>否</x:v>
      </x:c>
      <x:c r="K1620" s="56" t="str">
        <x:v>否</x:v>
      </x:c>
      <x:c r="L1620" s="56" t="str">
        <x:v>按结构化事件证据给予0/部分/满分；不能由总结反推已完成</x:v>
      </x:c>
      <x:c r="M1620" s="56" t="str"/>
      <x:c r="N1620" s="56" t="n">
        <x:f>SUMIFS($G$4:$G$1673,$A$4:$A$1673,A1620)</x:f>
        <x:v>360</x:v>
      </x:c>
      <x:c r="O1620" s="56" t="str">
        <x:f>IF(N1620=360,"通过","失败")</x:f>
        <x:v>通过</x:v>
      </x:c>
      <x:c r="P1620" s="56" t="str"/>
      <x:c r="Q1620" s="59" t="str">
        <x:v>待确认</x:v>
      </x:c>
    </x:row>
    <x:row r="1621">
      <x:c r="A1621" s="56" t="str">
        <x:v>P041</x:v>
      </x:c>
      <x:c r="B1621" s="56" t="str">
        <x:v>HX-ADD-029</x:v>
      </x:c>
      <x:c r="C1621" s="56" t="str">
        <x:v>mdt</x:v>
      </x:c>
      <x:c r="D1621" s="56" t="n">
        <x:v>45</x:v>
      </x:c>
      <x:c r="E1621" s="56" t="str">
        <x:v>mdt.trigger</x:v>
      </x:c>
      <x:c r="F1621" s="56" t="str">
        <x:v>trigger</x:v>
      </x:c>
      <x:c r="G1621" s="56" t="n">
        <x:v>11</x:v>
      </x:c>
      <x:c r="H1621" s="56" t="str">
        <x:v>病例特异得分项</x:v>
      </x:c>
      <x:c r="I1621" s="56" t="str">
        <x:v>否</x:v>
      </x:c>
      <x:c r="J1621" s="56" t="str">
        <x:v>否</x:v>
      </x:c>
      <x:c r="K1621" s="56" t="str">
        <x:v>否</x:v>
      </x:c>
      <x:c r="L1621" s="56" t="str">
        <x:v>按结构化事件证据给予0/部分/满分；不能由总结反推已完成</x:v>
      </x:c>
      <x:c r="M1621" s="56" t="str"/>
      <x:c r="N1621" s="56" t="n">
        <x:f>SUMIFS($G$4:$G$1673,$A$4:$A$1673,A1621)</x:f>
        <x:v>360</x:v>
      </x:c>
      <x:c r="O1621" s="56" t="str">
        <x:f>IF(N1621=360,"通过","失败")</x:f>
        <x:v>通过</x:v>
      </x:c>
      <x:c r="P1621" s="56" t="str"/>
      <x:c r="Q1621" s="59" t="str">
        <x:v>待确认</x:v>
      </x:c>
    </x:row>
    <x:row r="1622">
      <x:c r="A1622" s="56" t="str">
        <x:v>P041</x:v>
      </x:c>
      <x:c r="B1622" s="56" t="str">
        <x:v>HX-ADD-029</x:v>
      </x:c>
      <x:c r="C1622" s="56" t="str">
        <x:v>mdt</x:v>
      </x:c>
      <x:c r="D1622" s="56" t="n">
        <x:v>45</x:v>
      </x:c>
      <x:c r="E1622" s="56" t="str">
        <x:v>mdt.question</x:v>
      </x:c>
      <x:c r="F1622" s="56" t="str">
        <x:v>question</x:v>
      </x:c>
      <x:c r="G1622" s="56" t="n">
        <x:v>11</x:v>
      </x:c>
      <x:c r="H1622" s="56" t="str">
        <x:v>病例特异得分项</x:v>
      </x:c>
      <x:c r="I1622" s="56" t="str">
        <x:v>否</x:v>
      </x:c>
      <x:c r="J1622" s="56" t="str">
        <x:v>否</x:v>
      </x:c>
      <x:c r="K1622" s="56" t="str">
        <x:v>否</x:v>
      </x:c>
      <x:c r="L1622" s="56" t="str">
        <x:v>按结构化事件证据给予0/部分/满分；不能由总结反推已完成</x:v>
      </x:c>
      <x:c r="M1622" s="56" t="str"/>
      <x:c r="N1622" s="56" t="n">
        <x:f>SUMIFS($G$4:$G$1673,$A$4:$A$1673,A1622)</x:f>
        <x:v>360</x:v>
      </x:c>
      <x:c r="O1622" s="56" t="str">
        <x:f>IF(N1622=360,"通过","失败")</x:f>
        <x:v>通过</x:v>
      </x:c>
      <x:c r="P1622" s="56" t="str"/>
      <x:c r="Q1622" s="59" t="str">
        <x:v>待确认</x:v>
      </x:c>
    </x:row>
    <x:row r="1623">
      <x:c r="A1623" s="56" t="str">
        <x:v>P041</x:v>
      </x:c>
      <x:c r="B1623" s="56" t="str">
        <x:v>HX-ADD-029</x:v>
      </x:c>
      <x:c r="C1623" s="56" t="str">
        <x:v>mdt</x:v>
      </x:c>
      <x:c r="D1623" s="56" t="n">
        <x:v>45</x:v>
      </x:c>
      <x:c r="E1623" s="56" t="str">
        <x:v>mdt.evidence</x:v>
      </x:c>
      <x:c r="F1623" s="56" t="str">
        <x:v>evidence</x:v>
      </x:c>
      <x:c r="G1623" s="56" t="n">
        <x:v>11</x:v>
      </x:c>
      <x:c r="H1623" s="56" t="str">
        <x:v>病例特异得分项</x:v>
      </x:c>
      <x:c r="I1623" s="56" t="str">
        <x:v>否</x:v>
      </x:c>
      <x:c r="J1623" s="56" t="str">
        <x:v>否</x:v>
      </x:c>
      <x:c r="K1623" s="56" t="str">
        <x:v>否</x:v>
      </x:c>
      <x:c r="L1623" s="56" t="str">
        <x:v>按结构化事件证据给予0/部分/满分；不能由总结反推已完成</x:v>
      </x:c>
      <x:c r="M1623" s="56" t="str"/>
      <x:c r="N1623" s="56" t="n">
        <x:f>SUMIFS($G$4:$G$1673,$A$4:$A$1673,A1623)</x:f>
        <x:v>360</x:v>
      </x:c>
      <x:c r="O1623" s="56" t="str">
        <x:f>IF(N1623=360,"通过","失败")</x:f>
        <x:v>通过</x:v>
      </x:c>
      <x:c r="P1623" s="56" t="str"/>
      <x:c r="Q1623" s="59" t="str">
        <x:v>待确认</x:v>
      </x:c>
    </x:row>
    <x:row r="1624">
      <x:c r="A1624" s="56" t="str">
        <x:v>P041</x:v>
      </x:c>
      <x:c r="B1624" s="56" t="str">
        <x:v>HX-ADD-029</x:v>
      </x:c>
      <x:c r="C1624" s="56" t="str">
        <x:v>treatment</x:v>
      </x:c>
      <x:c r="D1624" s="56" t="n">
        <x:v>50</x:v>
      </x:c>
      <x:c r="E1624" s="56" t="str">
        <x:v>treatment.immediate</x:v>
      </x:c>
      <x:c r="F1624" s="56" t="str">
        <x:v>immediate</x:v>
      </x:c>
      <x:c r="G1624" s="56" t="n">
        <x:v>13</x:v>
      </x:c>
      <x:c r="H1624" s="56" t="str">
        <x:v>病例特异得分项</x:v>
      </x:c>
      <x:c r="I1624" s="56" t="str">
        <x:v>否</x:v>
      </x:c>
      <x:c r="J1624" s="56" t="str">
        <x:v>否</x:v>
      </x:c>
      <x:c r="K1624" s="56" t="str">
        <x:v>否</x:v>
      </x:c>
      <x:c r="L1624" s="56" t="str">
        <x:v>按结构化事件证据给予0/部分/满分；不能由总结反推已完成</x:v>
      </x:c>
      <x:c r="M1624" s="56" t="str"/>
      <x:c r="N1624" s="56" t="n">
        <x:f>SUMIFS($G$4:$G$1673,$A$4:$A$1673,A1624)</x:f>
        <x:v>360</x:v>
      </x:c>
      <x:c r="O1624" s="56" t="str">
        <x:f>IF(N1624=360,"通过","失败")</x:f>
        <x:v>通过</x:v>
      </x:c>
      <x:c r="P1624" s="56" t="str"/>
      <x:c r="Q1624" s="59" t="str">
        <x:v>待确认</x:v>
      </x:c>
    </x:row>
    <x:row r="1625">
      <x:c r="A1625" s="56" t="str">
        <x:v>P041</x:v>
      </x:c>
      <x:c r="B1625" s="56" t="str">
        <x:v>HX-ADD-029</x:v>
      </x:c>
      <x:c r="C1625" s="56" t="str">
        <x:v>treatment</x:v>
      </x:c>
      <x:c r="D1625" s="56" t="n">
        <x:v>50</x:v>
      </x:c>
      <x:c r="E1625" s="56" t="str">
        <x:v>treatment.etiologic</x:v>
      </x:c>
      <x:c r="F1625" s="56" t="str">
        <x:v>etiologic</x:v>
      </x:c>
      <x:c r="G1625" s="56" t="n">
        <x:v>13</x:v>
      </x:c>
      <x:c r="H1625" s="56" t="str">
        <x:v>病例特异得分项</x:v>
      </x:c>
      <x:c r="I1625" s="56" t="str">
        <x:v>否</x:v>
      </x:c>
      <x:c r="J1625" s="56" t="str">
        <x:v>否</x:v>
      </x:c>
      <x:c r="K1625" s="56" t="str">
        <x:v>否</x:v>
      </x:c>
      <x:c r="L1625" s="56" t="str">
        <x:v>按结构化事件证据给予0/部分/满分；不能由总结反推已完成</x:v>
      </x:c>
      <x:c r="M1625" s="56" t="str"/>
      <x:c r="N1625" s="56" t="n">
        <x:f>SUMIFS($G$4:$G$1673,$A$4:$A$1673,A1625)</x:f>
        <x:v>360</x:v>
      </x:c>
      <x:c r="O1625" s="56" t="str">
        <x:f>IF(N1625=360,"通过","失败")</x:f>
        <x:v>通过</x:v>
      </x:c>
      <x:c r="P1625" s="56" t="str"/>
      <x:c r="Q1625" s="59" t="str">
        <x:v>待确认</x:v>
      </x:c>
    </x:row>
    <x:row r="1626">
      <x:c r="A1626" s="56" t="str">
        <x:v>P041</x:v>
      </x:c>
      <x:c r="B1626" s="56" t="str">
        <x:v>HX-ADD-029</x:v>
      </x:c>
      <x:c r="C1626" s="56" t="str">
        <x:v>treatment</x:v>
      </x:c>
      <x:c r="D1626" s="56" t="n">
        <x:v>50</x:v>
      </x:c>
      <x:c r="E1626" s="56" t="str">
        <x:v>treatment.definitive</x:v>
      </x:c>
      <x:c r="F1626" s="56" t="str">
        <x:v>definitive</x:v>
      </x:c>
      <x:c r="G1626" s="56" t="n">
        <x:v>12</x:v>
      </x:c>
      <x:c r="H1626" s="56" t="str">
        <x:v>病例特异得分项</x:v>
      </x:c>
      <x:c r="I1626" s="56" t="str">
        <x:v>否</x:v>
      </x:c>
      <x:c r="J1626" s="56" t="str">
        <x:v>否</x:v>
      </x:c>
      <x:c r="K1626" s="56" t="str">
        <x:v>否</x:v>
      </x:c>
      <x:c r="L1626" s="56" t="str">
        <x:v>按结构化事件证据给予0/部分/满分；不能由总结反推已完成</x:v>
      </x:c>
      <x:c r="M1626" s="56" t="str"/>
      <x:c r="N1626" s="56" t="n">
        <x:f>SUMIFS($G$4:$G$1673,$A$4:$A$1673,A1626)</x:f>
        <x:v>360</x:v>
      </x:c>
      <x:c r="O1626" s="56" t="str">
        <x:f>IF(N1626=360,"通过","失败")</x:f>
        <x:v>通过</x:v>
      </x:c>
      <x:c r="P1626" s="56" t="str"/>
      <x:c r="Q1626" s="59" t="str">
        <x:v>待确认</x:v>
      </x:c>
    </x:row>
    <x:row r="1627">
      <x:c r="A1627" s="56" t="str">
        <x:v>P041</x:v>
      </x:c>
      <x:c r="B1627" s="56" t="str">
        <x:v>HX-ADD-029</x:v>
      </x:c>
      <x:c r="C1627" s="56" t="str">
        <x:v>treatment</x:v>
      </x:c>
      <x:c r="D1627" s="56" t="n">
        <x:v>50</x:v>
      </x:c>
      <x:c r="E1627" s="56" t="str">
        <x:v>treatment.perioperative</x:v>
      </x:c>
      <x:c r="F1627" s="56" t="str">
        <x:v>perioperative</x:v>
      </x:c>
      <x:c r="G1627" s="56" t="n">
        <x:v>12</x:v>
      </x:c>
      <x:c r="H1627" s="56" t="str">
        <x:v>病例特异得分项</x:v>
      </x:c>
      <x:c r="I1627" s="56" t="str">
        <x:v>否</x:v>
      </x:c>
      <x:c r="J1627" s="56" t="str">
        <x:v>否</x:v>
      </x:c>
      <x:c r="K1627" s="56" t="str">
        <x:v>否</x:v>
      </x:c>
      <x:c r="L1627" s="56" t="str">
        <x:v>按结构化事件证据给予0/部分/满分；不能由总结反推已完成</x:v>
      </x:c>
      <x:c r="M1627" s="56" t="str"/>
      <x:c r="N1627" s="56" t="n">
        <x:f>SUMIFS($G$4:$G$1673,$A$4:$A$1673,A1627)</x:f>
        <x:v>360</x:v>
      </x:c>
      <x:c r="O1627" s="56" t="str">
        <x:f>IF(N1627=360,"通过","失败")</x:f>
        <x:v>通过</x:v>
      </x:c>
      <x:c r="P1627" s="56" t="str"/>
      <x:c r="Q1627" s="59" t="str">
        <x:v>待确认</x:v>
      </x:c>
    </x:row>
    <x:row r="1628">
      <x:c r="A1628" s="56" t="str">
        <x:v>P041</x:v>
      </x:c>
      <x:c r="B1628" s="56" t="str">
        <x:v>HX-ADD-029</x:v>
      </x:c>
      <x:c r="C1628" s="56" t="str">
        <x:v>followup</x:v>
      </x:c>
      <x:c r="D1628" s="56" t="n">
        <x:v>40</x:v>
      </x:c>
      <x:c r="E1628" s="56" t="str">
        <x:v>followup.plan</x:v>
      </x:c>
      <x:c r="F1628" s="56" t="str">
        <x:v>随访复查</x:v>
      </x:c>
      <x:c r="G1628" s="56" t="n">
        <x:v>10</x:v>
      </x:c>
      <x:c r="H1628" s="56" t="str">
        <x:v>普通得分项</x:v>
      </x:c>
      <x:c r="I1628" s="56" t="str">
        <x:v>否</x:v>
      </x:c>
      <x:c r="J1628" s="56" t="str">
        <x:v>否</x:v>
      </x:c>
      <x:c r="K1628" s="56" t="str">
        <x:v>否</x:v>
      </x:c>
      <x:c r="L1628" s="56" t="str">
        <x:v>按结构化事件证据给予0/部分/满分；不能由总结反推已完成</x:v>
      </x:c>
      <x:c r="M1628" s="56" t="str"/>
      <x:c r="N1628" s="56" t="n">
        <x:f>SUMIFS($G$4:$G$1673,$A$4:$A$1673,A1628)</x:f>
        <x:v>360</x:v>
      </x:c>
      <x:c r="O1628" s="56" t="str">
        <x:f>IF(N1628=360,"通过","失败")</x:f>
        <x:v>通过</x:v>
      </x:c>
      <x:c r="P1628" s="56" t="str"/>
      <x:c r="Q1628" s="59" t="str">
        <x:v>待确认</x:v>
      </x:c>
    </x:row>
    <x:row r="1629">
      <x:c r="A1629" s="56" t="str">
        <x:v>P041</x:v>
      </x:c>
      <x:c r="B1629" s="56" t="str">
        <x:v>HX-ADD-029</x:v>
      </x:c>
      <x:c r="C1629" s="56" t="str">
        <x:v>followup</x:v>
      </x:c>
      <x:c r="D1629" s="56" t="n">
        <x:v>40</x:v>
      </x:c>
      <x:c r="E1629" s="56" t="str">
        <x:v>followup.education</x:v>
      </x:c>
      <x:c r="F1629" s="56" t="str">
        <x:v>患者教育</x:v>
      </x:c>
      <x:c r="G1629" s="56" t="n">
        <x:v>10</x:v>
      </x:c>
      <x:c r="H1629" s="56" t="str">
        <x:v>普通得分项</x:v>
      </x:c>
      <x:c r="I1629" s="56" t="str">
        <x:v>否</x:v>
      </x:c>
      <x:c r="J1629" s="56" t="str">
        <x:v>否</x:v>
      </x:c>
      <x:c r="K1629" s="56" t="str">
        <x:v>否</x:v>
      </x:c>
      <x:c r="L1629" s="56" t="str">
        <x:v>按结构化事件证据给予0/部分/满分；不能由总结反推已完成</x:v>
      </x:c>
      <x:c r="M1629" s="56" t="str"/>
      <x:c r="N1629" s="56" t="n">
        <x:f>SUMIFS($G$4:$G$1673,$A$4:$A$1673,A1629)</x:f>
        <x:v>360</x:v>
      </x:c>
      <x:c r="O1629" s="56" t="str">
        <x:f>IF(N1629=360,"通过","失败")</x:f>
        <x:v>通过</x:v>
      </x:c>
      <x:c r="P1629" s="56" t="str"/>
      <x:c r="Q1629" s="59" t="str">
        <x:v>待确认</x:v>
      </x:c>
    </x:row>
    <x:row r="1630">
      <x:c r="A1630" s="56" t="str">
        <x:v>P041</x:v>
      </x:c>
      <x:c r="B1630" s="56" t="str">
        <x:v>HX-ADD-029</x:v>
      </x:c>
      <x:c r="C1630" s="56" t="str">
        <x:v>followup</x:v>
      </x:c>
      <x:c r="D1630" s="56" t="n">
        <x:v>40</x:v>
      </x:c>
      <x:c r="E1630" s="56" t="str">
        <x:v>followup.reflection</x:v>
      </x:c>
      <x:c r="F1630" s="56" t="str">
        <x:v>学习反思质量</x:v>
      </x:c>
      <x:c r="G1630" s="56" t="n">
        <x:v>10</x:v>
      </x:c>
      <x:c r="H1630" s="56" t="str">
        <x:v>普通得分项</x:v>
      </x:c>
      <x:c r="I1630" s="56" t="str">
        <x:v>否</x:v>
      </x:c>
      <x:c r="J1630" s="56" t="str">
        <x:v>否</x:v>
      </x:c>
      <x:c r="K1630" s="56" t="str">
        <x:v>否</x:v>
      </x:c>
      <x:c r="L1630" s="56" t="str">
        <x:v>按结构化事件证据给予0/部分/满分；不能由总结反推已完成</x:v>
      </x:c>
      <x:c r="M1630" s="56" t="str"/>
      <x:c r="N1630" s="56" t="n">
        <x:f>SUMIFS($G$4:$G$1673,$A$4:$A$1673,A1630)</x:f>
        <x:v>360</x:v>
      </x:c>
      <x:c r="O1630" s="56" t="str">
        <x:f>IF(N1630=360,"通过","失败")</x:f>
        <x:v>通过</x:v>
      </x:c>
      <x:c r="P1630" s="56" t="str"/>
      <x:c r="Q1630" s="59" t="str">
        <x:v>待确认</x:v>
      </x:c>
    </x:row>
    <x:row r="1631">
      <x:c r="A1631" s="56" t="str">
        <x:v>P041</x:v>
      </x:c>
      <x:c r="B1631" s="56" t="str">
        <x:v>HX-ADD-029</x:v>
      </x:c>
      <x:c r="C1631" s="56" t="str">
        <x:v>followup</x:v>
      </x:c>
      <x:c r="D1631" s="56" t="n">
        <x:v>40</x:v>
      </x:c>
      <x:c r="E1631" s="56" t="str">
        <x:v>followup.efficiency</x:v>
      </x:c>
      <x:c r="F1631" s="56" t="str">
        <x:v>操作效率</x:v>
      </x:c>
      <x:c r="G1631" s="56" t="n">
        <x:v>10</x:v>
      </x:c>
      <x:c r="H1631" s="56" t="str">
        <x:v>普通得分项</x:v>
      </x:c>
      <x:c r="I1631" s="56" t="str">
        <x:v>否</x:v>
      </x:c>
      <x:c r="J1631" s="56" t="str">
        <x:v>否</x:v>
      </x:c>
      <x:c r="K1631" s="56" t="str">
        <x:v>否</x:v>
      </x:c>
      <x:c r="L1631" s="56" t="str">
        <x:v>按结构化事件证据给予0/部分/满分；不能由总结反推已完成</x:v>
      </x:c>
      <x:c r="M1631" s="56" t="str"/>
      <x:c r="N1631" s="56" t="n">
        <x:f>SUMIFS($G$4:$G$1673,$A$4:$A$1673,A1631)</x:f>
        <x:v>360</x:v>
      </x:c>
      <x:c r="O1631" s="56" t="str">
        <x:f>IF(N1631=360,"通过","失败")</x:f>
        <x:v>通过</x:v>
      </x:c>
      <x:c r="P1631" s="56" t="str"/>
      <x:c r="Q1631" s="59" t="str">
        <x:v>待确认</x:v>
      </x:c>
    </x:row>
    <x:row r="1632">
      <x:c r="A1632" s="56" t="str">
        <x:v>P042</x:v>
      </x:c>
      <x:c r="B1632" s="56" t="str">
        <x:v>HX-ADD-030</x:v>
      </x:c>
      <x:c r="C1632" s="56" t="str">
        <x:v>history</x:v>
      </x:c>
      <x:c r="D1632" s="56" t="n">
        <x:v>50</x:v>
      </x:c>
      <x:c r="E1632" s="56" t="str">
        <x:v>history.hematuria_visibility</x:v>
      </x:c>
      <x:c r="F1632" s="56" t="str">
        <x:v>hematuria_visibility</x:v>
      </x:c>
      <x:c r="G1632" s="56" t="n">
        <x:v>5</x:v>
      </x:c>
      <x:c r="H1632" s="56" t="str">
        <x:v>普通得分项</x:v>
      </x:c>
      <x:c r="I1632" s="56" t="str">
        <x:v>否</x:v>
      </x:c>
      <x:c r="J1632" s="56" t="str">
        <x:v>否</x:v>
      </x:c>
      <x:c r="K1632" s="56" t="str">
        <x:v>否</x:v>
      </x:c>
      <x:c r="L1632" s="56" t="str">
        <x:v>按结构化事件证据给予0/部分/满分；不能由总结反推已完成</x:v>
      </x:c>
      <x:c r="M1632" s="56" t="str"/>
      <x:c r="N1632" s="56" t="n">
        <x:f>SUMIFS($G$4:$G$1673,$A$4:$A$1673,A1632)</x:f>
        <x:v>360</x:v>
      </x:c>
      <x:c r="O1632" s="56" t="str">
        <x:f>IF(N1632=360,"通过","失败")</x:f>
        <x:v>通过</x:v>
      </x:c>
      <x:c r="P1632" s="56" t="str"/>
      <x:c r="Q1632" s="59" t="str">
        <x:v>待确认</x:v>
      </x:c>
    </x:row>
    <x:row r="1633">
      <x:c r="A1633" s="56" t="str">
        <x:v>P042</x:v>
      </x:c>
      <x:c r="B1633" s="56" t="str">
        <x:v>HX-ADD-030</x:v>
      </x:c>
      <x:c r="C1633" s="56" t="str">
        <x:v>history</x:v>
      </x:c>
      <x:c r="D1633" s="56" t="n">
        <x:v>50</x:v>
      </x:c>
      <x:c r="E1633" s="56" t="str">
        <x:v>history.hematuria_onset</x:v>
      </x:c>
      <x:c r="F1633" s="56" t="str">
        <x:v>hematuria_onset</x:v>
      </x:c>
      <x:c r="G1633" s="56" t="n">
        <x:v>5</x:v>
      </x:c>
      <x:c r="H1633" s="56" t="str">
        <x:v>普通得分项</x:v>
      </x:c>
      <x:c r="I1633" s="56" t="str">
        <x:v>否</x:v>
      </x:c>
      <x:c r="J1633" s="56" t="str">
        <x:v>否</x:v>
      </x:c>
      <x:c r="K1633" s="56" t="str">
        <x:v>否</x:v>
      </x:c>
      <x:c r="L1633" s="56" t="str">
        <x:v>按结构化事件证据给予0/部分/满分；不能由总结反推已完成</x:v>
      </x:c>
      <x:c r="M1633" s="56" t="str"/>
      <x:c r="N1633" s="56" t="n">
        <x:f>SUMIFS($G$4:$G$1673,$A$4:$A$1673,A1633)</x:f>
        <x:v>360</x:v>
      </x:c>
      <x:c r="O1633" s="56" t="str">
        <x:f>IF(N1633=360,"通过","失败")</x:f>
        <x:v>通过</x:v>
      </x:c>
      <x:c r="P1633" s="56" t="str"/>
      <x:c r="Q1633" s="59" t="str">
        <x:v>待确认</x:v>
      </x:c>
    </x:row>
    <x:row r="1634">
      <x:c r="A1634" s="56" t="str">
        <x:v>P042</x:v>
      </x:c>
      <x:c r="B1634" s="56" t="str">
        <x:v>HX-ADD-030</x:v>
      </x:c>
      <x:c r="C1634" s="56" t="str">
        <x:v>history</x:v>
      </x:c>
      <x:c r="D1634" s="56" t="n">
        <x:v>50</x:v>
      </x:c>
      <x:c r="E1634" s="56" t="str">
        <x:v>history.hematuria_frequency</x:v>
      </x:c>
      <x:c r="F1634" s="56" t="str">
        <x:v>hematuria_frequency</x:v>
      </x:c>
      <x:c r="G1634" s="56" t="n">
        <x:v>4</x:v>
      </x:c>
      <x:c r="H1634" s="56" t="str">
        <x:v>普通得分项</x:v>
      </x:c>
      <x:c r="I1634" s="56" t="str">
        <x:v>否</x:v>
      </x:c>
      <x:c r="J1634" s="56" t="str">
        <x:v>否</x:v>
      </x:c>
      <x:c r="K1634" s="56" t="str">
        <x:v>否</x:v>
      </x:c>
      <x:c r="L1634" s="56" t="str">
        <x:v>按结构化事件证据给予0/部分/满分；不能由总结反推已完成</x:v>
      </x:c>
      <x:c r="M1634" s="56" t="str"/>
      <x:c r="N1634" s="56" t="n">
        <x:f>SUMIFS($G$4:$G$1673,$A$4:$A$1673,A1634)</x:f>
        <x:v>360</x:v>
      </x:c>
      <x:c r="O1634" s="56" t="str">
        <x:f>IF(N1634=360,"通过","失败")</x:f>
        <x:v>通过</x:v>
      </x:c>
      <x:c r="P1634" s="56" t="str"/>
      <x:c r="Q1634" s="59" t="str">
        <x:v>待确认</x:v>
      </x:c>
    </x:row>
    <x:row r="1635">
      <x:c r="A1635" s="56" t="str">
        <x:v>P042</x:v>
      </x:c>
      <x:c r="B1635" s="56" t="str">
        <x:v>HX-ADD-030</x:v>
      </x:c>
      <x:c r="C1635" s="56" t="str">
        <x:v>history</x:v>
      </x:c>
      <x:c r="D1635" s="56" t="n">
        <x:v>50</x:v>
      </x:c>
      <x:c r="E1635" s="56" t="str">
        <x:v>history.hematuria_phase</x:v>
      </x:c>
      <x:c r="F1635" s="56" t="str">
        <x:v>hematuria_phase</x:v>
      </x:c>
      <x:c r="G1635" s="56" t="n">
        <x:v>4</x:v>
      </x:c>
      <x:c r="H1635" s="56" t="str">
        <x:v>普通得分项</x:v>
      </x:c>
      <x:c r="I1635" s="56" t="str">
        <x:v>否</x:v>
      </x:c>
      <x:c r="J1635" s="56" t="str">
        <x:v>否</x:v>
      </x:c>
      <x:c r="K1635" s="56" t="str">
        <x:v>否</x:v>
      </x:c>
      <x:c r="L1635" s="56" t="str">
        <x:v>按结构化事件证据给予0/部分/满分；不能由总结反推已完成</x:v>
      </x:c>
      <x:c r="M1635" s="56" t="str"/>
      <x:c r="N1635" s="56" t="n">
        <x:f>SUMIFS($G$4:$G$1673,$A$4:$A$1673,A1635)</x:f>
        <x:v>360</x:v>
      </x:c>
      <x:c r="O1635" s="56" t="str">
        <x:f>IF(N1635=360,"通过","失败")</x:f>
        <x:v>通过</x:v>
      </x:c>
      <x:c r="P1635" s="56" t="str"/>
      <x:c r="Q1635" s="59" t="str">
        <x:v>待确认</x:v>
      </x:c>
    </x:row>
    <x:row r="1636">
      <x:c r="A1636" s="56" t="str">
        <x:v>P042</x:v>
      </x:c>
      <x:c r="B1636" s="56" t="str">
        <x:v>HX-ADD-030</x:v>
      </x:c>
      <x:c r="C1636" s="56" t="str">
        <x:v>history</x:v>
      </x:c>
      <x:c r="D1636" s="56" t="n">
        <x:v>50</x:v>
      </x:c>
      <x:c r="E1636" s="56" t="str">
        <x:v>history.urine_color</x:v>
      </x:c>
      <x:c r="F1636" s="56" t="str">
        <x:v>urine_color</x:v>
      </x:c>
      <x:c r="G1636" s="56" t="n">
        <x:v>4</x:v>
      </x:c>
      <x:c r="H1636" s="56" t="str">
        <x:v>普通得分项</x:v>
      </x:c>
      <x:c r="I1636" s="56" t="str">
        <x:v>否</x:v>
      </x:c>
      <x:c r="J1636" s="56" t="str">
        <x:v>否</x:v>
      </x:c>
      <x:c r="K1636" s="56" t="str">
        <x:v>否</x:v>
      </x:c>
      <x:c r="L1636" s="56" t="str">
        <x:v>按结构化事件证据给予0/部分/满分；不能由总结反推已完成</x:v>
      </x:c>
      <x:c r="M1636" s="56" t="str"/>
      <x:c r="N1636" s="56" t="n">
        <x:f>SUMIFS($G$4:$G$1673,$A$4:$A$1673,A1636)</x:f>
        <x:v>360</x:v>
      </x:c>
      <x:c r="O1636" s="56" t="str">
        <x:f>IF(N1636=360,"通过","失败")</x:f>
        <x:v>通过</x:v>
      </x:c>
      <x:c r="P1636" s="56" t="str"/>
      <x:c r="Q1636" s="59" t="str">
        <x:v>待确认</x:v>
      </x:c>
    </x:row>
    <x:row r="1637">
      <x:c r="A1637" s="56" t="str">
        <x:v>P042</x:v>
      </x:c>
      <x:c r="B1637" s="56" t="str">
        <x:v>HX-ADD-030</x:v>
      </x:c>
      <x:c r="C1637" s="56" t="str">
        <x:v>history</x:v>
      </x:c>
      <x:c r="D1637" s="56" t="n">
        <x:v>50</x:v>
      </x:c>
      <x:c r="E1637" s="56" t="str">
        <x:v>history.clots</x:v>
      </x:c>
      <x:c r="F1637" s="56" t="str">
        <x:v>clots</x:v>
      </x:c>
      <x:c r="G1637" s="56" t="n">
        <x:v>4</x:v>
      </x:c>
      <x:c r="H1637" s="56" t="str">
        <x:v>普通得分项</x:v>
      </x:c>
      <x:c r="I1637" s="56" t="str">
        <x:v>否</x:v>
      </x:c>
      <x:c r="J1637" s="56" t="str">
        <x:v>否</x:v>
      </x:c>
      <x:c r="K1637" s="56" t="str">
        <x:v>否</x:v>
      </x:c>
      <x:c r="L1637" s="56" t="str">
        <x:v>按结构化事件证据给予0/部分/满分；不能由总结反推已完成</x:v>
      </x:c>
      <x:c r="M1637" s="56" t="str"/>
      <x:c r="N1637" s="56" t="n">
        <x:f>SUMIFS($G$4:$G$1673,$A$4:$A$1673,A1637)</x:f>
        <x:v>360</x:v>
      </x:c>
      <x:c r="O1637" s="56" t="str">
        <x:f>IF(N1637=360,"通过","失败")</x:f>
        <x:v>通过</x:v>
      </x:c>
      <x:c r="P1637" s="56" t="str"/>
      <x:c r="Q1637" s="59" t="str">
        <x:v>待确认</x:v>
      </x:c>
    </x:row>
    <x:row r="1638">
      <x:c r="A1638" s="56" t="str">
        <x:v>P042</x:v>
      </x:c>
      <x:c r="B1638" s="56" t="str">
        <x:v>HX-ADD-030</x:v>
      </x:c>
      <x:c r="C1638" s="56" t="str">
        <x:v>history</x:v>
      </x:c>
      <x:c r="D1638" s="56" t="n">
        <x:v>50</x:v>
      </x:c>
      <x:c r="E1638" s="56" t="str">
        <x:v>history.pain</x:v>
      </x:c>
      <x:c r="F1638" s="56" t="str">
        <x:v>pain</x:v>
      </x:c>
      <x:c r="G1638" s="56" t="n">
        <x:v>4</x:v>
      </x:c>
      <x:c r="H1638" s="56" t="str">
        <x:v>普通得分项</x:v>
      </x:c>
      <x:c r="I1638" s="56" t="str">
        <x:v>否</x:v>
      </x:c>
      <x:c r="J1638" s="56" t="str">
        <x:v>否</x:v>
      </x:c>
      <x:c r="K1638" s="56" t="str">
        <x:v>否</x:v>
      </x:c>
      <x:c r="L1638" s="56" t="str">
        <x:v>按结构化事件证据给予0/部分/满分；不能由总结反推已完成</x:v>
      </x:c>
      <x:c r="M1638" s="56" t="str"/>
      <x:c r="N1638" s="56" t="n">
        <x:f>SUMIFS($G$4:$G$1673,$A$4:$A$1673,A1638)</x:f>
        <x:v>360</x:v>
      </x:c>
      <x:c r="O1638" s="56" t="str">
        <x:f>IF(N1638=360,"通过","失败")</x:f>
        <x:v>通过</x:v>
      </x:c>
      <x:c r="P1638" s="56" t="str"/>
      <x:c r="Q1638" s="59" t="str">
        <x:v>待确认</x:v>
      </x:c>
    </x:row>
    <x:row r="1639">
      <x:c r="A1639" s="56" t="str">
        <x:v>P042</x:v>
      </x:c>
      <x:c r="B1639" s="56" t="str">
        <x:v>HX-ADD-030</x:v>
      </x:c>
      <x:c r="C1639" s="56" t="str">
        <x:v>history</x:v>
      </x:c>
      <x:c r="D1639" s="56" t="n">
        <x:v>50</x:v>
      </x:c>
      <x:c r="E1639" s="56" t="str">
        <x:v>history.dysuria</x:v>
      </x:c>
      <x:c r="F1639" s="56" t="str">
        <x:v>dysuria</x:v>
      </x:c>
      <x:c r="G1639" s="56" t="n">
        <x:v>4</x:v>
      </x:c>
      <x:c r="H1639" s="56" t="str">
        <x:v>普通得分项</x:v>
      </x:c>
      <x:c r="I1639" s="56" t="str">
        <x:v>否</x:v>
      </x:c>
      <x:c r="J1639" s="56" t="str">
        <x:v>否</x:v>
      </x:c>
      <x:c r="K1639" s="56" t="str">
        <x:v>否</x:v>
      </x:c>
      <x:c r="L1639" s="56" t="str">
        <x:v>按结构化事件证据给予0/部分/满分；不能由总结反推已完成</x:v>
      </x:c>
      <x:c r="M1639" s="56" t="str"/>
      <x:c r="N1639" s="56" t="n">
        <x:f>SUMIFS($G$4:$G$1673,$A$4:$A$1673,A1639)</x:f>
        <x:v>360</x:v>
      </x:c>
      <x:c r="O1639" s="56" t="str">
        <x:f>IF(N1639=360,"通过","失败")</x:f>
        <x:v>通过</x:v>
      </x:c>
      <x:c r="P1639" s="56" t="str"/>
      <x:c r="Q1639" s="59" t="str">
        <x:v>待确认</x:v>
      </x:c>
    </x:row>
    <x:row r="1640">
      <x:c r="A1640" s="56" t="str">
        <x:v>P042</x:v>
      </x:c>
      <x:c r="B1640" s="56" t="str">
        <x:v>HX-ADD-030</x:v>
      </x:c>
      <x:c r="C1640" s="56" t="str">
        <x:v>history</x:v>
      </x:c>
      <x:c r="D1640" s="56" t="n">
        <x:v>50</x:v>
      </x:c>
      <x:c r="E1640" s="56" t="str">
        <x:v>history.urinary_frequency</x:v>
      </x:c>
      <x:c r="F1640" s="56" t="str">
        <x:v>urinary_frequency</x:v>
      </x:c>
      <x:c r="G1640" s="56" t="n">
        <x:v>4</x:v>
      </x:c>
      <x:c r="H1640" s="56" t="str">
        <x:v>普通得分项</x:v>
      </x:c>
      <x:c r="I1640" s="56" t="str">
        <x:v>否</x:v>
      </x:c>
      <x:c r="J1640" s="56" t="str">
        <x:v>否</x:v>
      </x:c>
      <x:c r="K1640" s="56" t="str">
        <x:v>否</x:v>
      </x:c>
      <x:c r="L1640" s="56" t="str">
        <x:v>按结构化事件证据给予0/部分/满分；不能由总结反推已完成</x:v>
      </x:c>
      <x:c r="M1640" s="56" t="str"/>
      <x:c r="N1640" s="56" t="n">
        <x:f>SUMIFS($G$4:$G$1673,$A$4:$A$1673,A1640)</x:f>
        <x:v>360</x:v>
      </x:c>
      <x:c r="O1640" s="56" t="str">
        <x:f>IF(N1640=360,"通过","失败")</x:f>
        <x:v>通过</x:v>
      </x:c>
      <x:c r="P1640" s="56" t="str"/>
      <x:c r="Q1640" s="59" t="str">
        <x:v>待确认</x:v>
      </x:c>
    </x:row>
    <x:row r="1641">
      <x:c r="A1641" s="56" t="str">
        <x:v>P042</x:v>
      </x:c>
      <x:c r="B1641" s="56" t="str">
        <x:v>HX-ADD-030</x:v>
      </x:c>
      <x:c r="C1641" s="56" t="str">
        <x:v>history</x:v>
      </x:c>
      <x:c r="D1641" s="56" t="n">
        <x:v>50</x:v>
      </x:c>
      <x:c r="E1641" s="56" t="str">
        <x:v>history.urinary_urgency</x:v>
      </x:c>
      <x:c r="F1641" s="56" t="str">
        <x:v>urinary_urgency</x:v>
      </x:c>
      <x:c r="G1641" s="56" t="n">
        <x:v>4</x:v>
      </x:c>
      <x:c r="H1641" s="56" t="str">
        <x:v>普通得分项</x:v>
      </x:c>
      <x:c r="I1641" s="56" t="str">
        <x:v>否</x:v>
      </x:c>
      <x:c r="J1641" s="56" t="str">
        <x:v>否</x:v>
      </x:c>
      <x:c r="K1641" s="56" t="str">
        <x:v>否</x:v>
      </x:c>
      <x:c r="L1641" s="56" t="str">
        <x:v>按结构化事件证据给予0/部分/满分；不能由总结反推已完成</x:v>
      </x:c>
      <x:c r="M1641" s="56" t="str"/>
      <x:c r="N1641" s="56" t="n">
        <x:f>SUMIFS($G$4:$G$1673,$A$4:$A$1673,A1641)</x:f>
        <x:v>360</x:v>
      </x:c>
      <x:c r="O1641" s="56" t="str">
        <x:f>IF(N1641=360,"通过","失败")</x:f>
        <x:v>通过</x:v>
      </x:c>
      <x:c r="P1641" s="56" t="str"/>
      <x:c r="Q1641" s="59" t="str">
        <x:v>待确认</x:v>
      </x:c>
    </x:row>
    <x:row r="1642">
      <x:c r="A1642" s="56" t="str">
        <x:v>P042</x:v>
      </x:c>
      <x:c r="B1642" s="56" t="str">
        <x:v>HX-ADD-030</x:v>
      </x:c>
      <x:c r="C1642" s="56" t="str">
        <x:v>history</x:v>
      </x:c>
      <x:c r="D1642" s="56" t="n">
        <x:v>50</x:v>
      </x:c>
      <x:c r="E1642" s="56" t="str">
        <x:v>history.flank_pain</x:v>
      </x:c>
      <x:c r="F1642" s="56" t="str">
        <x:v>flank_pain</x:v>
      </x:c>
      <x:c r="G1642" s="56" t="n">
        <x:v>4</x:v>
      </x:c>
      <x:c r="H1642" s="56" t="str">
        <x:v>普通得分项</x:v>
      </x:c>
      <x:c r="I1642" s="56" t="str">
        <x:v>否</x:v>
      </x:c>
      <x:c r="J1642" s="56" t="str">
        <x:v>否</x:v>
      </x:c>
      <x:c r="K1642" s="56" t="str">
        <x:v>否</x:v>
      </x:c>
      <x:c r="L1642" s="56" t="str">
        <x:v>按结构化事件证据给予0/部分/满分；不能由总结反推已完成</x:v>
      </x:c>
      <x:c r="M1642" s="56" t="str"/>
      <x:c r="N1642" s="56" t="n">
        <x:f>SUMIFS($G$4:$G$1673,$A$4:$A$1673,A1642)</x:f>
        <x:v>360</x:v>
      </x:c>
      <x:c r="O1642" s="56" t="str">
        <x:f>IF(N1642=360,"通过","失败")</x:f>
        <x:v>通过</x:v>
      </x:c>
      <x:c r="P1642" s="56" t="str"/>
      <x:c r="Q1642" s="59" t="str">
        <x:v>待确认</x:v>
      </x:c>
    </x:row>
    <x:row r="1643">
      <x:c r="A1643" s="56" t="str">
        <x:v>P042</x:v>
      </x:c>
      <x:c r="B1643" s="56" t="str">
        <x:v>HX-ADD-030</x:v>
      </x:c>
      <x:c r="C1643" s="56" t="str">
        <x:v>history</x:v>
      </x:c>
      <x:c r="D1643" s="56" t="n">
        <x:v>50</x:v>
      </x:c>
      <x:c r="E1643" s="56" t="str">
        <x:v>history.fever_chills</x:v>
      </x:c>
      <x:c r="F1643" s="56" t="str">
        <x:v>fever_chills</x:v>
      </x:c>
      <x:c r="G1643" s="56" t="n">
        <x:v>4</x:v>
      </x:c>
      <x:c r="H1643" s="56" t="str">
        <x:v>普通得分项</x:v>
      </x:c>
      <x:c r="I1643" s="56" t="str">
        <x:v>否</x:v>
      </x:c>
      <x:c r="J1643" s="56" t="str">
        <x:v>否</x:v>
      </x:c>
      <x:c r="K1643" s="56" t="str">
        <x:v>否</x:v>
      </x:c>
      <x:c r="L1643" s="56" t="str">
        <x:v>按结构化事件证据给予0/部分/满分；不能由总结反推已完成</x:v>
      </x:c>
      <x:c r="M1643" s="56" t="str"/>
      <x:c r="N1643" s="56" t="n">
        <x:f>SUMIFS($G$4:$G$1673,$A$4:$A$1673,A1643)</x:f>
        <x:v>360</x:v>
      </x:c>
      <x:c r="O1643" s="56" t="str">
        <x:f>IF(N1643=360,"通过","失败")</x:f>
        <x:v>通过</x:v>
      </x:c>
      <x:c r="P1643" s="56" t="str"/>
      <x:c r="Q1643" s="59" t="str">
        <x:v>待确认</x:v>
      </x:c>
    </x:row>
    <x:row r="1644">
      <x:c r="A1644" s="56" t="str">
        <x:v>P042</x:v>
      </x:c>
      <x:c r="B1644" s="56" t="str">
        <x:v>HX-ADD-030</x:v>
      </x:c>
      <x:c r="C1644" s="56" t="str">
        <x:v>risk</x:v>
      </x:c>
      <x:c r="D1644" s="56" t="n">
        <x:v>40</x:v>
      </x:c>
      <x:c r="E1644" s="56" t="str">
        <x:v>risk.smoking</x:v>
      </x:c>
      <x:c r="F1644" s="56" t="str">
        <x:v>smoking</x:v>
      </x:c>
      <x:c r="G1644" s="56" t="n">
        <x:v>8</x:v>
      </x:c>
      <x:c r="H1644" s="56" t="str">
        <x:v>普通得分项</x:v>
      </x:c>
      <x:c r="I1644" s="56" t="str">
        <x:v>否</x:v>
      </x:c>
      <x:c r="J1644" s="56" t="str">
        <x:v>否</x:v>
      </x:c>
      <x:c r="K1644" s="56" t="str">
        <x:v>否</x:v>
      </x:c>
      <x:c r="L1644" s="56" t="str">
        <x:v>按结构化事件证据给予0/部分/满分；不能由总结反推已完成</x:v>
      </x:c>
      <x:c r="M1644" s="56" t="str"/>
      <x:c r="N1644" s="56" t="n">
        <x:f>SUMIFS($G$4:$G$1673,$A$4:$A$1673,A1644)</x:f>
        <x:v>360</x:v>
      </x:c>
      <x:c r="O1644" s="56" t="str">
        <x:f>IF(N1644=360,"通过","失败")</x:f>
        <x:v>通过</x:v>
      </x:c>
      <x:c r="P1644" s="56" t="str"/>
      <x:c r="Q1644" s="59" t="str">
        <x:v>待确认</x:v>
      </x:c>
    </x:row>
    <x:row r="1645">
      <x:c r="A1645" s="56" t="str">
        <x:v>P042</x:v>
      </x:c>
      <x:c r="B1645" s="56" t="str">
        <x:v>HX-ADD-030</x:v>
      </x:c>
      <x:c r="C1645" s="56" t="str">
        <x:v>risk</x:v>
      </x:c>
      <x:c r="D1645" s="56" t="n">
        <x:v>40</x:v>
      </x:c>
      <x:c r="E1645" s="56" t="str">
        <x:v>risk.occupation_exposure</x:v>
      </x:c>
      <x:c r="F1645" s="56" t="str">
        <x:v>occupation_exposure</x:v>
      </x:c>
      <x:c r="G1645" s="56" t="n">
        <x:v>8</x:v>
      </x:c>
      <x:c r="H1645" s="56" t="str">
        <x:v>普通得分项</x:v>
      </x:c>
      <x:c r="I1645" s="56" t="str">
        <x:v>否</x:v>
      </x:c>
      <x:c r="J1645" s="56" t="str">
        <x:v>否</x:v>
      </x:c>
      <x:c r="K1645" s="56" t="str">
        <x:v>否</x:v>
      </x:c>
      <x:c r="L1645" s="56" t="str">
        <x:v>按结构化事件证据给予0/部分/满分；不能由总结反推已完成</x:v>
      </x:c>
      <x:c r="M1645" s="56" t="str"/>
      <x:c r="N1645" s="56" t="n">
        <x:f>SUMIFS($G$4:$G$1673,$A$4:$A$1673,A1645)</x:f>
        <x:v>360</x:v>
      </x:c>
      <x:c r="O1645" s="56" t="str">
        <x:f>IF(N1645=360,"通过","失败")</x:f>
        <x:v>通过</x:v>
      </x:c>
      <x:c r="P1645" s="56" t="str"/>
      <x:c r="Q1645" s="59" t="str">
        <x:v>待确认</x:v>
      </x:c>
    </x:row>
    <x:row r="1646">
      <x:c r="A1646" s="56" t="str">
        <x:v>P042</x:v>
      </x:c>
      <x:c r="B1646" s="56" t="str">
        <x:v>HX-ADD-030</x:v>
      </x:c>
      <x:c r="C1646" s="56" t="str">
        <x:v>risk</x:v>
      </x:c>
      <x:c r="D1646" s="56" t="n">
        <x:v>40</x:v>
      </x:c>
      <x:c r="E1646" s="56" t="str">
        <x:v>risk.tumor_history</x:v>
      </x:c>
      <x:c r="F1646" s="56" t="str">
        <x:v>tumor_history</x:v>
      </x:c>
      <x:c r="G1646" s="56" t="n">
        <x:v>8</x:v>
      </x:c>
      <x:c r="H1646" s="56" t="str">
        <x:v>普通得分项</x:v>
      </x:c>
      <x:c r="I1646" s="56" t="str">
        <x:v>否</x:v>
      </x:c>
      <x:c r="J1646" s="56" t="str">
        <x:v>否</x:v>
      </x:c>
      <x:c r="K1646" s="56" t="str">
        <x:v>否</x:v>
      </x:c>
      <x:c r="L1646" s="56" t="str">
        <x:v>按结构化事件证据给予0/部分/满分；不能由总结反推已完成</x:v>
      </x:c>
      <x:c r="M1646" s="56" t="str"/>
      <x:c r="N1646" s="56" t="n">
        <x:f>SUMIFS($G$4:$G$1673,$A$4:$A$1673,A1646)</x:f>
        <x:v>360</x:v>
      </x:c>
      <x:c r="O1646" s="56" t="str">
        <x:f>IF(N1646=360,"通过","失败")</x:f>
        <x:v>通过</x:v>
      </x:c>
      <x:c r="P1646" s="56" t="str"/>
      <x:c r="Q1646" s="59" t="str">
        <x:v>待确认</x:v>
      </x:c>
    </x:row>
    <x:row r="1647">
      <x:c r="A1647" s="56" t="str">
        <x:v>P042</x:v>
      </x:c>
      <x:c r="B1647" s="56" t="str">
        <x:v>HX-ADD-030</x:v>
      </x:c>
      <x:c r="C1647" s="56" t="str">
        <x:v>risk</x:v>
      </x:c>
      <x:c r="D1647" s="56" t="n">
        <x:v>40</x:v>
      </x:c>
      <x:c r="E1647" s="56" t="str">
        <x:v>risk.anticoagulant</x:v>
      </x:c>
      <x:c r="F1647" s="56" t="str">
        <x:v>anticoagulant</x:v>
      </x:c>
      <x:c r="G1647" s="56" t="n">
        <x:v>8</x:v>
      </x:c>
      <x:c r="H1647" s="56" t="str">
        <x:v>普通得分项</x:v>
      </x:c>
      <x:c r="I1647" s="56" t="str">
        <x:v>否</x:v>
      </x:c>
      <x:c r="J1647" s="56" t="str">
        <x:v>否</x:v>
      </x:c>
      <x:c r="K1647" s="56" t="str">
        <x:v>否</x:v>
      </x:c>
      <x:c r="L1647" s="56" t="str">
        <x:v>按结构化事件证据给予0/部分/满分；不能由总结反推已完成</x:v>
      </x:c>
      <x:c r="M1647" s="56" t="str"/>
      <x:c r="N1647" s="56" t="n">
        <x:f>SUMIFS($G$4:$G$1673,$A$4:$A$1673,A1647)</x:f>
        <x:v>360</x:v>
      </x:c>
      <x:c r="O1647" s="56" t="str">
        <x:f>IF(N1647=360,"通过","失败")</x:f>
        <x:v>通过</x:v>
      </x:c>
      <x:c r="P1647" s="56" t="str"/>
      <x:c r="Q1647" s="59" t="str">
        <x:v>待确认</x:v>
      </x:c>
    </x:row>
    <x:row r="1648">
      <x:c r="A1648" s="56" t="str">
        <x:v>P042</x:v>
      </x:c>
      <x:c r="B1648" s="56" t="str">
        <x:v>HX-ADD-030</x:v>
      </x:c>
      <x:c r="C1648" s="56" t="str">
        <x:v>risk</x:v>
      </x:c>
      <x:c r="D1648" s="56" t="n">
        <x:v>40</x:v>
      </x:c>
      <x:c r="E1648" s="56" t="str">
        <x:v>risk.antiplatelet</x:v>
      </x:c>
      <x:c r="F1648" s="56" t="str">
        <x:v>antiplatelet</x:v>
      </x:c>
      <x:c r="G1648" s="56" t="n">
        <x:v>8</x:v>
      </x:c>
      <x:c r="H1648" s="56" t="str">
        <x:v>普通得分项</x:v>
      </x:c>
      <x:c r="I1648" s="56" t="str">
        <x:v>否</x:v>
      </x:c>
      <x:c r="J1648" s="56" t="str">
        <x:v>否</x:v>
      </x:c>
      <x:c r="K1648" s="56" t="str">
        <x:v>否</x:v>
      </x:c>
      <x:c r="L1648" s="56" t="str">
        <x:v>按结构化事件证据给予0/部分/满分；不能由总结反推已完成</x:v>
      </x:c>
      <x:c r="M1648" s="56" t="str"/>
      <x:c r="N1648" s="56" t="n">
        <x:f>SUMIFS($G$4:$G$1673,$A$4:$A$1673,A1648)</x:f>
        <x:v>360</x:v>
      </x:c>
      <x:c r="O1648" s="56" t="str">
        <x:f>IF(N1648=360,"通过","失败")</x:f>
        <x:v>通过</x:v>
      </x:c>
      <x:c r="P1648" s="56" t="str"/>
      <x:c r="Q1648" s="59" t="str">
        <x:v>待确认</x:v>
      </x:c>
    </x:row>
    <x:row r="1649">
      <x:c r="A1649" s="56" t="str">
        <x:v>P042</x:v>
      </x:c>
      <x:c r="B1649" s="56" t="str">
        <x:v>HX-ADD-030</x:v>
      </x:c>
      <x:c r="C1649" s="56" t="str">
        <x:v>exam</x:v>
      </x:c>
      <x:c r="D1649" s="56" t="n">
        <x:v>35</x:v>
      </x:c>
      <x:c r="E1649" s="56" t="str">
        <x:v>exam.temperature</x:v>
      </x:c>
      <x:c r="F1649" s="56" t="str">
        <x:v>体温</x:v>
      </x:c>
      <x:c r="G1649" s="56" t="n">
        <x:v>12</x:v>
      </x:c>
      <x:c r="H1649" s="56" t="str">
        <x:v>普通得分项</x:v>
      </x:c>
      <x:c r="I1649" s="56" t="str">
        <x:v>否</x:v>
      </x:c>
      <x:c r="J1649" s="56" t="str">
        <x:v>否</x:v>
      </x:c>
      <x:c r="K1649" s="56" t="str">
        <x:v>否</x:v>
      </x:c>
      <x:c r="L1649" s="56" t="str">
        <x:v>按结构化事件证据给予0/部分/满分；不能由总结反推已完成</x:v>
      </x:c>
      <x:c r="M1649" s="56" t="str"/>
      <x:c r="N1649" s="56" t="n">
        <x:f>SUMIFS($G$4:$G$1673,$A$4:$A$1673,A1649)</x:f>
        <x:v>360</x:v>
      </x:c>
      <x:c r="O1649" s="56" t="str">
        <x:f>IF(N1649=360,"通过","失败")</x:f>
        <x:v>通过</x:v>
      </x:c>
      <x:c r="P1649" s="56" t="str"/>
      <x:c r="Q1649" s="59" t="str">
        <x:v>待确认</x:v>
      </x:c>
    </x:row>
    <x:row r="1650">
      <x:c r="A1650" s="56" t="str">
        <x:v>P042</x:v>
      </x:c>
      <x:c r="B1650" s="56" t="str">
        <x:v>HX-ADD-030</x:v>
      </x:c>
      <x:c r="C1650" s="56" t="str">
        <x:v>exam</x:v>
      </x:c>
      <x:c r="D1650" s="56" t="n">
        <x:v>35</x:v>
      </x:c>
      <x:c r="E1650" s="56" t="str">
        <x:v>exam.blood_pressure</x:v>
      </x:c>
      <x:c r="F1650" s="56" t="str">
        <x:v>血压</x:v>
      </x:c>
      <x:c r="G1650" s="56" t="n">
        <x:v>12</x:v>
      </x:c>
      <x:c r="H1650" s="56" t="str">
        <x:v>普通得分项</x:v>
      </x:c>
      <x:c r="I1650" s="56" t="str">
        <x:v>否</x:v>
      </x:c>
      <x:c r="J1650" s="56" t="str">
        <x:v>否</x:v>
      </x:c>
      <x:c r="K1650" s="56" t="str">
        <x:v>否</x:v>
      </x:c>
      <x:c r="L1650" s="56" t="str">
        <x:v>按结构化事件证据给予0/部分/满分；不能由总结反推已完成</x:v>
      </x:c>
      <x:c r="M1650" s="56" t="str"/>
      <x:c r="N1650" s="56" t="n">
        <x:f>SUMIFS($G$4:$G$1673,$A$4:$A$1673,A1650)</x:f>
        <x:v>360</x:v>
      </x:c>
      <x:c r="O1650" s="56" t="str">
        <x:f>IF(N1650=360,"通过","失败")</x:f>
        <x:v>通过</x:v>
      </x:c>
      <x:c r="P1650" s="56" t="str"/>
      <x:c r="Q1650" s="59" t="str">
        <x:v>待确认</x:v>
      </x:c>
    </x:row>
    <x:row r="1651">
      <x:c r="A1651" s="56" t="str">
        <x:v>P042</x:v>
      </x:c>
      <x:c r="B1651" s="56" t="str">
        <x:v>HX-ADD-030</x:v>
      </x:c>
      <x:c r="C1651" s="56" t="str">
        <x:v>exam</x:v>
      </x:c>
      <x:c r="D1651" s="56" t="n">
        <x:v>35</x:v>
      </x:c>
      <x:c r="E1651" s="56" t="str">
        <x:v>exam.targeted</x:v>
      </x:c>
      <x:c r="F1651" s="56" t="str">
        <x:v>病例针对性查体</x:v>
      </x:c>
      <x:c r="G1651" s="56" t="n">
        <x:v>11</x:v>
      </x:c>
      <x:c r="H1651" s="56" t="str">
        <x:v>普通得分项</x:v>
      </x:c>
      <x:c r="I1651" s="56" t="str">
        <x:v>否</x:v>
      </x:c>
      <x:c r="J1651" s="56" t="str">
        <x:v>否</x:v>
      </x:c>
      <x:c r="K1651" s="56" t="str">
        <x:v>否</x:v>
      </x:c>
      <x:c r="L1651" s="56" t="str">
        <x:v>按结构化事件证据给予0/部分/满分；不能由总结反推已完成</x:v>
      </x:c>
      <x:c r="M1651" s="56" t="str"/>
      <x:c r="N1651" s="56" t="n">
        <x:f>SUMIFS($G$4:$G$1673,$A$4:$A$1673,A1651)</x:f>
        <x:v>360</x:v>
      </x:c>
      <x:c r="O1651" s="56" t="str">
        <x:f>IF(N1651=360,"通过","失败")</x:f>
        <x:v>通过</x:v>
      </x:c>
      <x:c r="P1651" s="56" t="str"/>
      <x:c r="Q1651" s="59" t="str">
        <x:v>待确认</x:v>
      </x:c>
    </x:row>
    <x:row r="1652">
      <x:c r="A1652" s="56" t="str">
        <x:v>P042</x:v>
      </x:c>
      <x:c r="B1652" s="56" t="str">
        <x:v>HX-ADD-030</x:v>
      </x:c>
      <x:c r="C1652" s="56" t="str">
        <x:v>diagnosis</x:v>
      </x:c>
      <x:c r="D1652" s="56" t="n">
        <x:v>45</x:v>
      </x:c>
      <x:c r="E1652" s="56" t="str">
        <x:v>diagnosis.primary</x:v>
      </x:c>
      <x:c r="F1652" s="56" t="str">
        <x:v>最可能诊断及依据</x:v>
      </x:c>
      <x:c r="G1652" s="56" t="n">
        <x:v>15</x:v>
      </x:c>
      <x:c r="H1652" s="56" t="str">
        <x:v>普通得分项</x:v>
      </x:c>
      <x:c r="I1652" s="56" t="str">
        <x:v>否</x:v>
      </x:c>
      <x:c r="J1652" s="56" t="str">
        <x:v>否</x:v>
      </x:c>
      <x:c r="K1652" s="56" t="str">
        <x:v>否</x:v>
      </x:c>
      <x:c r="L1652" s="56" t="str">
        <x:v>按结构化事件证据给予0/部分/满分；不能由总结反推已完成</x:v>
      </x:c>
      <x:c r="M1652" s="56" t="str"/>
      <x:c r="N1652" s="56" t="n">
        <x:f>SUMIFS($G$4:$G$1673,$A$4:$A$1673,A1652)</x:f>
        <x:v>360</x:v>
      </x:c>
      <x:c r="O1652" s="56" t="str">
        <x:f>IF(N1652=360,"通过","失败")</x:f>
        <x:v>通过</x:v>
      </x:c>
      <x:c r="P1652" s="56" t="str"/>
      <x:c r="Q1652" s="59" t="str">
        <x:v>待确认</x:v>
      </x:c>
    </x:row>
    <x:row r="1653">
      <x:c r="A1653" s="56" t="str">
        <x:v>P042</x:v>
      </x:c>
      <x:c r="B1653" s="56" t="str">
        <x:v>HX-ADD-030</x:v>
      </x:c>
      <x:c r="C1653" s="56" t="str">
        <x:v>diagnosis</x:v>
      </x:c>
      <x:c r="D1653" s="56" t="n">
        <x:v>45</x:v>
      </x:c>
      <x:c r="E1653" s="56" t="str">
        <x:v>diagnosis.differentials</x:v>
      </x:c>
      <x:c r="F1653" s="56" t="str">
        <x:v>至少3项鉴别及支持/反对点</x:v>
      </x:c>
      <x:c r="G1653" s="56" t="n">
        <x:v>15</x:v>
      </x:c>
      <x:c r="H1653" s="56" t="str">
        <x:v>普通得分项</x:v>
      </x:c>
      <x:c r="I1653" s="56" t="str">
        <x:v>否</x:v>
      </x:c>
      <x:c r="J1653" s="56" t="str">
        <x:v>否</x:v>
      </x:c>
      <x:c r="K1653" s="56" t="str">
        <x:v>否</x:v>
      </x:c>
      <x:c r="L1653" s="56" t="str">
        <x:v>按结构化事件证据给予0/部分/满分；不能由总结反推已完成</x:v>
      </x:c>
      <x:c r="M1653" s="56" t="str"/>
      <x:c r="N1653" s="56" t="n">
        <x:f>SUMIFS($G$4:$G$1673,$A$4:$A$1673,A1653)</x:f>
        <x:v>360</x:v>
      </x:c>
      <x:c r="O1653" s="56" t="str">
        <x:f>IF(N1653=360,"通过","失败")</x:f>
        <x:v>通过</x:v>
      </x:c>
      <x:c r="P1653" s="56" t="str"/>
      <x:c r="Q1653" s="59" t="str">
        <x:v>待确认</x:v>
      </x:c>
    </x:row>
    <x:row r="1654">
      <x:c r="A1654" s="56" t="str">
        <x:v>P042</x:v>
      </x:c>
      <x:c r="B1654" s="56" t="str">
        <x:v>HX-ADD-030</x:v>
      </x:c>
      <x:c r="C1654" s="56" t="str">
        <x:v>diagnosis</x:v>
      </x:c>
      <x:c r="D1654" s="56" t="n">
        <x:v>45</x:v>
      </x:c>
      <x:c r="E1654" s="56" t="str">
        <x:v>diagnosis.confirmation</x:v>
      </x:c>
      <x:c r="F1654" s="56" t="str">
        <x:v>确认计划</x:v>
      </x:c>
      <x:c r="G1654" s="56" t="n">
        <x:v>15</x:v>
      </x:c>
      <x:c r="H1654" s="56" t="str">
        <x:v>普通得分项</x:v>
      </x:c>
      <x:c r="I1654" s="56" t="str">
        <x:v>否</x:v>
      </x:c>
      <x:c r="J1654" s="56" t="str">
        <x:v>否</x:v>
      </x:c>
      <x:c r="K1654" s="56" t="str">
        <x:v>否</x:v>
      </x:c>
      <x:c r="L1654" s="56" t="str">
        <x:v>按结构化事件证据给予0/部分/满分；不能由总结反推已完成</x:v>
      </x:c>
      <x:c r="M1654" s="56" t="str"/>
      <x:c r="N1654" s="56" t="n">
        <x:f>SUMIFS($G$4:$G$1673,$A$4:$A$1673,A1654)</x:f>
        <x:v>360</x:v>
      </x:c>
      <x:c r="O1654" s="56" t="str">
        <x:f>IF(N1654=360,"通过","失败")</x:f>
        <x:v>通过</x:v>
      </x:c>
      <x:c r="P1654" s="56" t="str"/>
      <x:c r="Q1654" s="59" t="str">
        <x:v>待确认</x:v>
      </x:c>
    </x:row>
    <x:row r="1655">
      <x:c r="A1655" s="56" t="str">
        <x:v>P042</x:v>
      </x:c>
      <x:c r="B1655" s="56" t="str">
        <x:v>HX-ADD-030</x:v>
      </x:c>
      <x:c r="C1655" s="56" t="str">
        <x:v>orders</x:v>
      </x:c>
      <x:c r="D1655" s="56" t="n">
        <x:v>55</x:v>
      </x:c>
      <x:c r="E1655" s="56" t="str">
        <x:v>orders.LAB-UR-001</x:v>
      </x:c>
      <x:c r="F1655" s="56" t="str">
        <x:v>LAB-UR-001</x:v>
      </x:c>
      <x:c r="G1655" s="56" t="n">
        <x:v>10</x:v>
      </x:c>
      <x:c r="H1655" s="56" t="str">
        <x:v>病例特异得分项</x:v>
      </x:c>
      <x:c r="I1655" s="56" t="str">
        <x:v>否</x:v>
      </x:c>
      <x:c r="J1655" s="56" t="str">
        <x:v>否</x:v>
      </x:c>
      <x:c r="K1655" s="56" t="str">
        <x:v>否</x:v>
      </x:c>
      <x:c r="L1655" s="56" t="str">
        <x:v>按结构化事件证据给予0/部分/满分；不能由总结反推已完成</x:v>
      </x:c>
      <x:c r="M1655" s="56" t="str"/>
      <x:c r="N1655" s="56" t="n">
        <x:f>SUMIFS($G$4:$G$1673,$A$4:$A$1673,A1655)</x:f>
        <x:v>360</x:v>
      </x:c>
      <x:c r="O1655" s="56" t="str">
        <x:f>IF(N1655=360,"通过","失败")</x:f>
        <x:v>通过</x:v>
      </x:c>
      <x:c r="P1655" s="56" t="str"/>
      <x:c r="Q1655" s="59" t="str">
        <x:v>待确认</x:v>
      </x:c>
    </x:row>
    <x:row r="1656">
      <x:c r="A1656" s="56" t="str">
        <x:v>P042</x:v>
      </x:c>
      <x:c r="B1656" s="56" t="str">
        <x:v>HX-ADD-030</x:v>
      </x:c>
      <x:c r="C1656" s="56" t="str">
        <x:v>orders</x:v>
      </x:c>
      <x:c r="D1656" s="56" t="n">
        <x:v>55</x:v>
      </x:c>
      <x:c r="E1656" s="56" t="str">
        <x:v>orders.LAB-UR-002</x:v>
      </x:c>
      <x:c r="F1656" s="56" t="str">
        <x:v>LAB-UR-002</x:v>
      </x:c>
      <x:c r="G1656" s="56" t="n">
        <x:v>9</x:v>
      </x:c>
      <x:c r="H1656" s="56" t="str">
        <x:v>病例特异得分项</x:v>
      </x:c>
      <x:c r="I1656" s="56" t="str">
        <x:v>否</x:v>
      </x:c>
      <x:c r="J1656" s="56" t="str">
        <x:v>否</x:v>
      </x:c>
      <x:c r="K1656" s="56" t="str">
        <x:v>否</x:v>
      </x:c>
      <x:c r="L1656" s="56" t="str">
        <x:v>按结构化事件证据给予0/部分/满分；不能由总结反推已完成</x:v>
      </x:c>
      <x:c r="M1656" s="56" t="str"/>
      <x:c r="N1656" s="56" t="n">
        <x:f>SUMIFS($G$4:$G$1673,$A$4:$A$1673,A1656)</x:f>
        <x:v>360</x:v>
      </x:c>
      <x:c r="O1656" s="56" t="str">
        <x:f>IF(N1656=360,"通过","失败")</x:f>
        <x:v>通过</x:v>
      </x:c>
      <x:c r="P1656" s="56" t="str"/>
      <x:c r="Q1656" s="59" t="str">
        <x:v>待确认</x:v>
      </x:c>
    </x:row>
    <x:row r="1657">
      <x:c r="A1657" s="56" t="str">
        <x:v>P042</x:v>
      </x:c>
      <x:c r="B1657" s="56" t="str">
        <x:v>HX-ADD-030</x:v>
      </x:c>
      <x:c r="C1657" s="56" t="str">
        <x:v>orders</x:v>
      </x:c>
      <x:c r="D1657" s="56" t="n">
        <x:v>55</x:v>
      </x:c>
      <x:c r="E1657" s="56" t="str">
        <x:v>orders.LAB-UR-006</x:v>
      </x:c>
      <x:c r="F1657" s="56" t="str">
        <x:v>LAB-UR-006</x:v>
      </x:c>
      <x:c r="G1657" s="56" t="n">
        <x:v>9</x:v>
      </x:c>
      <x:c r="H1657" s="56" t="str">
        <x:v>病例特异得分项</x:v>
      </x:c>
      <x:c r="I1657" s="56" t="str">
        <x:v>否</x:v>
      </x:c>
      <x:c r="J1657" s="56" t="str">
        <x:v>否</x:v>
      </x:c>
      <x:c r="K1657" s="56" t="str">
        <x:v>否</x:v>
      </x:c>
      <x:c r="L1657" s="56" t="str">
        <x:v>按结构化事件证据给予0/部分/满分；不能由总结反推已完成</x:v>
      </x:c>
      <x:c r="M1657" s="56" t="str"/>
      <x:c r="N1657" s="56" t="n">
        <x:f>SUMIFS($G$4:$G$1673,$A$4:$A$1673,A1657)</x:f>
        <x:v>360</x:v>
      </x:c>
      <x:c r="O1657" s="56" t="str">
        <x:f>IF(N1657=360,"通过","失败")</x:f>
        <x:v>通过</x:v>
      </x:c>
      <x:c r="P1657" s="56" t="str"/>
      <x:c r="Q1657" s="59" t="str">
        <x:v>待确认</x:v>
      </x:c>
    </x:row>
    <x:row r="1658">
      <x:c r="A1658" s="56" t="str">
        <x:v>P042</x:v>
      </x:c>
      <x:c r="B1658" s="56" t="str">
        <x:v>HX-ADD-030</x:v>
      </x:c>
      <x:c r="C1658" s="56" t="str">
        <x:v>orders</x:v>
      </x:c>
      <x:c r="D1658" s="56" t="n">
        <x:v>55</x:v>
      </x:c>
      <x:c r="E1658" s="56" t="str">
        <x:v>orders.LAB-BL-003</x:v>
      </x:c>
      <x:c r="F1658" s="56" t="str">
        <x:v>LAB-BL-003</x:v>
      </x:c>
      <x:c r="G1658" s="56" t="n">
        <x:v>9</x:v>
      </x:c>
      <x:c r="H1658" s="56" t="str">
        <x:v>病例特异得分项</x:v>
      </x:c>
      <x:c r="I1658" s="56" t="str">
        <x:v>否</x:v>
      </x:c>
      <x:c r="J1658" s="56" t="str">
        <x:v>否</x:v>
      </x:c>
      <x:c r="K1658" s="56" t="str">
        <x:v>否</x:v>
      </x:c>
      <x:c r="L1658" s="56" t="str">
        <x:v>按结构化事件证据给予0/部分/满分；不能由总结反推已完成</x:v>
      </x:c>
      <x:c r="M1658" s="56" t="str"/>
      <x:c r="N1658" s="56" t="n">
        <x:f>SUMIFS($G$4:$G$1673,$A$4:$A$1673,A1658)</x:f>
        <x:v>360</x:v>
      </x:c>
      <x:c r="O1658" s="56" t="str">
        <x:f>IF(N1658=360,"通过","失败")</x:f>
        <x:v>通过</x:v>
      </x:c>
      <x:c r="P1658" s="56" t="str"/>
      <x:c r="Q1658" s="59" t="str">
        <x:v>待确认</x:v>
      </x:c>
    </x:row>
    <x:row r="1659">
      <x:c r="A1659" s="56" t="str">
        <x:v>P042</x:v>
      </x:c>
      <x:c r="B1659" s="56" t="str">
        <x:v>HX-ADD-030</x:v>
      </x:c>
      <x:c r="C1659" s="56" t="str">
        <x:v>orders</x:v>
      </x:c>
      <x:c r="D1659" s="56" t="n">
        <x:v>55</x:v>
      </x:c>
      <x:c r="E1659" s="56" t="str">
        <x:v>orders.IMG-CT-002</x:v>
      </x:c>
      <x:c r="F1659" s="56" t="str">
        <x:v>IMG-CT-002</x:v>
      </x:c>
      <x:c r="G1659" s="56" t="n">
        <x:v>9</x:v>
      </x:c>
      <x:c r="H1659" s="56" t="str">
        <x:v>病例特异得分项</x:v>
      </x:c>
      <x:c r="I1659" s="56" t="str">
        <x:v>否</x:v>
      </x:c>
      <x:c r="J1659" s="56" t="str">
        <x:v>否</x:v>
      </x:c>
      <x:c r="K1659" s="56" t="str">
        <x:v>否</x:v>
      </x:c>
      <x:c r="L1659" s="56" t="str">
        <x:v>按结构化事件证据给予0/部分/满分；不能由总结反推已完成</x:v>
      </x:c>
      <x:c r="M1659" s="56" t="str"/>
      <x:c r="N1659" s="56" t="n">
        <x:f>SUMIFS($G$4:$G$1673,$A$4:$A$1673,A1659)</x:f>
        <x:v>360</x:v>
      </x:c>
      <x:c r="O1659" s="56" t="str">
        <x:f>IF(N1659=360,"通过","失败")</x:f>
        <x:v>通过</x:v>
      </x:c>
      <x:c r="P1659" s="56" t="str"/>
      <x:c r="Q1659" s="59" t="str">
        <x:v>待确认</x:v>
      </x:c>
    </x:row>
    <x:row r="1660">
      <x:c r="A1660" s="56" t="str">
        <x:v>P042</x:v>
      </x:c>
      <x:c r="B1660" s="56" t="str">
        <x:v>HX-ADD-030</x:v>
      </x:c>
      <x:c r="C1660" s="56" t="str">
        <x:v>orders</x:v>
      </x:c>
      <x:c r="D1660" s="56" t="n">
        <x:v>55</x:v>
      </x:c>
      <x:c r="E1660" s="56" t="str">
        <x:v>orders.END-001</x:v>
      </x:c>
      <x:c r="F1660" s="56" t="str">
        <x:v>END-001</x:v>
      </x:c>
      <x:c r="G1660" s="56" t="n">
        <x:v>9</x:v>
      </x:c>
      <x:c r="H1660" s="56" t="str">
        <x:v>病例特异得分项</x:v>
      </x:c>
      <x:c r="I1660" s="56" t="str">
        <x:v>否</x:v>
      </x:c>
      <x:c r="J1660" s="56" t="str">
        <x:v>否</x:v>
      </x:c>
      <x:c r="K1660" s="56" t="str">
        <x:v>否</x:v>
      </x:c>
      <x:c r="L1660" s="56" t="str">
        <x:v>按结构化事件证据给予0/部分/满分；不能由总结反推已完成</x:v>
      </x:c>
      <x:c r="M1660" s="56" t="str"/>
      <x:c r="N1660" s="56" t="n">
        <x:f>SUMIFS($G$4:$G$1673,$A$4:$A$1673,A1660)</x:f>
        <x:v>360</x:v>
      </x:c>
      <x:c r="O1660" s="56" t="str">
        <x:f>IF(N1660=360,"通过","失败")</x:f>
        <x:v>通过</x:v>
      </x:c>
      <x:c r="P1660" s="56" t="str"/>
      <x:c r="Q1660" s="59" t="str">
        <x:v>待确认</x:v>
      </x:c>
    </x:row>
    <x:row r="1661">
      <x:c r="A1661" s="56" t="str">
        <x:v>P042</x:v>
      </x:c>
      <x:c r="B1661" s="56" t="str">
        <x:v>HX-ADD-030</x:v>
      </x:c>
      <x:c r="C1661" s="56" t="str">
        <x:v>mdt</x:v>
      </x:c>
      <x:c r="D1661" s="56" t="n">
        <x:v>45</x:v>
      </x:c>
      <x:c r="E1661" s="56" t="str">
        <x:v>mdt.department</x:v>
      </x:c>
      <x:c r="F1661" s="56" t="str">
        <x:v>department</x:v>
      </x:c>
      <x:c r="G1661" s="56" t="n">
        <x:v>12</x:v>
      </x:c>
      <x:c r="H1661" s="56" t="str">
        <x:v>病例特异得分项</x:v>
      </x:c>
      <x:c r="I1661" s="56" t="str">
        <x:v>否</x:v>
      </x:c>
      <x:c r="J1661" s="56" t="str">
        <x:v>否</x:v>
      </x:c>
      <x:c r="K1661" s="56" t="str">
        <x:v>否</x:v>
      </x:c>
      <x:c r="L1661" s="56" t="str">
        <x:v>按结构化事件证据给予0/部分/满分；不能由总结反推已完成</x:v>
      </x:c>
      <x:c r="M1661" s="56" t="str"/>
      <x:c r="N1661" s="56" t="n">
        <x:f>SUMIFS($G$4:$G$1673,$A$4:$A$1673,A1661)</x:f>
        <x:v>360</x:v>
      </x:c>
      <x:c r="O1661" s="56" t="str">
        <x:f>IF(N1661=360,"通过","失败")</x:f>
        <x:v>通过</x:v>
      </x:c>
      <x:c r="P1661" s="56" t="str"/>
      <x:c r="Q1661" s="59" t="str">
        <x:v>待确认</x:v>
      </x:c>
    </x:row>
    <x:row r="1662">
      <x:c r="A1662" s="56" t="str">
        <x:v>P042</x:v>
      </x:c>
      <x:c r="B1662" s="56" t="str">
        <x:v>HX-ADD-030</x:v>
      </x:c>
      <x:c r="C1662" s="56" t="str">
        <x:v>mdt</x:v>
      </x:c>
      <x:c r="D1662" s="56" t="n">
        <x:v>45</x:v>
      </x:c>
      <x:c r="E1662" s="56" t="str">
        <x:v>mdt.trigger</x:v>
      </x:c>
      <x:c r="F1662" s="56" t="str">
        <x:v>trigger</x:v>
      </x:c>
      <x:c r="G1662" s="56" t="n">
        <x:v>11</x:v>
      </x:c>
      <x:c r="H1662" s="56" t="str">
        <x:v>病例特异得分项</x:v>
      </x:c>
      <x:c r="I1662" s="56" t="str">
        <x:v>否</x:v>
      </x:c>
      <x:c r="J1662" s="56" t="str">
        <x:v>否</x:v>
      </x:c>
      <x:c r="K1662" s="56" t="str">
        <x:v>否</x:v>
      </x:c>
      <x:c r="L1662" s="56" t="str">
        <x:v>按结构化事件证据给予0/部分/满分；不能由总结反推已完成</x:v>
      </x:c>
      <x:c r="M1662" s="56" t="str"/>
      <x:c r="N1662" s="56" t="n">
        <x:f>SUMIFS($G$4:$G$1673,$A$4:$A$1673,A1662)</x:f>
        <x:v>360</x:v>
      </x:c>
      <x:c r="O1662" s="56" t="str">
        <x:f>IF(N1662=360,"通过","失败")</x:f>
        <x:v>通过</x:v>
      </x:c>
      <x:c r="P1662" s="56" t="str"/>
      <x:c r="Q1662" s="59" t="str">
        <x:v>待确认</x:v>
      </x:c>
    </x:row>
    <x:row r="1663">
      <x:c r="A1663" s="56" t="str">
        <x:v>P042</x:v>
      </x:c>
      <x:c r="B1663" s="56" t="str">
        <x:v>HX-ADD-030</x:v>
      </x:c>
      <x:c r="C1663" s="56" t="str">
        <x:v>mdt</x:v>
      </x:c>
      <x:c r="D1663" s="56" t="n">
        <x:v>45</x:v>
      </x:c>
      <x:c r="E1663" s="56" t="str">
        <x:v>mdt.question</x:v>
      </x:c>
      <x:c r="F1663" s="56" t="str">
        <x:v>question</x:v>
      </x:c>
      <x:c r="G1663" s="56" t="n">
        <x:v>11</x:v>
      </x:c>
      <x:c r="H1663" s="56" t="str">
        <x:v>病例特异得分项</x:v>
      </x:c>
      <x:c r="I1663" s="56" t="str">
        <x:v>否</x:v>
      </x:c>
      <x:c r="J1663" s="56" t="str">
        <x:v>否</x:v>
      </x:c>
      <x:c r="K1663" s="56" t="str">
        <x:v>否</x:v>
      </x:c>
      <x:c r="L1663" s="56" t="str">
        <x:v>按结构化事件证据给予0/部分/满分；不能由总结反推已完成</x:v>
      </x:c>
      <x:c r="M1663" s="56" t="str"/>
      <x:c r="N1663" s="56" t="n">
        <x:f>SUMIFS($G$4:$G$1673,$A$4:$A$1673,A1663)</x:f>
        <x:v>360</x:v>
      </x:c>
      <x:c r="O1663" s="56" t="str">
        <x:f>IF(N1663=360,"通过","失败")</x:f>
        <x:v>通过</x:v>
      </x:c>
      <x:c r="P1663" s="56" t="str"/>
      <x:c r="Q1663" s="59" t="str">
        <x:v>待确认</x:v>
      </x:c>
    </x:row>
    <x:row r="1664">
      <x:c r="A1664" s="56" t="str">
        <x:v>P042</x:v>
      </x:c>
      <x:c r="B1664" s="56" t="str">
        <x:v>HX-ADD-030</x:v>
      </x:c>
      <x:c r="C1664" s="56" t="str">
        <x:v>mdt</x:v>
      </x:c>
      <x:c r="D1664" s="56" t="n">
        <x:v>45</x:v>
      </x:c>
      <x:c r="E1664" s="56" t="str">
        <x:v>mdt.evidence</x:v>
      </x:c>
      <x:c r="F1664" s="56" t="str">
        <x:v>evidence</x:v>
      </x:c>
      <x:c r="G1664" s="56" t="n">
        <x:v>11</x:v>
      </x:c>
      <x:c r="H1664" s="56" t="str">
        <x:v>病例特异得分项</x:v>
      </x:c>
      <x:c r="I1664" s="56" t="str">
        <x:v>否</x:v>
      </x:c>
      <x:c r="J1664" s="56" t="str">
        <x:v>否</x:v>
      </x:c>
      <x:c r="K1664" s="56" t="str">
        <x:v>否</x:v>
      </x:c>
      <x:c r="L1664" s="56" t="str">
        <x:v>按结构化事件证据给予0/部分/满分；不能由总结反推已完成</x:v>
      </x:c>
      <x:c r="M1664" s="56" t="str"/>
      <x:c r="N1664" s="56" t="n">
        <x:f>SUMIFS($G$4:$G$1673,$A$4:$A$1673,A1664)</x:f>
        <x:v>360</x:v>
      </x:c>
      <x:c r="O1664" s="56" t="str">
        <x:f>IF(N1664=360,"通过","失败")</x:f>
        <x:v>通过</x:v>
      </x:c>
      <x:c r="P1664" s="56" t="str"/>
      <x:c r="Q1664" s="59" t="str">
        <x:v>待确认</x:v>
      </x:c>
    </x:row>
    <x:row r="1665">
      <x:c r="A1665" s="56" t="str">
        <x:v>P042</x:v>
      </x:c>
      <x:c r="B1665" s="56" t="str">
        <x:v>HX-ADD-030</x:v>
      </x:c>
      <x:c r="C1665" s="56" t="str">
        <x:v>treatment</x:v>
      </x:c>
      <x:c r="D1665" s="56" t="n">
        <x:v>50</x:v>
      </x:c>
      <x:c r="E1665" s="56" t="str">
        <x:v>treatment.immediate</x:v>
      </x:c>
      <x:c r="F1665" s="56" t="str">
        <x:v>immediate</x:v>
      </x:c>
      <x:c r="G1665" s="56" t="n">
        <x:v>13</x:v>
      </x:c>
      <x:c r="H1665" s="56" t="str">
        <x:v>病例特异得分项</x:v>
      </x:c>
      <x:c r="I1665" s="56" t="str">
        <x:v>否</x:v>
      </x:c>
      <x:c r="J1665" s="56" t="str">
        <x:v>否</x:v>
      </x:c>
      <x:c r="K1665" s="56" t="str">
        <x:v>否</x:v>
      </x:c>
      <x:c r="L1665" s="56" t="str">
        <x:v>按结构化事件证据给予0/部分/满分；不能由总结反推已完成</x:v>
      </x:c>
      <x:c r="M1665" s="56" t="str"/>
      <x:c r="N1665" s="56" t="n">
        <x:f>SUMIFS($G$4:$G$1673,$A$4:$A$1673,A1665)</x:f>
        <x:v>360</x:v>
      </x:c>
      <x:c r="O1665" s="56" t="str">
        <x:f>IF(N1665=360,"通过","失败")</x:f>
        <x:v>通过</x:v>
      </x:c>
      <x:c r="P1665" s="56" t="str"/>
      <x:c r="Q1665" s="59" t="str">
        <x:v>待确认</x:v>
      </x:c>
    </x:row>
    <x:row r="1666">
      <x:c r="A1666" s="56" t="str">
        <x:v>P042</x:v>
      </x:c>
      <x:c r="B1666" s="56" t="str">
        <x:v>HX-ADD-030</x:v>
      </x:c>
      <x:c r="C1666" s="56" t="str">
        <x:v>treatment</x:v>
      </x:c>
      <x:c r="D1666" s="56" t="n">
        <x:v>50</x:v>
      </x:c>
      <x:c r="E1666" s="56" t="str">
        <x:v>treatment.etiologic</x:v>
      </x:c>
      <x:c r="F1666" s="56" t="str">
        <x:v>etiologic</x:v>
      </x:c>
      <x:c r="G1666" s="56" t="n">
        <x:v>13</x:v>
      </x:c>
      <x:c r="H1666" s="56" t="str">
        <x:v>病例特异得分项</x:v>
      </x:c>
      <x:c r="I1666" s="56" t="str">
        <x:v>否</x:v>
      </x:c>
      <x:c r="J1666" s="56" t="str">
        <x:v>否</x:v>
      </x:c>
      <x:c r="K1666" s="56" t="str">
        <x:v>否</x:v>
      </x:c>
      <x:c r="L1666" s="56" t="str">
        <x:v>按结构化事件证据给予0/部分/满分；不能由总结反推已完成</x:v>
      </x:c>
      <x:c r="M1666" s="56" t="str"/>
      <x:c r="N1666" s="56" t="n">
        <x:f>SUMIFS($G$4:$G$1673,$A$4:$A$1673,A1666)</x:f>
        <x:v>360</x:v>
      </x:c>
      <x:c r="O1666" s="56" t="str">
        <x:f>IF(N1666=360,"通过","失败")</x:f>
        <x:v>通过</x:v>
      </x:c>
      <x:c r="P1666" s="56" t="str"/>
      <x:c r="Q1666" s="59" t="str">
        <x:v>待确认</x:v>
      </x:c>
    </x:row>
    <x:row r="1667">
      <x:c r="A1667" s="56" t="str">
        <x:v>P042</x:v>
      </x:c>
      <x:c r="B1667" s="56" t="str">
        <x:v>HX-ADD-030</x:v>
      </x:c>
      <x:c r="C1667" s="56" t="str">
        <x:v>treatment</x:v>
      </x:c>
      <x:c r="D1667" s="56" t="n">
        <x:v>50</x:v>
      </x:c>
      <x:c r="E1667" s="56" t="str">
        <x:v>treatment.definitive</x:v>
      </x:c>
      <x:c r="F1667" s="56" t="str">
        <x:v>definitive</x:v>
      </x:c>
      <x:c r="G1667" s="56" t="n">
        <x:v>12</x:v>
      </x:c>
      <x:c r="H1667" s="56" t="str">
        <x:v>病例特异得分项</x:v>
      </x:c>
      <x:c r="I1667" s="56" t="str">
        <x:v>否</x:v>
      </x:c>
      <x:c r="J1667" s="56" t="str">
        <x:v>否</x:v>
      </x:c>
      <x:c r="K1667" s="56" t="str">
        <x:v>否</x:v>
      </x:c>
      <x:c r="L1667" s="56" t="str">
        <x:v>按结构化事件证据给予0/部分/满分；不能由总结反推已完成</x:v>
      </x:c>
      <x:c r="M1667" s="56" t="str"/>
      <x:c r="N1667" s="56" t="n">
        <x:f>SUMIFS($G$4:$G$1673,$A$4:$A$1673,A1667)</x:f>
        <x:v>360</x:v>
      </x:c>
      <x:c r="O1667" s="56" t="str">
        <x:f>IF(N1667=360,"通过","失败")</x:f>
        <x:v>通过</x:v>
      </x:c>
      <x:c r="P1667" s="56" t="str"/>
      <x:c r="Q1667" s="59" t="str">
        <x:v>待确认</x:v>
      </x:c>
    </x:row>
    <x:row r="1668">
      <x:c r="A1668" s="56" t="str">
        <x:v>P042</x:v>
      </x:c>
      <x:c r="B1668" s="56" t="str">
        <x:v>HX-ADD-030</x:v>
      </x:c>
      <x:c r="C1668" s="56" t="str">
        <x:v>treatment</x:v>
      </x:c>
      <x:c r="D1668" s="56" t="n">
        <x:v>50</x:v>
      </x:c>
      <x:c r="E1668" s="56" t="str">
        <x:v>treatment.perioperative</x:v>
      </x:c>
      <x:c r="F1668" s="56" t="str">
        <x:v>perioperative</x:v>
      </x:c>
      <x:c r="G1668" s="56" t="n">
        <x:v>12</x:v>
      </x:c>
      <x:c r="H1668" s="56" t="str">
        <x:v>病例特异得分项</x:v>
      </x:c>
      <x:c r="I1668" s="56" t="str">
        <x:v>否</x:v>
      </x:c>
      <x:c r="J1668" s="56" t="str">
        <x:v>否</x:v>
      </x:c>
      <x:c r="K1668" s="56" t="str">
        <x:v>否</x:v>
      </x:c>
      <x:c r="L1668" s="56" t="str">
        <x:v>按结构化事件证据给予0/部分/满分；不能由总结反推已完成</x:v>
      </x:c>
      <x:c r="M1668" s="56" t="str"/>
      <x:c r="N1668" s="56" t="n">
        <x:f>SUMIFS($G$4:$G$1673,$A$4:$A$1673,A1668)</x:f>
        <x:v>360</x:v>
      </x:c>
      <x:c r="O1668" s="56" t="str">
        <x:f>IF(N1668=360,"通过","失败")</x:f>
        <x:v>通过</x:v>
      </x:c>
      <x:c r="P1668" s="56" t="str"/>
      <x:c r="Q1668" s="59" t="str">
        <x:v>待确认</x:v>
      </x:c>
    </x:row>
    <x:row r="1669">
      <x:c r="A1669" s="56" t="str">
        <x:v>P042</x:v>
      </x:c>
      <x:c r="B1669" s="56" t="str">
        <x:v>HX-ADD-030</x:v>
      </x:c>
      <x:c r="C1669" s="56" t="str">
        <x:v>followup</x:v>
      </x:c>
      <x:c r="D1669" s="56" t="n">
        <x:v>40</x:v>
      </x:c>
      <x:c r="E1669" s="56" t="str">
        <x:v>followup.plan</x:v>
      </x:c>
      <x:c r="F1669" s="56" t="str">
        <x:v>随访复查</x:v>
      </x:c>
      <x:c r="G1669" s="56" t="n">
        <x:v>10</x:v>
      </x:c>
      <x:c r="H1669" s="56" t="str">
        <x:v>普通得分项</x:v>
      </x:c>
      <x:c r="I1669" s="56" t="str">
        <x:v>否</x:v>
      </x:c>
      <x:c r="J1669" s="56" t="str">
        <x:v>否</x:v>
      </x:c>
      <x:c r="K1669" s="56" t="str">
        <x:v>否</x:v>
      </x:c>
      <x:c r="L1669" s="56" t="str">
        <x:v>按结构化事件证据给予0/部分/满分；不能由总结反推已完成</x:v>
      </x:c>
      <x:c r="M1669" s="56" t="str"/>
      <x:c r="N1669" s="56" t="n">
        <x:f>SUMIFS($G$4:$G$1673,$A$4:$A$1673,A1669)</x:f>
        <x:v>360</x:v>
      </x:c>
      <x:c r="O1669" s="56" t="str">
        <x:f>IF(N1669=360,"通过","失败")</x:f>
        <x:v>通过</x:v>
      </x:c>
      <x:c r="P1669" s="56" t="str"/>
      <x:c r="Q1669" s="59" t="str">
        <x:v>待确认</x:v>
      </x:c>
    </x:row>
    <x:row r="1670">
      <x:c r="A1670" s="56" t="str">
        <x:v>P042</x:v>
      </x:c>
      <x:c r="B1670" s="56" t="str">
        <x:v>HX-ADD-030</x:v>
      </x:c>
      <x:c r="C1670" s="56" t="str">
        <x:v>followup</x:v>
      </x:c>
      <x:c r="D1670" s="56" t="n">
        <x:v>40</x:v>
      </x:c>
      <x:c r="E1670" s="56" t="str">
        <x:v>followup.education</x:v>
      </x:c>
      <x:c r="F1670" s="56" t="str">
        <x:v>患者教育</x:v>
      </x:c>
      <x:c r="G1670" s="56" t="n">
        <x:v>10</x:v>
      </x:c>
      <x:c r="H1670" s="56" t="str">
        <x:v>普通得分项</x:v>
      </x:c>
      <x:c r="I1670" s="56" t="str">
        <x:v>否</x:v>
      </x:c>
      <x:c r="J1670" s="56" t="str">
        <x:v>否</x:v>
      </x:c>
      <x:c r="K1670" s="56" t="str">
        <x:v>否</x:v>
      </x:c>
      <x:c r="L1670" s="56" t="str">
        <x:v>按结构化事件证据给予0/部分/满分；不能由总结反推已完成</x:v>
      </x:c>
      <x:c r="M1670" s="56" t="str"/>
      <x:c r="N1670" s="56" t="n">
        <x:f>SUMIFS($G$4:$G$1673,$A$4:$A$1673,A1670)</x:f>
        <x:v>360</x:v>
      </x:c>
      <x:c r="O1670" s="56" t="str">
        <x:f>IF(N1670=360,"通过","失败")</x:f>
        <x:v>通过</x:v>
      </x:c>
      <x:c r="P1670" s="56" t="str"/>
      <x:c r="Q1670" s="59" t="str">
        <x:v>待确认</x:v>
      </x:c>
    </x:row>
    <x:row r="1671">
      <x:c r="A1671" s="56" t="str">
        <x:v>P042</x:v>
      </x:c>
      <x:c r="B1671" s="56" t="str">
        <x:v>HX-ADD-030</x:v>
      </x:c>
      <x:c r="C1671" s="56" t="str">
        <x:v>followup</x:v>
      </x:c>
      <x:c r="D1671" s="56" t="n">
        <x:v>40</x:v>
      </x:c>
      <x:c r="E1671" s="56" t="str">
        <x:v>followup.reflection</x:v>
      </x:c>
      <x:c r="F1671" s="56" t="str">
        <x:v>学习反思质量</x:v>
      </x:c>
      <x:c r="G1671" s="56" t="n">
        <x:v>10</x:v>
      </x:c>
      <x:c r="H1671" s="56" t="str">
        <x:v>普通得分项</x:v>
      </x:c>
      <x:c r="I1671" s="56" t="str">
        <x:v>否</x:v>
      </x:c>
      <x:c r="J1671" s="56" t="str">
        <x:v>否</x:v>
      </x:c>
      <x:c r="K1671" s="56" t="str">
        <x:v>否</x:v>
      </x:c>
      <x:c r="L1671" s="56" t="str">
        <x:v>按结构化事件证据给予0/部分/满分；不能由总结反推已完成</x:v>
      </x:c>
      <x:c r="M1671" s="56" t="str"/>
      <x:c r="N1671" s="56" t="n">
        <x:f>SUMIFS($G$4:$G$1673,$A$4:$A$1673,A1671)</x:f>
        <x:v>360</x:v>
      </x:c>
      <x:c r="O1671" s="56" t="str">
        <x:f>IF(N1671=360,"通过","失败")</x:f>
        <x:v>通过</x:v>
      </x:c>
      <x:c r="P1671" s="56" t="str"/>
      <x:c r="Q1671" s="59" t="str">
        <x:v>待确认</x:v>
      </x:c>
    </x:row>
    <x:row r="1672">
      <x:c r="A1672" s="56" t="str">
        <x:v>P042</x:v>
      </x:c>
      <x:c r="B1672" s="56" t="str">
        <x:v>HX-ADD-030</x:v>
      </x:c>
      <x:c r="C1672" s="56" t="str">
        <x:v>followup</x:v>
      </x:c>
      <x:c r="D1672" s="56" t="n">
        <x:v>40</x:v>
      </x:c>
      <x:c r="E1672" s="56" t="str">
        <x:v>followup.efficiency</x:v>
      </x:c>
      <x:c r="F1672" s="56" t="str">
        <x:v>操作效率</x:v>
      </x:c>
      <x:c r="G1672" s="56" t="n">
        <x:v>10</x:v>
      </x:c>
      <x:c r="H1672" s="56" t="str">
        <x:v>普通得分项</x:v>
      </x:c>
      <x:c r="I1672" s="56" t="str">
        <x:v>否</x:v>
      </x:c>
      <x:c r="J1672" s="56" t="str">
        <x:v>否</x:v>
      </x:c>
      <x:c r="K1672" s="56" t="str">
        <x:v>否</x:v>
      </x:c>
      <x:c r="L1672" s="56" t="str">
        <x:v>按结构化事件证据给予0/部分/满分；不能由总结反推已完成</x:v>
      </x:c>
      <x:c r="M1672" s="56" t="str"/>
      <x:c r="N1672" s="56" t="n">
        <x:f>SUMIFS($G$4:$G$1673,$A$4:$A$1673,A1672)</x:f>
        <x:v>360</x:v>
      </x:c>
      <x:c r="O1672" s="56" t="str">
        <x:f>IF(N1672=360,"通过","失败")</x:f>
        <x:v>通过</x:v>
      </x:c>
      <x:c r="P1672" s="56" t="str"/>
      <x:c r="Q1672" s="59" t="str">
        <x:v>待确认</x:v>
      </x:c>
    </x:row>
    <x:row r="1673">
      <x:c r="A1673" s="57" t="str">
        <x:v>P042</x:v>
      </x:c>
      <x:c r="B1673" s="57" t="str">
        <x:v>HX-ADD-030</x:v>
      </x:c>
      <x:c r="C1673" s="57" t="str">
        <x:v>safety_gate</x:v>
      </x:c>
      <x:c r="D1673" s="57" t="n">
        <x:v>0</x:v>
      </x:c>
      <x:c r="E1673" s="57" t="str">
        <x:v>safety.P042.1</x:v>
      </x:c>
      <x:c r="F1673" s="57" t="str">
        <x:v>未发现肿瘤即实施确定性肿瘤治疗</x:v>
      </x:c>
      <x:c r="G1673" s="57" t="n">
        <x:v>0</x:v>
      </x:c>
      <x:c r="H1673" s="57" t="str">
        <x:v>患者安全关键项</x:v>
      </x:c>
      <x:c r="I1673" s="57" t="str">
        <x:v>是</x:v>
      </x:c>
      <x:c r="J1673" s="57" t="str">
        <x:v>否</x:v>
      </x:c>
      <x:c r="K1673" s="57" t="str">
        <x:v>是</x:v>
      </x:c>
      <x:c r="L1673" s="57" t="str">
        <x:v>触发时不加分并按专家设定封顶</x:v>
      </x:c>
      <x:c r="M1673" s="57" t="str">
        <x:v>未发现肿瘤即实施确定性肿瘤治疗</x:v>
      </x:c>
      <x:c r="N1673" s="57" t="n">
        <x:f>SUMIFS($G$4:$G$1673,$A$4:$A$1673,A1673)</x:f>
        <x:v>360</x:v>
      </x:c>
      <x:c r="O1673" s="57" t="str">
        <x:f>IF(N1673=360,"通过","失败")</x:f>
        <x:v>通过</x:v>
      </x:c>
      <x:c r="P1673" s="57" t="str"/>
      <x:c r="Q1673" s="60" t="str">
        <x:v>待确认</x:v>
      </x:c>
    </x:row>
  </x:sheetData>
  <x:mergeCells>
    <x:mergeCell ref="A1:Q1"/>
  </x:mergeCells>
  <x:conditionalFormatting sqref="I4:Q1673">
    <x:cfRule type="containsText" dxfId="18" priority="1" operator="containsText" text="待"/>
    <x:cfRule type="containsText" dxfId="19" priority="2" operator="containsText" text="禁忌"/>
    <x:cfRule type="containsText" dxfId="20" priority="3" operator="containsText" text="重大"/>
    <x:cfRule type="containsText" dxfId="21" priority="4" operator="containsText" text="已复核"/>
  </x:conditionalFormatting>
  <x:dataValidations count="1">
    <x:dataValidation type="list" sqref="Q4:Q1673">
      <x:formula1>"待确认,保留,修改,删除"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d10599519c24ee5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3.130000114440918" hidden="0" customWidth="1"/>
    <x:col min="3" max="3" width="18.1299991607666" hidden="0" customWidth="1"/>
    <x:col min="4" max="4" width="38.75" hidden="0" customWidth="1"/>
    <x:col min="5" max="5" width="21.25" hidden="0" customWidth="1"/>
    <x:col min="6" max="6" width="15" hidden="0" customWidth="1"/>
    <x:col min="7" max="7" width="26.25" hidden="0" customWidth="1"/>
    <x:col min="8" max="8" width="12.5" hidden="0" customWidth="1"/>
    <x:col min="9" max="9" width="12.5" hidden="0" customWidth="1"/>
    <x:col min="10" max="10" width="20" hidden="0" customWidth="1"/>
    <x:col min="11" max="11" width="27.5" hidden="0" customWidth="1"/>
    <x:col min="12" max="12" width="27.5" hidden="0" customWidth="1"/>
    <x:col min="13" max="13" width="31.25" hidden="0" customWidth="1"/>
  </x:cols>
  <x:sheetData>
    <x:row r="1" ht="30" customHeight="1">
      <x:c r="A1" s="42" t="str">
        <x:v>医学事实追踪</x:v>
      </x:c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</x:row>
    <x:row r="2">
      <x:c r="A2" t="str">
        <x:v>待确认事实总数</x:v>
      </x:c>
      <x:c r="B2" t="n">
        <x:f>COUNTA(A4:A575)</x:f>
        <x:v>572</x:v>
      </x:c>
      <x:c r="C2" t="str">
        <x:v>应为572</x:v>
      </x:c>
    </x:row>
    <x:row r="3" ht="36" customHeight="1">
      <x:c r="A3" s="47" t="str">
        <x:v>caseId</x:v>
      </x:c>
      <x:c r="B3" s="47" t="str">
        <x:v>originalCaseId</x:v>
      </x:c>
      <x:c r="C3" s="47" t="str">
        <x:v>原字段</x:v>
      </x:c>
      <x:c r="D3" s="47" t="str">
        <x:v>当前内容</x:v>
      </x:c>
      <x:c r="E3" s="47" t="str">
        <x:v>来源</x:v>
      </x:c>
      <x:c r="F3" s="47" t="str">
        <x:v>是否程序或AI补充</x:v>
      </x:c>
      <x:c r="G3" s="47" t="str">
        <x:v>是否与其他字段矛盾</x:v>
      </x:c>
      <x:c r="H3" s="47" t="str">
        <x:v>是否影响诊断</x:v>
      </x:c>
      <x:c r="I3" s="47" t="str">
        <x:v>是否影响评分</x:v>
      </x:c>
      <x:c r="J3" s="47" t="str">
        <x:v>保留/修改/删除/待确认</x:v>
      </x:c>
      <x:c r="K3" s="47" t="str">
        <x:v>建议修改</x:v>
      </x:c>
      <x:c r="L3" s="47" t="str">
        <x:v>专家意见</x:v>
      </x:c>
      <x:c r="M3" s="47" t="str">
        <x:v>文献依据</x:v>
      </x:c>
    </x:row>
    <x:row r="4">
      <x:c r="A4" s="55" t="str">
        <x:v>P001</x:v>
      </x:c>
      <x:c r="B4" s="55" t="str">
        <x:v>P001</x:v>
      </x:c>
      <x:c r="C4" s="55" t="str">
        <x:v>smokingHistory</x:v>
      </x:c>
      <x:c r="D4" s="55" t="str">
        <x:v>{"status":"never","cigarettesPerDay":0,"years":0,"quitYears":0,"packYears":0,"patientAnswerZh":"我不吸烟。","patientAnswerEn":"I do not smoke.","provenance":"author_added_for_simulation","teacherReviewRequired":true}</x:v>
      </x:c>
      <x:c r="E4" s="55" t="str">
        <x:v>author_added_for_simulation</x:v>
      </x:c>
      <x:c r="F4" s="55" t="str">
        <x:v>是</x:v>
      </x:c>
      <x:c r="G4" s="55" t="str">
        <x:v>程序未检出确定性冲突；仍待语义复核</x:v>
      </x:c>
      <x:c r="H4" s="55" t="str">
        <x:v>可能</x:v>
      </x:c>
      <x:c r="I4" s="55" t="str">
        <x:v>是</x:v>
      </x:c>
      <x:c r="J4" s="58" t="str">
        <x:v>待确认</x:v>
      </x:c>
      <x:c r="K4" s="55" t="str"/>
      <x:c r="L4" s="55" t="str"/>
      <x:c r="M4" s="55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">
      <x:c r="A5" s="56" t="str">
        <x:v>P001</x:v>
      </x:c>
      <x:c r="B5" s="56" t="str">
        <x:v>P001</x:v>
      </x:c>
      <x:c r="C5" s="56" t="str">
        <x:v>alcoholHistory</x:v>
      </x:c>
      <x:c r="D5" s="56" t="str">
        <x:v>{"status":"never","type":"","amount":"0","frequency":"never","years":0,"patientAnswerZh":"我平时不喝酒。","patientAnswerEn":"I do not drink alcohol.","provenance":"author_added_for_simulation","teacherReviewRequired":true}</x:v>
      </x:c>
      <x:c r="E5" s="56" t="str">
        <x:v>author_added_for_simulation</x:v>
      </x:c>
      <x:c r="F5" s="56" t="str">
        <x:v>是</x:v>
      </x:c>
      <x:c r="G5" s="56" t="str">
        <x:v>程序未检出确定性冲突；仍待语义复核</x:v>
      </x:c>
      <x:c r="H5" s="56" t="str">
        <x:v>待确认</x:v>
      </x:c>
      <x:c r="I5" s="56" t="str">
        <x:v>待确认</x:v>
      </x:c>
      <x:c r="J5" s="59" t="str">
        <x:v>待确认</x:v>
      </x:c>
      <x:c r="K5" s="56" t="str"/>
      <x:c r="L5" s="56" t="str"/>
      <x:c r="M5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6">
      <x:c r="A6" s="56" t="str">
        <x:v>P001</x:v>
      </x:c>
      <x:c r="B6" s="56" t="str">
        <x:v>P001</x:v>
      </x:c>
      <x:c r="C6" s="56" t="str">
        <x:v>occupation</x:v>
      </x:c>
      <x:c r="D6" s="56" t="str">
        <x:v>{"status":"absent","patientAnswerZh":"我做普通工作。","patientAnswerEn":"I have a regular job.","provenance":"author_added_for_simulation","teacherReviewRequired":true}</x:v>
      </x:c>
      <x:c r="E6" s="56" t="str">
        <x:v>author_added_for_simulation</x:v>
      </x:c>
      <x:c r="F6" s="56" t="str">
        <x:v>是</x:v>
      </x:c>
      <x:c r="G6" s="56" t="str">
        <x:v>程序未检出确定性冲突；仍待语义复核</x:v>
      </x:c>
      <x:c r="H6" s="56" t="str">
        <x:v>可能</x:v>
      </x:c>
      <x:c r="I6" s="56" t="str">
        <x:v>是</x:v>
      </x:c>
      <x:c r="J6" s="59" t="str">
        <x:v>待确认</x:v>
      </x:c>
      <x:c r="K6" s="56" t="str"/>
      <x:c r="L6" s="56" t="str"/>
      <x:c r="M6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7">
      <x:c r="A7" s="56" t="str">
        <x:v>P001</x:v>
      </x:c>
      <x:c r="B7" s="56" t="str">
        <x:v>P001</x:v>
      </x:c>
      <x:c r="C7" s="56" t="str">
        <x:v>occupationalExposure</x:v>
      </x:c>
      <x:c r="D7" s="56" t="str">
        <x:v>{"status":"absent","patientAnswerZh":"工作中没有接触染料、橡胶、皮革、化工或重金属。","patientAnswerEn":"I have not worked with dyes, rubber, leather, industrial chemicals, or heavy metals.","provenance":"author_added_for_simulation","teacherReviewRequired":true}</x:v>
      </x:c>
      <x:c r="E7" s="56" t="str">
        <x:v>author_added_for_simulation</x:v>
      </x:c>
      <x:c r="F7" s="56" t="str">
        <x:v>是</x:v>
      </x:c>
      <x:c r="G7" s="56" t="str">
        <x:v>程序未检出确定性冲突；仍待语义复核</x:v>
      </x:c>
      <x:c r="H7" s="56" t="str">
        <x:v>可能</x:v>
      </x:c>
      <x:c r="I7" s="56" t="str">
        <x:v>是</x:v>
      </x:c>
      <x:c r="J7" s="59" t="str">
        <x:v>待确认</x:v>
      </x:c>
      <x:c r="K7" s="56" t="str"/>
      <x:c r="L7" s="56" t="str"/>
      <x:c r="M7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8">
      <x:c r="A8" s="56" t="str">
        <x:v>P001</x:v>
      </x:c>
      <x:c r="B8" s="56" t="str">
        <x:v>P001</x:v>
      </x:c>
      <x:c r="C8" s="56" t="str">
        <x:v>stroke</x:v>
      </x:c>
      <x:c r="D8" s="56" t="str">
        <x:v>{"status":"absent","patientAnswerZh":"没有脑卒中。","patientAnswerEn":"I do not have stroke.","provenance":"author_added_for_simulation","teacherReviewRequired":true}</x:v>
      </x:c>
      <x:c r="E8" s="56" t="str">
        <x:v>author_added_for_simulation</x:v>
      </x:c>
      <x:c r="F8" s="56" t="str">
        <x:v>是</x:v>
      </x:c>
      <x:c r="G8" s="56" t="str">
        <x:v>程序未检出确定性冲突；仍待语义复核</x:v>
      </x:c>
      <x:c r="H8" s="56" t="str">
        <x:v>待确认</x:v>
      </x:c>
      <x:c r="I8" s="56" t="str">
        <x:v>待确认</x:v>
      </x:c>
      <x:c r="J8" s="59" t="str">
        <x:v>待确认</x:v>
      </x:c>
      <x:c r="K8" s="56" t="str"/>
      <x:c r="L8" s="56" t="str"/>
      <x:c r="M8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9">
      <x:c r="A9" s="56" t="str">
        <x:v>P001</x:v>
      </x:c>
      <x:c r="B9" s="56" t="str">
        <x:v>P001</x:v>
      </x:c>
      <x:c r="C9" s="56" t="str">
        <x:v>stoneHistory</x:v>
      </x:c>
      <x:c r="D9" s="56" t="str">
        <x:v>{"status":"absent","patientAnswerZh":"以前没有得过泌尿系结石。","patientAnswerEn":"I have never had urinary stones.","provenance":"author_added_for_simulation","teacherReviewRequired":true}</x:v>
      </x:c>
      <x:c r="E9" s="56" t="str">
        <x:v>author_added_for_simulation</x:v>
      </x:c>
      <x:c r="F9" s="56" t="str">
        <x:v>是</x:v>
      </x:c>
      <x:c r="G9" s="56" t="str">
        <x:v>程序未检出确定性冲突；仍待语义复核</x:v>
      </x:c>
      <x:c r="H9" s="56" t="str">
        <x:v>可能</x:v>
      </x:c>
      <x:c r="I9" s="56" t="str">
        <x:v>是</x:v>
      </x:c>
      <x:c r="J9" s="59" t="str">
        <x:v>待确认</x:v>
      </x:c>
      <x:c r="K9" s="56" t="str"/>
      <x:c r="L9" s="56" t="str"/>
      <x:c r="M9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0">
      <x:c r="A10" s="56" t="str">
        <x:v>P001</x:v>
      </x:c>
      <x:c r="B10" s="56" t="str">
        <x:v>P001</x:v>
      </x:c>
      <x:c r="C10" s="56" t="str">
        <x:v>malignancyHistory</x:v>
      </x:c>
      <x:c r="D10" s="56" t="str">
        <x:v>{"status":"absent","patientAnswerZh":"以前没有得过肿瘤。","patientAnswerEn":"I have no previous history of cancer.","provenance":"author_added_for_simulation","teacherReviewRequired":true}</x:v>
      </x:c>
      <x:c r="E10" s="56" t="str">
        <x:v>author_added_for_simulation</x:v>
      </x:c>
      <x:c r="F10" s="56" t="str">
        <x:v>是</x:v>
      </x:c>
      <x:c r="G10" s="56" t="str">
        <x:v>程序未检出确定性冲突；仍待语义复核</x:v>
      </x:c>
      <x:c r="H10" s="56" t="str">
        <x:v>可能</x:v>
      </x:c>
      <x:c r="I10" s="56" t="str">
        <x:v>待确认</x:v>
      </x:c>
      <x:c r="J10" s="59" t="str">
        <x:v>待确认</x:v>
      </x:c>
      <x:c r="K10" s="56" t="str"/>
      <x:c r="L10" s="56" t="str"/>
      <x:c r="M10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1">
      <x:c r="A11" s="56" t="str">
        <x:v>P001</x:v>
      </x:c>
      <x:c r="B11" s="56" t="str">
        <x:v>P001</x:v>
      </x:c>
      <x:c r="C11" s="56" t="str">
        <x:v>traumaHistory</x:v>
      </x:c>
      <x:c r="D11" s="56" t="str">
        <x:v>{"status":"absent","patientAnswerZh":"近期没有相关外伤。","patientAnswerEn":"I have not had relevant trauma.","provenance":"author_added_for_simulation","teacherReviewRequired":true}</x:v>
      </x:c>
      <x:c r="E11" s="56" t="str">
        <x:v>author_added_for_simulation</x:v>
      </x:c>
      <x:c r="F11" s="56" t="str">
        <x:v>是</x:v>
      </x:c>
      <x:c r="G11" s="56" t="str">
        <x:v>程序未检出确定性冲突；仍待语义复核</x:v>
      </x:c>
      <x:c r="H11" s="56" t="str">
        <x:v>可能</x:v>
      </x:c>
      <x:c r="I11" s="56" t="str">
        <x:v>是</x:v>
      </x:c>
      <x:c r="J11" s="59" t="str">
        <x:v>待确认</x:v>
      </x:c>
      <x:c r="K11" s="56" t="str"/>
      <x:c r="L11" s="56" t="str"/>
      <x:c r="M11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2">
      <x:c r="A12" s="56" t="str">
        <x:v>P001</x:v>
      </x:c>
      <x:c r="B12" s="56" t="str">
        <x:v>P001</x:v>
      </x:c>
      <x:c r="C12" s="56" t="str">
        <x:v>urinaryProcedureHistory</x:v>
      </x:c>
      <x:c r="D12" s="56" t="str">
        <x:v>{"status":"absent","patientAnswerZh":"以前没有做过导尿、膀胱镜等泌尿操作。","patientAnswerEn":"I have not had catheterization, cystoscopy, or other urinary procedures.","provenance":"author_added_for_simulation","teacherReviewRequired":true}</x:v>
      </x:c>
      <x:c r="E12" s="56" t="str">
        <x:v>author_added_for_simulation</x:v>
      </x:c>
      <x:c r="F12" s="56" t="str">
        <x:v>是</x:v>
      </x:c>
      <x:c r="G12" s="56" t="str">
        <x:v>程序未检出确定性冲突；仍待语义复核</x:v>
      </x:c>
      <x:c r="H12" s="56" t="str">
        <x:v>待确认</x:v>
      </x:c>
      <x:c r="I12" s="56" t="str">
        <x:v>待确认</x:v>
      </x:c>
      <x:c r="J12" s="59" t="str">
        <x:v>待确认</x:v>
      </x:c>
      <x:c r="K12" s="56" t="str"/>
      <x:c r="L12" s="56" t="str"/>
      <x:c r="M12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3">
      <x:c r="A13" s="56" t="str">
        <x:v>P001</x:v>
      </x:c>
      <x:c r="B13" s="56" t="str">
        <x:v>P001</x:v>
      </x:c>
      <x:c r="C13" s="56" t="str">
        <x:v>transfusionHistory</x:v>
      </x:c>
      <x:c r="D13" s="56" t="str">
        <x:v>{"status":"absent","patientAnswerZh":"我以前没有输过血。","patientAnswerEn":"I have never had a blood transfusion.","provenance":"source","teacherReviewRequired":false}</x:v>
      </x:c>
      <x:c r="E13" s="56" t="str">
        <x:v>source</x:v>
      </x:c>
      <x:c r="F13" s="56" t="str">
        <x:v>是</x:v>
      </x:c>
      <x:c r="G13" s="56" t="str">
        <x:v>程序未检出确定性冲突；仍待语义复核</x:v>
      </x:c>
      <x:c r="H13" s="56" t="str">
        <x:v>待确认</x:v>
      </x:c>
      <x:c r="I13" s="56" t="str">
        <x:v>待确认</x:v>
      </x:c>
      <x:c r="J13" s="59" t="str">
        <x:v>待确认</x:v>
      </x:c>
      <x:c r="K13" s="56" t="str"/>
      <x:c r="L13" s="56" t="str"/>
      <x:c r="M13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4">
      <x:c r="A14" s="56" t="str">
        <x:v>P001</x:v>
      </x:c>
      <x:c r="B14" s="56" t="str">
        <x:v>P001</x:v>
      </x:c>
      <x:c r="C14" s="56" t="str">
        <x:v>anticoagulantUse</x:v>
      </x:c>
      <x:c r="D14" s="56" t="str">
        <x:v>{"status":"absent","patientAnswerZh":"我没有服用华法林、利伐沙班等抗凝药。","patientAnswerEn":"I do not take anticoagulants.","provenance":"author_added_for_simulation","teacherReviewRequired":true}</x:v>
      </x:c>
      <x:c r="E14" s="56" t="str">
        <x:v>author_added_for_simulation</x:v>
      </x:c>
      <x:c r="F14" s="56" t="str">
        <x:v>是</x:v>
      </x:c>
      <x:c r="G14" s="56" t="str">
        <x:v>程序未检出确定性冲突；仍待语义复核</x:v>
      </x:c>
      <x:c r="H14" s="56" t="str">
        <x:v>可能</x:v>
      </x:c>
      <x:c r="I14" s="56" t="str">
        <x:v>是</x:v>
      </x:c>
      <x:c r="J14" s="59" t="str">
        <x:v>待确认</x:v>
      </x:c>
      <x:c r="K14" s="56" t="str"/>
      <x:c r="L14" s="56" t="str"/>
      <x:c r="M14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5">
      <x:c r="A15" s="56" t="str">
        <x:v>P002</x:v>
      </x:c>
      <x:c r="B15" s="56" t="str">
        <x:v>P002</x:v>
      </x:c>
      <x:c r="C15" s="56" t="str">
        <x:v>occupation</x:v>
      </x:c>
      <x:c r="D15" s="56" t="str">
        <x:v>{"status":"absent","patientAnswerZh":"我做普通工作。","patientAnswerEn":"I have a regular job.","provenance":"author_added_for_simulation","teacherReviewRequired":true}</x:v>
      </x:c>
      <x:c r="E15" s="56" t="str">
        <x:v>author_added_for_simulation</x:v>
      </x:c>
      <x:c r="F15" s="56" t="str">
        <x:v>是</x:v>
      </x:c>
      <x:c r="G15" s="56" t="str">
        <x:v>程序未检出确定性冲突；仍待语义复核</x:v>
      </x:c>
      <x:c r="H15" s="56" t="str">
        <x:v>可能</x:v>
      </x:c>
      <x:c r="I15" s="56" t="str">
        <x:v>是</x:v>
      </x:c>
      <x:c r="J15" s="59" t="str">
        <x:v>待确认</x:v>
      </x:c>
      <x:c r="K15" s="56" t="str"/>
      <x:c r="L15" s="56" t="str"/>
      <x:c r="M15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6">
      <x:c r="A16" s="56" t="str">
        <x:v>P002</x:v>
      </x:c>
      <x:c r="B16" s="56" t="str">
        <x:v>P002</x:v>
      </x:c>
      <x:c r="C16" s="56" t="str">
        <x:v>occupationalExposure</x:v>
      </x:c>
      <x:c r="D16" s="56" t="str">
        <x:v>{"status":"absent","patientAnswerZh":"工作中没有接触染料、橡胶、皮革、化工或重金属。","patientAnswerEn":"I have not worked with dyes, rubber, leather, industrial chemicals, or heavy metals.","provenance":"author_added_for_simulation","teacherReviewRequired":true}</x:v>
      </x:c>
      <x:c r="E16" s="56" t="str">
        <x:v>author_added_for_simulation</x:v>
      </x:c>
      <x:c r="F16" s="56" t="str">
        <x:v>是</x:v>
      </x:c>
      <x:c r="G16" s="56" t="str">
        <x:v>程序未检出确定性冲突；仍待语义复核</x:v>
      </x:c>
      <x:c r="H16" s="56" t="str">
        <x:v>可能</x:v>
      </x:c>
      <x:c r="I16" s="56" t="str">
        <x:v>是</x:v>
      </x:c>
      <x:c r="J16" s="59" t="str">
        <x:v>待确认</x:v>
      </x:c>
      <x:c r="K16" s="56" t="str"/>
      <x:c r="L16" s="56" t="str"/>
      <x:c r="M16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7">
      <x:c r="A17" s="56" t="str">
        <x:v>P002</x:v>
      </x:c>
      <x:c r="B17" s="56" t="str">
        <x:v>P002</x:v>
      </x:c>
      <x:c r="C17" s="56" t="str">
        <x:v>hypertension</x:v>
      </x:c>
      <x:c r="D17" s="56" t="str">
        <x:v>{"status":"absent","patientAnswerZh":"没有高血压。","patientAnswerEn":"I do not have hypertension.","provenance":"author_added_for_simulation","teacherReviewRequired":true}</x:v>
      </x:c>
      <x:c r="E17" s="56" t="str">
        <x:v>author_added_for_simulation</x:v>
      </x:c>
      <x:c r="F17" s="56" t="str">
        <x:v>是</x:v>
      </x:c>
      <x:c r="G17" s="56" t="str">
        <x:v>程序未检出确定性冲突；仍待语义复核</x:v>
      </x:c>
      <x:c r="H17" s="56" t="str">
        <x:v>待确认</x:v>
      </x:c>
      <x:c r="I17" s="56" t="str">
        <x:v>是</x:v>
      </x:c>
      <x:c r="J17" s="59" t="str">
        <x:v>待确认</x:v>
      </x:c>
      <x:c r="K17" s="56" t="str"/>
      <x:c r="L17" s="56" t="str"/>
      <x:c r="M17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8">
      <x:c r="A18" s="56" t="str">
        <x:v>P002</x:v>
      </x:c>
      <x:c r="B18" s="56" t="str">
        <x:v>P002</x:v>
      </x:c>
      <x:c r="C18" s="56" t="str">
        <x:v>stoneHistory</x:v>
      </x:c>
      <x:c r="D18" s="56" t="str">
        <x:v>{"status":"absent","patientAnswerZh":"以前没有得过泌尿系结石。","patientAnswerEn":"I have never had urinary stones.","provenance":"author_added_for_simulation","teacherReviewRequired":true}</x:v>
      </x:c>
      <x:c r="E18" s="56" t="str">
        <x:v>author_added_for_simulation</x:v>
      </x:c>
      <x:c r="F18" s="56" t="str">
        <x:v>是</x:v>
      </x:c>
      <x:c r="G18" s="56" t="str">
        <x:v>程序未检出确定性冲突；仍待语义复核</x:v>
      </x:c>
      <x:c r="H18" s="56" t="str">
        <x:v>可能</x:v>
      </x:c>
      <x:c r="I18" s="56" t="str">
        <x:v>是</x:v>
      </x:c>
      <x:c r="J18" s="59" t="str">
        <x:v>待确认</x:v>
      </x:c>
      <x:c r="K18" s="56" t="str"/>
      <x:c r="L18" s="56" t="str"/>
      <x:c r="M18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9">
      <x:c r="A19" s="56" t="str">
        <x:v>P002</x:v>
      </x:c>
      <x:c r="B19" s="56" t="str">
        <x:v>P002</x:v>
      </x:c>
      <x:c r="C19" s="56" t="str">
        <x:v>malignancyHistory</x:v>
      </x:c>
      <x:c r="D19" s="56" t="str">
        <x:v>{"status":"absent","patientAnswerZh":"以前没有得过肿瘤。","patientAnswerEn":"I have no previous history of cancer.","provenance":"author_added_for_simulation","teacherReviewRequired":true}</x:v>
      </x:c>
      <x:c r="E19" s="56" t="str">
        <x:v>author_added_for_simulation</x:v>
      </x:c>
      <x:c r="F19" s="56" t="str">
        <x:v>是</x:v>
      </x:c>
      <x:c r="G19" s="56" t="str">
        <x:v>程序未检出确定性冲突；仍待语义复核</x:v>
      </x:c>
      <x:c r="H19" s="56" t="str">
        <x:v>可能</x:v>
      </x:c>
      <x:c r="I19" s="56" t="str">
        <x:v>待确认</x:v>
      </x:c>
      <x:c r="J19" s="59" t="str">
        <x:v>待确认</x:v>
      </x:c>
      <x:c r="K19" s="56" t="str"/>
      <x:c r="L19" s="56" t="str"/>
      <x:c r="M19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0">
      <x:c r="A20" s="56" t="str">
        <x:v>P002</x:v>
      </x:c>
      <x:c r="B20" s="56" t="str">
        <x:v>P002</x:v>
      </x:c>
      <x:c r="C20" s="56" t="str">
        <x:v>traumaHistory</x:v>
      </x:c>
      <x:c r="D20" s="56" t="str">
        <x:v>{"status":"absent","patientAnswerZh":"近期没有相关外伤。","patientAnswerEn":"I have not had relevant trauma.","provenance":"author_added_for_simulation","teacherReviewRequired":true}</x:v>
      </x:c>
      <x:c r="E20" s="56" t="str">
        <x:v>author_added_for_simulation</x:v>
      </x:c>
      <x:c r="F20" s="56" t="str">
        <x:v>是</x:v>
      </x:c>
      <x:c r="G20" s="56" t="str">
        <x:v>程序未检出确定性冲突；仍待语义复核</x:v>
      </x:c>
      <x:c r="H20" s="56" t="str">
        <x:v>可能</x:v>
      </x:c>
      <x:c r="I20" s="56" t="str">
        <x:v>是</x:v>
      </x:c>
      <x:c r="J20" s="59" t="str">
        <x:v>待确认</x:v>
      </x:c>
      <x:c r="K20" s="56" t="str"/>
      <x:c r="L20" s="56" t="str"/>
      <x:c r="M20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1">
      <x:c r="A21" s="56" t="str">
        <x:v>P002</x:v>
      </x:c>
      <x:c r="B21" s="56" t="str">
        <x:v>P002</x:v>
      </x:c>
      <x:c r="C21" s="56" t="str">
        <x:v>urinaryProcedureHistory</x:v>
      </x:c>
      <x:c r="D21" s="56" t="str">
        <x:v>{"status":"absent","patientAnswerZh":"以前没有做过导尿、膀胱镜等泌尿操作。","patientAnswerEn":"I have not had catheterization, cystoscopy, or other urinary procedures.","provenance":"author_added_for_simulation","teacherReviewRequired":true}</x:v>
      </x:c>
      <x:c r="E21" s="56" t="str">
        <x:v>author_added_for_simulation</x:v>
      </x:c>
      <x:c r="F21" s="56" t="str">
        <x:v>是</x:v>
      </x:c>
      <x:c r="G21" s="56" t="str">
        <x:v>程序未检出确定性冲突；仍待语义复核</x:v>
      </x:c>
      <x:c r="H21" s="56" t="str">
        <x:v>待确认</x:v>
      </x:c>
      <x:c r="I21" s="56" t="str">
        <x:v>待确认</x:v>
      </x:c>
      <x:c r="J21" s="59" t="str">
        <x:v>待确认</x:v>
      </x:c>
      <x:c r="K21" s="56" t="str"/>
      <x:c r="L21" s="56" t="str"/>
      <x:c r="M21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2">
      <x:c r="A22" s="56" t="str">
        <x:v>P002</x:v>
      </x:c>
      <x:c r="B22" s="56" t="str">
        <x:v>P002</x:v>
      </x:c>
      <x:c r="C22" s="56" t="str">
        <x:v>transfusionHistory</x:v>
      </x:c>
      <x:c r="D22" s="56" t="str">
        <x:v>{"status":"absent","patientAnswerZh":"我以前没有输过血。","patientAnswerEn":"I have never had a blood transfusion.","provenance":"source","teacherReviewRequired":false}</x:v>
      </x:c>
      <x:c r="E22" s="56" t="str">
        <x:v>source</x:v>
      </x:c>
      <x:c r="F22" s="56" t="str">
        <x:v>是</x:v>
      </x:c>
      <x:c r="G22" s="56" t="str">
        <x:v>程序未检出确定性冲突；仍待语义复核</x:v>
      </x:c>
      <x:c r="H22" s="56" t="str">
        <x:v>待确认</x:v>
      </x:c>
      <x:c r="I22" s="56" t="str">
        <x:v>待确认</x:v>
      </x:c>
      <x:c r="J22" s="59" t="str">
        <x:v>待确认</x:v>
      </x:c>
      <x:c r="K22" s="56" t="str"/>
      <x:c r="L22" s="56" t="str"/>
      <x:c r="M22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3">
      <x:c r="A23" s="56" t="str">
        <x:v>P002</x:v>
      </x:c>
      <x:c r="B23" s="56" t="str">
        <x:v>P002</x:v>
      </x:c>
      <x:c r="C23" s="56" t="str">
        <x:v>antiplateletUse</x:v>
      </x:c>
      <x:c r="D23" s="56" t="str">
        <x:v>{"status":"absent","patientAnswerZh":"我没有服用阿司匹林或氯吡格雷。","patientAnswerEn":"I do not take antiplatelet medication.","provenance":"author_added_for_simulation","teacherReviewRequired":true}</x:v>
      </x:c>
      <x:c r="E23" s="56" t="str">
        <x:v>author_added_for_simulation</x:v>
      </x:c>
      <x:c r="F23" s="56" t="str">
        <x:v>是</x:v>
      </x:c>
      <x:c r="G23" s="56" t="str">
        <x:v>程序未检出确定性冲突；仍待语义复核</x:v>
      </x:c>
      <x:c r="H23" s="56" t="str">
        <x:v>可能</x:v>
      </x:c>
      <x:c r="I23" s="56" t="str">
        <x:v>是</x:v>
      </x:c>
      <x:c r="J23" s="59" t="str">
        <x:v>待确认</x:v>
      </x:c>
      <x:c r="K23" s="56" t="str"/>
      <x:c r="L23" s="56" t="str"/>
      <x:c r="M23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4">
      <x:c r="A24" s="56" t="str">
        <x:v>P002</x:v>
      </x:c>
      <x:c r="B24" s="56" t="str">
        <x:v>P002</x:v>
      </x:c>
      <x:c r="C24" s="56" t="str">
        <x:v>menstrualHistory</x:v>
      </x:c>
      <x:c r="D24" s="56" t="str">
        <x:v>{"status":"absent","patientAnswerZh":"月经情况正常，这次尿色异常不是在月经期。","patientAnswerEn":"My periods are regular, and this episode did not occur during menstruation.","provenance":"author_added_for_simulation","teacherReviewRequired":true}</x:v>
      </x:c>
      <x:c r="E24" s="56" t="str">
        <x:v>author_added_for_simulation</x:v>
      </x:c>
      <x:c r="F24" s="56" t="str">
        <x:v>是</x:v>
      </x:c>
      <x:c r="G24" s="56" t="str">
        <x:v>程序未检出确定性冲突；仍待语义复核</x:v>
      </x:c>
      <x:c r="H24" s="56" t="str">
        <x:v>可能</x:v>
      </x:c>
      <x:c r="I24" s="56" t="str">
        <x:v>待确认</x:v>
      </x:c>
      <x:c r="J24" s="59" t="str">
        <x:v>待确认</x:v>
      </x:c>
      <x:c r="K24" s="56" t="str"/>
      <x:c r="L24" s="56" t="str"/>
      <x:c r="M24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5">
      <x:c r="A25" s="56" t="str">
        <x:v>P002</x:v>
      </x:c>
      <x:c r="B25" s="56" t="str">
        <x:v>P002</x:v>
      </x:c>
      <x:c r="C25" s="56" t="str">
        <x:v>pregnancyHistory</x:v>
      </x:c>
      <x:c r="D25" s="56" t="str">
        <x:v>{"status":"absent","patientAnswerZh":"目前没有怀孕。","patientAnswerEn":"I am not currently pregnant.","provenance":"author_added_for_simulation","teacherReviewRequired":true}</x:v>
      </x:c>
      <x:c r="E25" s="56" t="str">
        <x:v>author_added_for_simulation</x:v>
      </x:c>
      <x:c r="F25" s="56" t="str">
        <x:v>是</x:v>
      </x:c>
      <x:c r="G25" s="56" t="str">
        <x:v>程序未检出确定性冲突；仍待语义复核</x:v>
      </x:c>
      <x:c r="H25" s="56" t="str">
        <x:v>可能</x:v>
      </x:c>
      <x:c r="I25" s="56" t="str">
        <x:v>待确认</x:v>
      </x:c>
      <x:c r="J25" s="59" t="str">
        <x:v>待确认</x:v>
      </x:c>
      <x:c r="K25" s="56" t="str"/>
      <x:c r="L25" s="56" t="str"/>
      <x:c r="M25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6">
      <x:c r="A26" s="56" t="str">
        <x:v>P003</x:v>
      </x:c>
      <x:c r="B26" s="56" t="str">
        <x:v>P003</x:v>
      </x:c>
      <x:c r="C26" s="56" t="str">
        <x:v>occupation</x:v>
      </x:c>
      <x:c r="D26" s="56" t="str">
        <x:v>{"status":"absent","patientAnswerZh":"我做普通工作。","patientAnswerEn":"I have a regular job.","provenance":"author_added_for_simulation","teacherReviewRequired":true}</x:v>
      </x:c>
      <x:c r="E26" s="56" t="str">
        <x:v>author_added_for_simulation</x:v>
      </x:c>
      <x:c r="F26" s="56" t="str">
        <x:v>是</x:v>
      </x:c>
      <x:c r="G26" s="56" t="str">
        <x:v>程序未检出确定性冲突；仍待语义复核</x:v>
      </x:c>
      <x:c r="H26" s="56" t="str">
        <x:v>可能</x:v>
      </x:c>
      <x:c r="I26" s="56" t="str">
        <x:v>是</x:v>
      </x:c>
      <x:c r="J26" s="59" t="str">
        <x:v>待确认</x:v>
      </x:c>
      <x:c r="K26" s="56" t="str"/>
      <x:c r="L26" s="56" t="str"/>
      <x:c r="M26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7">
      <x:c r="A27" s="56" t="str">
        <x:v>P003</x:v>
      </x:c>
      <x:c r="B27" s="56" t="str">
        <x:v>P003</x:v>
      </x:c>
      <x:c r="C27" s="56" t="str">
        <x:v>occupationalExposure</x:v>
      </x:c>
      <x:c r="D27" s="56" t="str">
        <x:v>{"status":"absent","patientAnswerZh":"工作中没有接触染料、橡胶、皮革、化工或重金属。","patientAnswerEn":"I have not worked with dyes, rubber, leather, industrial chemicals, or heavy metals.","provenance":"author_added_for_simulation","teacherReviewRequired":true}</x:v>
      </x:c>
      <x:c r="E27" s="56" t="str">
        <x:v>author_added_for_simulation</x:v>
      </x:c>
      <x:c r="F27" s="56" t="str">
        <x:v>是</x:v>
      </x:c>
      <x:c r="G27" s="56" t="str">
        <x:v>程序未检出确定性冲突；仍待语义复核</x:v>
      </x:c>
      <x:c r="H27" s="56" t="str">
        <x:v>可能</x:v>
      </x:c>
      <x:c r="I27" s="56" t="str">
        <x:v>是</x:v>
      </x:c>
      <x:c r="J27" s="59" t="str">
        <x:v>待确认</x:v>
      </x:c>
      <x:c r="K27" s="56" t="str"/>
      <x:c r="L27" s="56" t="str"/>
      <x:c r="M27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8">
      <x:c r="A28" s="56" t="str">
        <x:v>P003</x:v>
      </x:c>
      <x:c r="B28" s="56" t="str">
        <x:v>P003</x:v>
      </x:c>
      <x:c r="C28" s="56" t="str">
        <x:v>stroke</x:v>
      </x:c>
      <x:c r="D28" s="56" t="str">
        <x:v>{"status":"absent","patientAnswerZh":"没有脑卒中。","patientAnswerEn":"I do not have stroke.","provenance":"author_added_for_simulation","teacherReviewRequired":true}</x:v>
      </x:c>
      <x:c r="E28" s="56" t="str">
        <x:v>author_added_for_simulation</x:v>
      </x:c>
      <x:c r="F28" s="56" t="str">
        <x:v>是</x:v>
      </x:c>
      <x:c r="G28" s="56" t="str">
        <x:v>程序未检出确定性冲突；仍待语义复核</x:v>
      </x:c>
      <x:c r="H28" s="56" t="str">
        <x:v>待确认</x:v>
      </x:c>
      <x:c r="I28" s="56" t="str">
        <x:v>待确认</x:v>
      </x:c>
      <x:c r="J28" s="59" t="str">
        <x:v>待确认</x:v>
      </x:c>
      <x:c r="K28" s="56" t="str"/>
      <x:c r="L28" s="56" t="str"/>
      <x:c r="M28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9">
      <x:c r="A29" s="56" t="str">
        <x:v>P003</x:v>
      </x:c>
      <x:c r="B29" s="56" t="str">
        <x:v>P003</x:v>
      </x:c>
      <x:c r="C29" s="56" t="str">
        <x:v>stoneHistory</x:v>
      </x:c>
      <x:c r="D29" s="56" t="str">
        <x:v>{"status":"absent","patientAnswerZh":"以前没有得过泌尿系结石。","patientAnswerEn":"I have never had urinary stones.","provenance":"author_added_for_simulation","teacherReviewRequired":true}</x:v>
      </x:c>
      <x:c r="E29" s="56" t="str">
        <x:v>author_added_for_simulation</x:v>
      </x:c>
      <x:c r="F29" s="56" t="str">
        <x:v>是</x:v>
      </x:c>
      <x:c r="G29" s="56" t="str">
        <x:v>程序未检出确定性冲突；仍待语义复核</x:v>
      </x:c>
      <x:c r="H29" s="56" t="str">
        <x:v>可能</x:v>
      </x:c>
      <x:c r="I29" s="56" t="str">
        <x:v>是</x:v>
      </x:c>
      <x:c r="J29" s="59" t="str">
        <x:v>待确认</x:v>
      </x:c>
      <x:c r="K29" s="56" t="str"/>
      <x:c r="L29" s="56" t="str"/>
      <x:c r="M29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0">
      <x:c r="A30" s="56" t="str">
        <x:v>P003</x:v>
      </x:c>
      <x:c r="B30" s="56" t="str">
        <x:v>P003</x:v>
      </x:c>
      <x:c r="C30" s="56" t="str">
        <x:v>malignancyHistory</x:v>
      </x:c>
      <x:c r="D30" s="56" t="str">
        <x:v>{"status":"absent","patientAnswerZh":"以前没有得过肿瘤。","patientAnswerEn":"I have no previous history of cancer.","provenance":"author_added_for_simulation","teacherReviewRequired":true}</x:v>
      </x:c>
      <x:c r="E30" s="56" t="str">
        <x:v>author_added_for_simulation</x:v>
      </x:c>
      <x:c r="F30" s="56" t="str">
        <x:v>是</x:v>
      </x:c>
      <x:c r="G30" s="56" t="str">
        <x:v>程序未检出确定性冲突；仍待语义复核</x:v>
      </x:c>
      <x:c r="H30" s="56" t="str">
        <x:v>可能</x:v>
      </x:c>
      <x:c r="I30" s="56" t="str">
        <x:v>待确认</x:v>
      </x:c>
      <x:c r="J30" s="59" t="str">
        <x:v>待确认</x:v>
      </x:c>
      <x:c r="K30" s="56" t="str"/>
      <x:c r="L30" s="56" t="str"/>
      <x:c r="M30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1">
      <x:c r="A31" s="56" t="str">
        <x:v>P003</x:v>
      </x:c>
      <x:c r="B31" s="56" t="str">
        <x:v>P003</x:v>
      </x:c>
      <x:c r="C31" s="56" t="str">
        <x:v>traumaHistory</x:v>
      </x:c>
      <x:c r="D31" s="56" t="str">
        <x:v>{"status":"absent","patientAnswerZh":"近期没有相关外伤。","patientAnswerEn":"I have not had relevant trauma.","provenance":"author_added_for_simulation","teacherReviewRequired":true}</x:v>
      </x:c>
      <x:c r="E31" s="56" t="str">
        <x:v>author_added_for_simulation</x:v>
      </x:c>
      <x:c r="F31" s="56" t="str">
        <x:v>是</x:v>
      </x:c>
      <x:c r="G31" s="56" t="str">
        <x:v>程序未检出确定性冲突；仍待语义复核</x:v>
      </x:c>
      <x:c r="H31" s="56" t="str">
        <x:v>可能</x:v>
      </x:c>
      <x:c r="I31" s="56" t="str">
        <x:v>是</x:v>
      </x:c>
      <x:c r="J31" s="59" t="str">
        <x:v>待确认</x:v>
      </x:c>
      <x:c r="K31" s="56" t="str"/>
      <x:c r="L31" s="56" t="str"/>
      <x:c r="M31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2">
      <x:c r="A32" s="56" t="str">
        <x:v>P003</x:v>
      </x:c>
      <x:c r="B32" s="56" t="str">
        <x:v>P003</x:v>
      </x:c>
      <x:c r="C32" s="56" t="str">
        <x:v>urinaryProcedureHistory</x:v>
      </x:c>
      <x:c r="D32" s="56" t="str">
        <x:v>{"status":"absent","patientAnswerZh":"以前没有做过导尿、膀胱镜等泌尿操作。","patientAnswerEn":"I have not had catheterization, cystoscopy, or other urinary procedures.","provenance":"author_added_for_simulation","teacherReviewRequired":true}</x:v>
      </x:c>
      <x:c r="E32" s="56" t="str">
        <x:v>author_added_for_simulation</x:v>
      </x:c>
      <x:c r="F32" s="56" t="str">
        <x:v>是</x:v>
      </x:c>
      <x:c r="G32" s="56" t="str">
        <x:v>程序未检出确定性冲突；仍待语义复核</x:v>
      </x:c>
      <x:c r="H32" s="56" t="str">
        <x:v>待确认</x:v>
      </x:c>
      <x:c r="I32" s="56" t="str">
        <x:v>待确认</x:v>
      </x:c>
      <x:c r="J32" s="59" t="str">
        <x:v>待确认</x:v>
      </x:c>
      <x:c r="K32" s="56" t="str"/>
      <x:c r="L32" s="56" t="str"/>
      <x:c r="M32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3">
      <x:c r="A33" s="56" t="str">
        <x:v>P003</x:v>
      </x:c>
      <x:c r="B33" s="56" t="str">
        <x:v>P003</x:v>
      </x:c>
      <x:c r="C33" s="56" t="str">
        <x:v>transfusionHistory</x:v>
      </x:c>
      <x:c r="D33" s="56" t="str">
        <x:v>{"status":"absent","patientAnswerZh":"我以前没有输过血。","patientAnswerEn":"I have never had a blood transfusion.","provenance":"author_added_for_simulation","teacherReviewRequired":true}</x:v>
      </x:c>
      <x:c r="E33" s="56" t="str">
        <x:v>author_added_for_simulation</x:v>
      </x:c>
      <x:c r="F33" s="56" t="str">
        <x:v>是</x:v>
      </x:c>
      <x:c r="G33" s="56" t="str">
        <x:v>原表存在，已在修订字段中更正</x:v>
      </x:c>
      <x:c r="H33" s="56" t="str">
        <x:v>待确认</x:v>
      </x:c>
      <x:c r="I33" s="56" t="str">
        <x:v>待确认</x:v>
      </x:c>
      <x:c r="J33" s="59" t="str">
        <x:v>待确认</x:v>
      </x:c>
      <x:c r="K33" s="56" t="str"/>
      <x:c r="L33" s="56" t="str"/>
      <x:c r="M33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4">
      <x:c r="A34" s="56" t="str">
        <x:v>P003</x:v>
      </x:c>
      <x:c r="B34" s="56" t="str">
        <x:v>P003</x:v>
      </x:c>
      <x:c r="C34" s="56" t="str">
        <x:v>anticoagulantUse</x:v>
      </x:c>
      <x:c r="D34" s="56" t="str">
        <x:v>{"status":"absent","patientAnswerZh":"我没有服用华法林、利伐沙班等抗凝药。","patientAnswerEn":"I do not take anticoagulants.","provenance":"author_added_for_simulation","teacherReviewRequired":true}</x:v>
      </x:c>
      <x:c r="E34" s="56" t="str">
        <x:v>author_added_for_simulation</x:v>
      </x:c>
      <x:c r="F34" s="56" t="str">
        <x:v>是</x:v>
      </x:c>
      <x:c r="G34" s="56" t="str">
        <x:v>程序未检出确定性冲突；仍待语义复核</x:v>
      </x:c>
      <x:c r="H34" s="56" t="str">
        <x:v>可能</x:v>
      </x:c>
      <x:c r="I34" s="56" t="str">
        <x:v>是</x:v>
      </x:c>
      <x:c r="J34" s="59" t="str">
        <x:v>待确认</x:v>
      </x:c>
      <x:c r="K34" s="56" t="str"/>
      <x:c r="L34" s="56" t="str"/>
      <x:c r="M34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5">
      <x:c r="A35" s="56" t="str">
        <x:v>P004</x:v>
      </x:c>
      <x:c r="B35" s="56" t="str">
        <x:v>P004</x:v>
      </x:c>
      <x:c r="C35" s="56" t="str">
        <x:v>smokingHistory</x:v>
      </x:c>
      <x:c r="D35" s="56" t="str">
        <x:v>{"status":"never","cigarettesPerDay":0,"years":0,"quitYears":0,"packYears":0,"patientAnswerZh":"我不吸烟。","patientAnswerEn":"I do not smoke.","provenance":"author_added_for_simulation","teacherReviewRequired":true}</x:v>
      </x:c>
      <x:c r="E35" s="56" t="str">
        <x:v>author_added_for_simulation</x:v>
      </x:c>
      <x:c r="F35" s="56" t="str">
        <x:v>是</x:v>
      </x:c>
      <x:c r="G35" s="56" t="str">
        <x:v>程序未检出确定性冲突；仍待语义复核</x:v>
      </x:c>
      <x:c r="H35" s="56" t="str">
        <x:v>可能</x:v>
      </x:c>
      <x:c r="I35" s="56" t="str">
        <x:v>是</x:v>
      </x:c>
      <x:c r="J35" s="59" t="str">
        <x:v>待确认</x:v>
      </x:c>
      <x:c r="K35" s="56" t="str"/>
      <x:c r="L35" s="56" t="str"/>
      <x:c r="M35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6">
      <x:c r="A36" s="56" t="str">
        <x:v>P004</x:v>
      </x:c>
      <x:c r="B36" s="56" t="str">
        <x:v>P004</x:v>
      </x:c>
      <x:c r="C36" s="56" t="str">
        <x:v>alcoholHistory</x:v>
      </x:c>
      <x:c r="D36" s="56" t="str">
        <x:v>{"status":"never","type":"","amount":"0","frequency":"never","years":0,"patientAnswerZh":"我平时不喝酒。","patientAnswerEn":"I do not drink alcohol.","provenance":"author_added_for_simulation","teacherReviewRequired":true}</x:v>
      </x:c>
      <x:c r="E36" s="56" t="str">
        <x:v>author_added_for_simulation</x:v>
      </x:c>
      <x:c r="F36" s="56" t="str">
        <x:v>是</x:v>
      </x:c>
      <x:c r="G36" s="56" t="str">
        <x:v>程序未检出确定性冲突；仍待语义复核</x:v>
      </x:c>
      <x:c r="H36" s="56" t="str">
        <x:v>待确认</x:v>
      </x:c>
      <x:c r="I36" s="56" t="str">
        <x:v>待确认</x:v>
      </x:c>
      <x:c r="J36" s="59" t="str">
        <x:v>待确认</x:v>
      </x:c>
      <x:c r="K36" s="56" t="str"/>
      <x:c r="L36" s="56" t="str"/>
      <x:c r="M36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7">
      <x:c r="A37" s="56" t="str">
        <x:v>P004</x:v>
      </x:c>
      <x:c r="B37" s="56" t="str">
        <x:v>P004</x:v>
      </x:c>
      <x:c r="C37" s="56" t="str">
        <x:v>occupation</x:v>
      </x:c>
      <x:c r="D37" s="56" t="str">
        <x:v>{"status":"absent","patientAnswerZh":"我做普通工作。","patientAnswerEn":"I have a regular job.","provenance":"author_added_for_simulation","teacherReviewRequired":true}</x:v>
      </x:c>
      <x:c r="E37" s="56" t="str">
        <x:v>author_added_for_simulation</x:v>
      </x:c>
      <x:c r="F37" s="56" t="str">
        <x:v>是</x:v>
      </x:c>
      <x:c r="G37" s="56" t="str">
        <x:v>程序未检出确定性冲突；仍待语义复核</x:v>
      </x:c>
      <x:c r="H37" s="56" t="str">
        <x:v>可能</x:v>
      </x:c>
      <x:c r="I37" s="56" t="str">
        <x:v>是</x:v>
      </x:c>
      <x:c r="J37" s="59" t="str">
        <x:v>待确认</x:v>
      </x:c>
      <x:c r="K37" s="56" t="str"/>
      <x:c r="L37" s="56" t="str"/>
      <x:c r="M37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8">
      <x:c r="A38" s="56" t="str">
        <x:v>P004</x:v>
      </x:c>
      <x:c r="B38" s="56" t="str">
        <x:v>P004</x:v>
      </x:c>
      <x:c r="C38" s="56" t="str">
        <x:v>occupationalExposure</x:v>
      </x:c>
      <x:c r="D38" s="56" t="str">
        <x:v>{"status":"absent","patientAnswerZh":"工作中没有接触染料、橡胶、皮革、化工或重金属。","patientAnswerEn":"I have not worked with dyes, rubber, leather, industrial chemicals, or heavy metals.","provenance":"author_added_for_simulation","teacherReviewRequired":true}</x:v>
      </x:c>
      <x:c r="E38" s="56" t="str">
        <x:v>author_added_for_simulation</x:v>
      </x:c>
      <x:c r="F38" s="56" t="str">
        <x:v>是</x:v>
      </x:c>
      <x:c r="G38" s="56" t="str">
        <x:v>程序未检出确定性冲突；仍待语义复核</x:v>
      </x:c>
      <x:c r="H38" s="56" t="str">
        <x:v>可能</x:v>
      </x:c>
      <x:c r="I38" s="56" t="str">
        <x:v>是</x:v>
      </x:c>
      <x:c r="J38" s="59" t="str">
        <x:v>待确认</x:v>
      </x:c>
      <x:c r="K38" s="56" t="str"/>
      <x:c r="L38" s="56" t="str"/>
      <x:c r="M38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9">
      <x:c r="A39" s="56" t="str">
        <x:v>P004</x:v>
      </x:c>
      <x:c r="B39" s="56" t="str">
        <x:v>P004</x:v>
      </x:c>
      <x:c r="C39" s="56" t="str">
        <x:v>stroke</x:v>
      </x:c>
      <x:c r="D39" s="56" t="str">
        <x:v>{"status":"absent","patientAnswerZh":"没有脑卒中。","patientAnswerEn":"I do not have stroke.","provenance":"author_added_for_simulation","teacherReviewRequired":true}</x:v>
      </x:c>
      <x:c r="E39" s="56" t="str">
        <x:v>author_added_for_simulation</x:v>
      </x:c>
      <x:c r="F39" s="56" t="str">
        <x:v>是</x:v>
      </x:c>
      <x:c r="G39" s="56" t="str">
        <x:v>程序未检出确定性冲突；仍待语义复核</x:v>
      </x:c>
      <x:c r="H39" s="56" t="str">
        <x:v>待确认</x:v>
      </x:c>
      <x:c r="I39" s="56" t="str">
        <x:v>待确认</x:v>
      </x:c>
      <x:c r="J39" s="59" t="str">
        <x:v>待确认</x:v>
      </x:c>
      <x:c r="K39" s="56" t="str"/>
      <x:c r="L39" s="56" t="str"/>
      <x:c r="M39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0">
      <x:c r="A40" s="56" t="str">
        <x:v>P004</x:v>
      </x:c>
      <x:c r="B40" s="56" t="str">
        <x:v>P004</x:v>
      </x:c>
      <x:c r="C40" s="56" t="str">
        <x:v>stoneHistory</x:v>
      </x:c>
      <x:c r="D40" s="56" t="str">
        <x:v>{"status":"absent","patientAnswerZh":"以前没有得过泌尿系结石。","patientAnswerEn":"I have never had urinary stones.","provenance":"author_added_for_simulation","teacherReviewRequired":true}</x:v>
      </x:c>
      <x:c r="E40" s="56" t="str">
        <x:v>author_added_for_simulation</x:v>
      </x:c>
      <x:c r="F40" s="56" t="str">
        <x:v>是</x:v>
      </x:c>
      <x:c r="G40" s="56" t="str">
        <x:v>程序未检出确定性冲突；仍待语义复核</x:v>
      </x:c>
      <x:c r="H40" s="56" t="str">
        <x:v>可能</x:v>
      </x:c>
      <x:c r="I40" s="56" t="str">
        <x:v>是</x:v>
      </x:c>
      <x:c r="J40" s="59" t="str">
        <x:v>待确认</x:v>
      </x:c>
      <x:c r="K40" s="56" t="str"/>
      <x:c r="L40" s="56" t="str"/>
      <x:c r="M40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1">
      <x:c r="A41" s="56" t="str">
        <x:v>P004</x:v>
      </x:c>
      <x:c r="B41" s="56" t="str">
        <x:v>P004</x:v>
      </x:c>
      <x:c r="C41" s="56" t="str">
        <x:v>malignancyHistory</x:v>
      </x:c>
      <x:c r="D41" s="56" t="str">
        <x:v>{"status":"absent","patientAnswerZh":"以前没有得过肿瘤。","patientAnswerEn":"I have no previous history of cancer.","provenance":"author_added_for_simulation","teacherReviewRequired":true}</x:v>
      </x:c>
      <x:c r="E41" s="56" t="str">
        <x:v>author_added_for_simulation</x:v>
      </x:c>
      <x:c r="F41" s="56" t="str">
        <x:v>是</x:v>
      </x:c>
      <x:c r="G41" s="56" t="str">
        <x:v>程序未检出确定性冲突；仍待语义复核</x:v>
      </x:c>
      <x:c r="H41" s="56" t="str">
        <x:v>可能</x:v>
      </x:c>
      <x:c r="I41" s="56" t="str">
        <x:v>待确认</x:v>
      </x:c>
      <x:c r="J41" s="59" t="str">
        <x:v>待确认</x:v>
      </x:c>
      <x:c r="K41" s="56" t="str"/>
      <x:c r="L41" s="56" t="str"/>
      <x:c r="M41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2">
      <x:c r="A42" s="56" t="str">
        <x:v>P004</x:v>
      </x:c>
      <x:c r="B42" s="56" t="str">
        <x:v>P004</x:v>
      </x:c>
      <x:c r="C42" s="56" t="str">
        <x:v>traumaHistory</x:v>
      </x:c>
      <x:c r="D42" s="56" t="str">
        <x:v>{"status":"absent","patientAnswerZh":"近期没有相关外伤。","patientAnswerEn":"I have not had relevant trauma.","provenance":"author_added_for_simulation","teacherReviewRequired":true}</x:v>
      </x:c>
      <x:c r="E42" s="56" t="str">
        <x:v>author_added_for_simulation</x:v>
      </x:c>
      <x:c r="F42" s="56" t="str">
        <x:v>是</x:v>
      </x:c>
      <x:c r="G42" s="56" t="str">
        <x:v>程序未检出确定性冲突；仍待语义复核</x:v>
      </x:c>
      <x:c r="H42" s="56" t="str">
        <x:v>可能</x:v>
      </x:c>
      <x:c r="I42" s="56" t="str">
        <x:v>是</x:v>
      </x:c>
      <x:c r="J42" s="59" t="str">
        <x:v>待确认</x:v>
      </x:c>
      <x:c r="K42" s="56" t="str"/>
      <x:c r="L42" s="56" t="str"/>
      <x:c r="M42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3">
      <x:c r="A43" s="56" t="str">
        <x:v>P004</x:v>
      </x:c>
      <x:c r="B43" s="56" t="str">
        <x:v>P004</x:v>
      </x:c>
      <x:c r="C43" s="56" t="str">
        <x:v>urinaryProcedureHistory</x:v>
      </x:c>
      <x:c r="D43" s="56" t="str">
        <x:v>{"status":"absent","patientAnswerZh":"以前没有做过导尿、膀胱镜等泌尿操作。","patientAnswerEn":"I have not had catheterization, cystoscopy, or other urinary procedures.","provenance":"author_added_for_simulation","teacherReviewRequired":true}</x:v>
      </x:c>
      <x:c r="E43" s="56" t="str">
        <x:v>author_added_for_simulation</x:v>
      </x:c>
      <x:c r="F43" s="56" t="str">
        <x:v>是</x:v>
      </x:c>
      <x:c r="G43" s="56" t="str">
        <x:v>程序未检出确定性冲突；仍待语义复核</x:v>
      </x:c>
      <x:c r="H43" s="56" t="str">
        <x:v>待确认</x:v>
      </x:c>
      <x:c r="I43" s="56" t="str">
        <x:v>待确认</x:v>
      </x:c>
      <x:c r="J43" s="59" t="str">
        <x:v>待确认</x:v>
      </x:c>
      <x:c r="K43" s="56" t="str"/>
      <x:c r="L43" s="56" t="str"/>
      <x:c r="M43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4">
      <x:c r="A44" s="56" t="str">
        <x:v>P004</x:v>
      </x:c>
      <x:c r="B44" s="56" t="str">
        <x:v>P004</x:v>
      </x:c>
      <x:c r="C44" s="56" t="str">
        <x:v>transfusionHistory</x:v>
      </x:c>
      <x:c r="D44" s="56" t="str">
        <x:v>{"status":"absent","patientAnswerZh":"我以前没有输过血。","patientAnswerEn":"I have never had a blood transfusion.","provenance":"author_added_for_simulation","teacherReviewRequired":true}</x:v>
      </x:c>
      <x:c r="E44" s="56" t="str">
        <x:v>author_added_for_simulation</x:v>
      </x:c>
      <x:c r="F44" s="56" t="str">
        <x:v>是</x:v>
      </x:c>
      <x:c r="G44" s="56" t="str">
        <x:v>程序未检出确定性冲突；仍待语义复核</x:v>
      </x:c>
      <x:c r="H44" s="56" t="str">
        <x:v>待确认</x:v>
      </x:c>
      <x:c r="I44" s="56" t="str">
        <x:v>待确认</x:v>
      </x:c>
      <x:c r="J44" s="59" t="str">
        <x:v>待确认</x:v>
      </x:c>
      <x:c r="K44" s="56" t="str"/>
      <x:c r="L44" s="56" t="str"/>
      <x:c r="M44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5">
      <x:c r="A45" s="56" t="str">
        <x:v>P004</x:v>
      </x:c>
      <x:c r="B45" s="56" t="str">
        <x:v>P004</x:v>
      </x:c>
      <x:c r="C45" s="56" t="str">
        <x:v>anticoagulantUse</x:v>
      </x:c>
      <x:c r="D45" s="56" t="str">
        <x:v>{"status":"absent","patientAnswerZh":"我没有服用华法林、利伐沙班等抗凝药。","patientAnswerEn":"I do not take anticoagulants.","provenance":"author_added_for_simulation","teacherReviewRequired":true}</x:v>
      </x:c>
      <x:c r="E45" s="56" t="str">
        <x:v>author_added_for_simulation</x:v>
      </x:c>
      <x:c r="F45" s="56" t="str">
        <x:v>是</x:v>
      </x:c>
      <x:c r="G45" s="56" t="str">
        <x:v>程序未检出确定性冲突；仍待语义复核</x:v>
      </x:c>
      <x:c r="H45" s="56" t="str">
        <x:v>可能</x:v>
      </x:c>
      <x:c r="I45" s="56" t="str">
        <x:v>是</x:v>
      </x:c>
      <x:c r="J45" s="59" t="str">
        <x:v>待确认</x:v>
      </x:c>
      <x:c r="K45" s="56" t="str"/>
      <x:c r="L45" s="56" t="str"/>
      <x:c r="M45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6">
      <x:c r="A46" s="56" t="str">
        <x:v>P004</x:v>
      </x:c>
      <x:c r="B46" s="56" t="str">
        <x:v>P004</x:v>
      </x:c>
      <x:c r="C46" s="56" t="str">
        <x:v>antiplateletUse</x:v>
      </x:c>
      <x:c r="D46" s="56" t="str">
        <x:v>{"status":"absent","patientAnswerZh":"我没有服用阿司匹林或氯吡格雷。","patientAnswerEn":"I do not take antiplatelet medication.","provenance":"author_added_for_simulation","teacherReviewRequired":true}</x:v>
      </x:c>
      <x:c r="E46" s="56" t="str">
        <x:v>author_added_for_simulation</x:v>
      </x:c>
      <x:c r="F46" s="56" t="str">
        <x:v>是</x:v>
      </x:c>
      <x:c r="G46" s="56" t="str">
        <x:v>程序未检出确定性冲突；仍待语义复核</x:v>
      </x:c>
      <x:c r="H46" s="56" t="str">
        <x:v>可能</x:v>
      </x:c>
      <x:c r="I46" s="56" t="str">
        <x:v>是</x:v>
      </x:c>
      <x:c r="J46" s="59" t="str">
        <x:v>待确认</x:v>
      </x:c>
      <x:c r="K46" s="56" t="str"/>
      <x:c r="L46" s="56" t="str"/>
      <x:c r="M46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7">
      <x:c r="A47" s="56" t="str">
        <x:v>P005</x:v>
      </x:c>
      <x:c r="B47" s="56" t="str">
        <x:v>P005</x:v>
      </x:c>
      <x:c r="C47" s="56" t="str">
        <x:v>smokingHistory</x:v>
      </x:c>
      <x:c r="D47" s="56" t="str">
        <x:v>{"status":"never","cigarettesPerDay":0,"years":0,"quitYears":0,"packYears":0,"patientAnswerZh":"我不吸烟。","patientAnswerEn":"I do not smoke.","provenance":"author_added_for_simulation","teacherReviewRequired":true}</x:v>
      </x:c>
      <x:c r="E47" s="56" t="str">
        <x:v>author_added_for_simulation</x:v>
      </x:c>
      <x:c r="F47" s="56" t="str">
        <x:v>是</x:v>
      </x:c>
      <x:c r="G47" s="56" t="str">
        <x:v>程序未检出确定性冲突；仍待语义复核</x:v>
      </x:c>
      <x:c r="H47" s="56" t="str">
        <x:v>可能</x:v>
      </x:c>
      <x:c r="I47" s="56" t="str">
        <x:v>是</x:v>
      </x:c>
      <x:c r="J47" s="59" t="str">
        <x:v>待确认</x:v>
      </x:c>
      <x:c r="K47" s="56" t="str"/>
      <x:c r="L47" s="56" t="str"/>
      <x:c r="M47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8">
      <x:c r="A48" s="56" t="str">
        <x:v>P005</x:v>
      </x:c>
      <x:c r="B48" s="56" t="str">
        <x:v>P005</x:v>
      </x:c>
      <x:c r="C48" s="56" t="str">
        <x:v>alcoholHistory</x:v>
      </x:c>
      <x:c r="D48" s="56" t="str">
        <x:v>{"status":"never","type":"","amount":"0","frequency":"never","years":0,"patientAnswerZh":"我平时不喝酒。","patientAnswerEn":"I do not drink alcohol.","provenance":"author_added_for_simulation","teacherReviewRequired":true}</x:v>
      </x:c>
      <x:c r="E48" s="56" t="str">
        <x:v>author_added_for_simulation</x:v>
      </x:c>
      <x:c r="F48" s="56" t="str">
        <x:v>是</x:v>
      </x:c>
      <x:c r="G48" s="56" t="str">
        <x:v>程序未检出确定性冲突；仍待语义复核</x:v>
      </x:c>
      <x:c r="H48" s="56" t="str">
        <x:v>待确认</x:v>
      </x:c>
      <x:c r="I48" s="56" t="str">
        <x:v>待确认</x:v>
      </x:c>
      <x:c r="J48" s="59" t="str">
        <x:v>待确认</x:v>
      </x:c>
      <x:c r="K48" s="56" t="str"/>
      <x:c r="L48" s="56" t="str"/>
      <x:c r="M48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9">
      <x:c r="A49" s="56" t="str">
        <x:v>P005</x:v>
      </x:c>
      <x:c r="B49" s="56" t="str">
        <x:v>P005</x:v>
      </x:c>
      <x:c r="C49" s="56" t="str">
        <x:v>occupation</x:v>
      </x:c>
      <x:c r="D49" s="56" t="str">
        <x:v>{"status":"absent","patientAnswerZh":"我做普通工作。","patientAnswerEn":"I have a regular job.","provenance":"author_added_for_simulation","teacherReviewRequired":true}</x:v>
      </x:c>
      <x:c r="E49" s="56" t="str">
        <x:v>author_added_for_simulation</x:v>
      </x:c>
      <x:c r="F49" s="56" t="str">
        <x:v>是</x:v>
      </x:c>
      <x:c r="G49" s="56" t="str">
        <x:v>程序未检出确定性冲突；仍待语义复核</x:v>
      </x:c>
      <x:c r="H49" s="56" t="str">
        <x:v>可能</x:v>
      </x:c>
      <x:c r="I49" s="56" t="str">
        <x:v>是</x:v>
      </x:c>
      <x:c r="J49" s="59" t="str">
        <x:v>待确认</x:v>
      </x:c>
      <x:c r="K49" s="56" t="str"/>
      <x:c r="L49" s="56" t="str"/>
      <x:c r="M49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0">
      <x:c r="A50" s="56" t="str">
        <x:v>P005</x:v>
      </x:c>
      <x:c r="B50" s="56" t="str">
        <x:v>P005</x:v>
      </x:c>
      <x:c r="C50" s="56" t="str">
        <x:v>occupationalExposure</x:v>
      </x:c>
      <x:c r="D50" s="56" t="str">
        <x:v>{"status":"absent","patientAnswerZh":"工作中没有接触染料、橡胶、皮革、化工或重金属。","patientAnswerEn":"I have not worked with dyes, rubber, leather, industrial chemicals, or heavy metals.","provenance":"author_added_for_simulation","teacherReviewRequired":true}</x:v>
      </x:c>
      <x:c r="E50" s="56" t="str">
        <x:v>author_added_for_simulation</x:v>
      </x:c>
      <x:c r="F50" s="56" t="str">
        <x:v>是</x:v>
      </x:c>
      <x:c r="G50" s="56" t="str">
        <x:v>程序未检出确定性冲突；仍待语义复核</x:v>
      </x:c>
      <x:c r="H50" s="56" t="str">
        <x:v>可能</x:v>
      </x:c>
      <x:c r="I50" s="56" t="str">
        <x:v>是</x:v>
      </x:c>
      <x:c r="J50" s="59" t="str">
        <x:v>待确认</x:v>
      </x:c>
      <x:c r="K50" s="56" t="str"/>
      <x:c r="L50" s="56" t="str"/>
      <x:c r="M50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1">
      <x:c r="A51" s="56" t="str">
        <x:v>P005</x:v>
      </x:c>
      <x:c r="B51" s="56" t="str">
        <x:v>P005</x:v>
      </x:c>
      <x:c r="C51" s="56" t="str">
        <x:v>hypertension</x:v>
      </x:c>
      <x:c r="D51" s="56" t="str">
        <x:v>{"status":"absent","patientAnswerZh":"没有高血压。","patientAnswerEn":"I do not have hypertension.","provenance":"author_added_for_simulation","teacherReviewRequired":true}</x:v>
      </x:c>
      <x:c r="E51" s="56" t="str">
        <x:v>author_added_for_simulation</x:v>
      </x:c>
      <x:c r="F51" s="56" t="str">
        <x:v>是</x:v>
      </x:c>
      <x:c r="G51" s="56" t="str">
        <x:v>程序未检出确定性冲突；仍待语义复核</x:v>
      </x:c>
      <x:c r="H51" s="56" t="str">
        <x:v>待确认</x:v>
      </x:c>
      <x:c r="I51" s="56" t="str">
        <x:v>是</x:v>
      </x:c>
      <x:c r="J51" s="59" t="str">
        <x:v>待确认</x:v>
      </x:c>
      <x:c r="K51" s="56" t="str"/>
      <x:c r="L51" s="56" t="str"/>
      <x:c r="M51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2">
      <x:c r="A52" s="56" t="str">
        <x:v>P005</x:v>
      </x:c>
      <x:c r="B52" s="56" t="str">
        <x:v>P005</x:v>
      </x:c>
      <x:c r="C52" s="56" t="str">
        <x:v>coronaryDisease</x:v>
      </x:c>
      <x:c r="D52" s="56" t="str">
        <x:v>{"status":"absent","patientAnswerZh":"没有冠心病。","patientAnswerEn":"I do not have coronary heart disease.","provenance":"author_added_for_simulation","teacherReviewRequired":true}</x:v>
      </x:c>
      <x:c r="E52" s="56" t="str">
        <x:v>author_added_for_simulation</x:v>
      </x:c>
      <x:c r="F52" s="56" t="str">
        <x:v>是</x:v>
      </x:c>
      <x:c r="G52" s="56" t="str">
        <x:v>程序未检出确定性冲突；仍待语义复核</x:v>
      </x:c>
      <x:c r="H52" s="56" t="str">
        <x:v>待确认</x:v>
      </x:c>
      <x:c r="I52" s="56" t="str">
        <x:v>待确认</x:v>
      </x:c>
      <x:c r="J52" s="59" t="str">
        <x:v>待确认</x:v>
      </x:c>
      <x:c r="K52" s="56" t="str"/>
      <x:c r="L52" s="56" t="str"/>
      <x:c r="M52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3">
      <x:c r="A53" s="56" t="str">
        <x:v>P005</x:v>
      </x:c>
      <x:c r="B53" s="56" t="str">
        <x:v>P005</x:v>
      </x:c>
      <x:c r="C53" s="56" t="str">
        <x:v>stroke</x:v>
      </x:c>
      <x:c r="D53" s="56" t="str">
        <x:v>{"status":"absent","patientAnswerZh":"没有脑卒中。","patientAnswerEn":"I do not have stroke.","provenance":"author_added_for_simulation","teacherReviewRequired":true}</x:v>
      </x:c>
      <x:c r="E53" s="56" t="str">
        <x:v>author_added_for_simulation</x:v>
      </x:c>
      <x:c r="F53" s="56" t="str">
        <x:v>是</x:v>
      </x:c>
      <x:c r="G53" s="56" t="str">
        <x:v>程序未检出确定性冲突；仍待语义复核</x:v>
      </x:c>
      <x:c r="H53" s="56" t="str">
        <x:v>待确认</x:v>
      </x:c>
      <x:c r="I53" s="56" t="str">
        <x:v>待确认</x:v>
      </x:c>
      <x:c r="J53" s="59" t="str">
        <x:v>待确认</x:v>
      </x:c>
      <x:c r="K53" s="56" t="str"/>
      <x:c r="L53" s="56" t="str"/>
      <x:c r="M53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4">
      <x:c r="A54" s="56" t="str">
        <x:v>P005</x:v>
      </x:c>
      <x:c r="B54" s="56" t="str">
        <x:v>P005</x:v>
      </x:c>
      <x:c r="C54" s="56" t="str">
        <x:v>stoneHistory</x:v>
      </x:c>
      <x:c r="D54" s="56" t="str">
        <x:v>{"status":"absent","patientAnswerZh":"以前没有得过泌尿系结石。","patientAnswerEn":"I have never had urinary stones.","provenance":"author_added_for_simulation","teacherReviewRequired":true}</x:v>
      </x:c>
      <x:c r="E54" s="56" t="str">
        <x:v>author_added_for_simulation</x:v>
      </x:c>
      <x:c r="F54" s="56" t="str">
        <x:v>是</x:v>
      </x:c>
      <x:c r="G54" s="56" t="str">
        <x:v>程序未检出确定性冲突；仍待语义复核</x:v>
      </x:c>
      <x:c r="H54" s="56" t="str">
        <x:v>可能</x:v>
      </x:c>
      <x:c r="I54" s="56" t="str">
        <x:v>是</x:v>
      </x:c>
      <x:c r="J54" s="59" t="str">
        <x:v>待确认</x:v>
      </x:c>
      <x:c r="K54" s="56" t="str"/>
      <x:c r="L54" s="56" t="str"/>
      <x:c r="M54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5">
      <x:c r="A55" s="56" t="str">
        <x:v>P005</x:v>
      </x:c>
      <x:c r="B55" s="56" t="str">
        <x:v>P005</x:v>
      </x:c>
      <x:c r="C55" s="56" t="str">
        <x:v>malignancyHistory</x:v>
      </x:c>
      <x:c r="D55" s="56" t="str">
        <x:v>{"status":"absent","patientAnswerZh":"以前没有得过肿瘤。","patientAnswerEn":"I have no previous history of cancer.","provenance":"author_added_for_simulation","teacherReviewRequired":true}</x:v>
      </x:c>
      <x:c r="E55" s="56" t="str">
        <x:v>author_added_for_simulation</x:v>
      </x:c>
      <x:c r="F55" s="56" t="str">
        <x:v>是</x:v>
      </x:c>
      <x:c r="G55" s="56" t="str">
        <x:v>程序未检出确定性冲突；仍待语义复核</x:v>
      </x:c>
      <x:c r="H55" s="56" t="str">
        <x:v>可能</x:v>
      </x:c>
      <x:c r="I55" s="56" t="str">
        <x:v>待确认</x:v>
      </x:c>
      <x:c r="J55" s="59" t="str">
        <x:v>待确认</x:v>
      </x:c>
      <x:c r="K55" s="56" t="str"/>
      <x:c r="L55" s="56" t="str"/>
      <x:c r="M55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6">
      <x:c r="A56" s="56" t="str">
        <x:v>P005</x:v>
      </x:c>
      <x:c r="B56" s="56" t="str">
        <x:v>P005</x:v>
      </x:c>
      <x:c r="C56" s="56" t="str">
        <x:v>traumaHistory</x:v>
      </x:c>
      <x:c r="D56" s="56" t="str">
        <x:v>{"status":"absent","patientAnswerZh":"近期没有相关外伤。","patientAnswerEn":"I have not had relevant trauma.","provenance":"author_added_for_simulation","teacherReviewRequired":true}</x:v>
      </x:c>
      <x:c r="E56" s="56" t="str">
        <x:v>author_added_for_simulation</x:v>
      </x:c>
      <x:c r="F56" s="56" t="str">
        <x:v>是</x:v>
      </x:c>
      <x:c r="G56" s="56" t="str">
        <x:v>程序未检出确定性冲突；仍待语义复核</x:v>
      </x:c>
      <x:c r="H56" s="56" t="str">
        <x:v>可能</x:v>
      </x:c>
      <x:c r="I56" s="56" t="str">
        <x:v>是</x:v>
      </x:c>
      <x:c r="J56" s="59" t="str">
        <x:v>待确认</x:v>
      </x:c>
      <x:c r="K56" s="56" t="str"/>
      <x:c r="L56" s="56" t="str"/>
      <x:c r="M56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7">
      <x:c r="A57" s="56" t="str">
        <x:v>P005</x:v>
      </x:c>
      <x:c r="B57" s="56" t="str">
        <x:v>P005</x:v>
      </x:c>
      <x:c r="C57" s="56" t="str">
        <x:v>urinaryProcedureHistory</x:v>
      </x:c>
      <x:c r="D57" s="56" t="str">
        <x:v>{"status":"absent","patientAnswerZh":"以前没有做过导尿、膀胱镜等泌尿操作。","patientAnswerEn":"I have not had catheterization, cystoscopy, or other urinary procedures.","provenance":"author_added_for_simulation","teacherReviewRequired":true}</x:v>
      </x:c>
      <x:c r="E57" s="56" t="str">
        <x:v>author_added_for_simulation</x:v>
      </x:c>
      <x:c r="F57" s="56" t="str">
        <x:v>是</x:v>
      </x:c>
      <x:c r="G57" s="56" t="str">
        <x:v>程序未检出确定性冲突；仍待语义复核</x:v>
      </x:c>
      <x:c r="H57" s="56" t="str">
        <x:v>待确认</x:v>
      </x:c>
      <x:c r="I57" s="56" t="str">
        <x:v>待确认</x:v>
      </x:c>
      <x:c r="J57" s="59" t="str">
        <x:v>待确认</x:v>
      </x:c>
      <x:c r="K57" s="56" t="str"/>
      <x:c r="L57" s="56" t="str"/>
      <x:c r="M57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8">
      <x:c r="A58" s="56" t="str">
        <x:v>P005</x:v>
      </x:c>
      <x:c r="B58" s="56" t="str">
        <x:v>P005</x:v>
      </x:c>
      <x:c r="C58" s="56" t="str">
        <x:v>anticoagulantUse</x:v>
      </x:c>
      <x:c r="D58" s="56" t="str">
        <x:v>{"status":"absent","patientAnswerZh":"我没有服用华法林、利伐沙班等抗凝药。","patientAnswerEn":"I do not take anticoagulants.","provenance":"author_added_for_simulation","teacherReviewRequired":true}</x:v>
      </x:c>
      <x:c r="E58" s="56" t="str">
        <x:v>author_added_for_simulation</x:v>
      </x:c>
      <x:c r="F58" s="56" t="str">
        <x:v>是</x:v>
      </x:c>
      <x:c r="G58" s="56" t="str">
        <x:v>程序未检出确定性冲突；仍待语义复核</x:v>
      </x:c>
      <x:c r="H58" s="56" t="str">
        <x:v>可能</x:v>
      </x:c>
      <x:c r="I58" s="56" t="str">
        <x:v>是</x:v>
      </x:c>
      <x:c r="J58" s="59" t="str">
        <x:v>待确认</x:v>
      </x:c>
      <x:c r="K58" s="56" t="str"/>
      <x:c r="L58" s="56" t="str"/>
      <x:c r="M58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9">
      <x:c r="A59" s="56" t="str">
        <x:v>P006</x:v>
      </x:c>
      <x:c r="B59" s="56" t="str">
        <x:v>P006</x:v>
      </x:c>
      <x:c r="C59" s="56" t="str">
        <x:v>smokingHistory</x:v>
      </x:c>
      <x:c r="D59" s="56" t="str">
        <x:v>{"status":"never","cigarettesPerDay":0,"years":0,"quitYears":0,"packYears":0,"patientAnswerZh":"我不吸烟。","patientAnswerEn":"I do not smoke.","provenance":"author_added_for_simulation","teacherReviewRequired":true}</x:v>
      </x:c>
      <x:c r="E59" s="56" t="str">
        <x:v>author_added_for_simulation</x:v>
      </x:c>
      <x:c r="F59" s="56" t="str">
        <x:v>是</x:v>
      </x:c>
      <x:c r="G59" s="56" t="str">
        <x:v>程序未检出确定性冲突；仍待语义复核</x:v>
      </x:c>
      <x:c r="H59" s="56" t="str">
        <x:v>可能</x:v>
      </x:c>
      <x:c r="I59" s="56" t="str">
        <x:v>是</x:v>
      </x:c>
      <x:c r="J59" s="59" t="str">
        <x:v>待确认</x:v>
      </x:c>
      <x:c r="K59" s="56" t="str"/>
      <x:c r="L59" s="56" t="str"/>
      <x:c r="M59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60">
      <x:c r="A60" s="56" t="str">
        <x:v>P006</x:v>
      </x:c>
      <x:c r="B60" s="56" t="str">
        <x:v>P006</x:v>
      </x:c>
      <x:c r="C60" s="56" t="str">
        <x:v>alcoholHistory</x:v>
      </x:c>
      <x:c r="D60" s="56" t="str">
        <x:v>{"status":"never","type":"","amount":"0","frequency":"never","years":0,"patientAnswerZh":"我平时不喝酒。","patientAnswerEn":"I do not drink alcohol.","provenance":"author_added_for_simulation","teacherReviewRequired":true}</x:v>
      </x:c>
      <x:c r="E60" s="56" t="str">
        <x:v>author_added_for_simulation</x:v>
      </x:c>
      <x:c r="F60" s="56" t="str">
        <x:v>是</x:v>
      </x:c>
      <x:c r="G60" s="56" t="str">
        <x:v>程序未检出确定性冲突；仍待语义复核</x:v>
      </x:c>
      <x:c r="H60" s="56" t="str">
        <x:v>待确认</x:v>
      </x:c>
      <x:c r="I60" s="56" t="str">
        <x:v>待确认</x:v>
      </x:c>
      <x:c r="J60" s="59" t="str">
        <x:v>待确认</x:v>
      </x:c>
      <x:c r="K60" s="56" t="str"/>
      <x:c r="L60" s="56" t="str"/>
      <x:c r="M60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61">
      <x:c r="A61" s="56" t="str">
        <x:v>P006</x:v>
      </x:c>
      <x:c r="B61" s="56" t="str">
        <x:v>P006</x:v>
      </x:c>
      <x:c r="C61" s="56" t="str">
        <x:v>occupation</x:v>
      </x:c>
      <x:c r="D61" s="56" t="str">
        <x:v>{"status":"absent","patientAnswerZh":"我做普通工作。","patientAnswerEn":"I have a regular job.","provenance":"author_added_for_simulation","teacherReviewRequired":true}</x:v>
      </x:c>
      <x:c r="E61" s="56" t="str">
        <x:v>author_added_for_simulation</x:v>
      </x:c>
      <x:c r="F61" s="56" t="str">
        <x:v>是</x:v>
      </x:c>
      <x:c r="G61" s="56" t="str">
        <x:v>程序未检出确定性冲突；仍待语义复核</x:v>
      </x:c>
      <x:c r="H61" s="56" t="str">
        <x:v>可能</x:v>
      </x:c>
      <x:c r="I61" s="56" t="str">
        <x:v>是</x:v>
      </x:c>
      <x:c r="J61" s="59" t="str">
        <x:v>待确认</x:v>
      </x:c>
      <x:c r="K61" s="56" t="str"/>
      <x:c r="L61" s="56" t="str"/>
      <x:c r="M61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62">
      <x:c r="A62" s="56" t="str">
        <x:v>P006</x:v>
      </x:c>
      <x:c r="B62" s="56" t="str">
        <x:v>P006</x:v>
      </x:c>
      <x:c r="C62" s="56" t="str">
        <x:v>occupationalExposure</x:v>
      </x:c>
      <x:c r="D62" s="56" t="str">
        <x:v>{"status":"absent","patientAnswerZh":"工作中没有接触染料、橡胶、皮革、化工或重金属。","patientAnswerEn":"I have not worked with dyes, rubber, leather, industrial chemicals, or heavy metals.","provenance":"author_added_for_simulation","teacherReviewRequired":true}</x:v>
      </x:c>
      <x:c r="E62" s="56" t="str">
        <x:v>author_added_for_simulation</x:v>
      </x:c>
      <x:c r="F62" s="56" t="str">
        <x:v>是</x:v>
      </x:c>
      <x:c r="G62" s="56" t="str">
        <x:v>程序未检出确定性冲突；仍待语义复核</x:v>
      </x:c>
      <x:c r="H62" s="56" t="str">
        <x:v>可能</x:v>
      </x:c>
      <x:c r="I62" s="56" t="str">
        <x:v>是</x:v>
      </x:c>
      <x:c r="J62" s="59" t="str">
        <x:v>待确认</x:v>
      </x:c>
      <x:c r="K62" s="56" t="str"/>
      <x:c r="L62" s="56" t="str"/>
      <x:c r="M62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63">
      <x:c r="A63" s="56" t="str">
        <x:v>P006</x:v>
      </x:c>
      <x:c r="B63" s="56" t="str">
        <x:v>P006</x:v>
      </x:c>
      <x:c r="C63" s="56" t="str">
        <x:v>stroke</x:v>
      </x:c>
      <x:c r="D63" s="56" t="str">
        <x:v>{"status":"absent","patientAnswerZh":"没有脑卒中。","patientAnswerEn":"I do not have stroke.","provenance":"author_added_for_simulation","teacherReviewRequired":true}</x:v>
      </x:c>
      <x:c r="E63" s="56" t="str">
        <x:v>author_added_for_simulation</x:v>
      </x:c>
      <x:c r="F63" s="56" t="str">
        <x:v>是</x:v>
      </x:c>
      <x:c r="G63" s="56" t="str">
        <x:v>程序未检出确定性冲突；仍待语义复核</x:v>
      </x:c>
      <x:c r="H63" s="56" t="str">
        <x:v>待确认</x:v>
      </x:c>
      <x:c r="I63" s="56" t="str">
        <x:v>待确认</x:v>
      </x:c>
      <x:c r="J63" s="59" t="str">
        <x:v>待确认</x:v>
      </x:c>
      <x:c r="K63" s="56" t="str"/>
      <x:c r="L63" s="56" t="str"/>
      <x:c r="M63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64">
      <x:c r="A64" s="56" t="str">
        <x:v>P006</x:v>
      </x:c>
      <x:c r="B64" s="56" t="str">
        <x:v>P006</x:v>
      </x:c>
      <x:c r="C64" s="56" t="str">
        <x:v>stoneHistory</x:v>
      </x:c>
      <x:c r="D64" s="56" t="str">
        <x:v>{"status":"absent","patientAnswerZh":"以前没有得过泌尿系结石。","patientAnswerEn":"I have never had urinary stones.","provenance":"author_added_for_simulation","teacherReviewRequired":true}</x:v>
      </x:c>
      <x:c r="E64" s="56" t="str">
        <x:v>author_added_for_simulation</x:v>
      </x:c>
      <x:c r="F64" s="56" t="str">
        <x:v>是</x:v>
      </x:c>
      <x:c r="G64" s="56" t="str">
        <x:v>程序未检出确定性冲突；仍待语义复核</x:v>
      </x:c>
      <x:c r="H64" s="56" t="str">
        <x:v>可能</x:v>
      </x:c>
      <x:c r="I64" s="56" t="str">
        <x:v>是</x:v>
      </x:c>
      <x:c r="J64" s="59" t="str">
        <x:v>待确认</x:v>
      </x:c>
      <x:c r="K64" s="56" t="str"/>
      <x:c r="L64" s="56" t="str"/>
      <x:c r="M64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65">
      <x:c r="A65" s="56" t="str">
        <x:v>P006</x:v>
      </x:c>
      <x:c r="B65" s="56" t="str">
        <x:v>P006</x:v>
      </x:c>
      <x:c r="C65" s="56" t="str">
        <x:v>malignancyHistory</x:v>
      </x:c>
      <x:c r="D65" s="56" t="str">
        <x:v>{"status":"absent","patientAnswerZh":"以前没有得过肿瘤。","patientAnswerEn":"I have no previous history of cancer.","provenance":"author_added_for_simulation","teacherReviewRequired":true}</x:v>
      </x:c>
      <x:c r="E65" s="56" t="str">
        <x:v>author_added_for_simulation</x:v>
      </x:c>
      <x:c r="F65" s="56" t="str">
        <x:v>是</x:v>
      </x:c>
      <x:c r="G65" s="56" t="str">
        <x:v>程序未检出确定性冲突；仍待语义复核</x:v>
      </x:c>
      <x:c r="H65" s="56" t="str">
        <x:v>可能</x:v>
      </x:c>
      <x:c r="I65" s="56" t="str">
        <x:v>待确认</x:v>
      </x:c>
      <x:c r="J65" s="59" t="str">
        <x:v>待确认</x:v>
      </x:c>
      <x:c r="K65" s="56" t="str"/>
      <x:c r="L65" s="56" t="str"/>
      <x:c r="M65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66">
      <x:c r="A66" s="56" t="str">
        <x:v>P006</x:v>
      </x:c>
      <x:c r="B66" s="56" t="str">
        <x:v>P006</x:v>
      </x:c>
      <x:c r="C66" s="56" t="str">
        <x:v>surgeryHistory</x:v>
      </x:c>
      <x:c r="D66" s="56" t="str">
        <x:v>{"status":"absent","patientAnswerZh":"我以前没有做过手术。","patientAnswerEn":"I have never had surgery.","provenance":"author_added_for_simulation","teacherReviewRequired":true}</x:v>
      </x:c>
      <x:c r="E66" s="56" t="str">
        <x:v>author_added_for_simulation</x:v>
      </x:c>
      <x:c r="F66" s="56" t="str">
        <x:v>是</x:v>
      </x:c>
      <x:c r="G66" s="56" t="str">
        <x:v>程序未检出确定性冲突；仍待语义复核</x:v>
      </x:c>
      <x:c r="H66" s="56" t="str">
        <x:v>待确认</x:v>
      </x:c>
      <x:c r="I66" s="56" t="str">
        <x:v>是</x:v>
      </x:c>
      <x:c r="J66" s="59" t="str">
        <x:v>待确认</x:v>
      </x:c>
      <x:c r="K66" s="56" t="str"/>
      <x:c r="L66" s="56" t="str"/>
      <x:c r="M66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67">
      <x:c r="A67" s="56" t="str">
        <x:v>P006</x:v>
      </x:c>
      <x:c r="B67" s="56" t="str">
        <x:v>P006</x:v>
      </x:c>
      <x:c r="C67" s="56" t="str">
        <x:v>transfusionHistory</x:v>
      </x:c>
      <x:c r="D67" s="56" t="str">
        <x:v>{"status":"absent","patientAnswerZh":"我以前没有输过血。","patientAnswerEn":"I have never had a blood transfusion.","provenance":"author_added_for_simulation","teacherReviewRequired":true}</x:v>
      </x:c>
      <x:c r="E67" s="56" t="str">
        <x:v>author_added_for_simulation</x:v>
      </x:c>
      <x:c r="F67" s="56" t="str">
        <x:v>是</x:v>
      </x:c>
      <x:c r="G67" s="56" t="str">
        <x:v>程序未检出确定性冲突；仍待语义复核</x:v>
      </x:c>
      <x:c r="H67" s="56" t="str">
        <x:v>待确认</x:v>
      </x:c>
      <x:c r="I67" s="56" t="str">
        <x:v>待确认</x:v>
      </x:c>
      <x:c r="J67" s="59" t="str">
        <x:v>待确认</x:v>
      </x:c>
      <x:c r="K67" s="56" t="str"/>
      <x:c r="L67" s="56" t="str"/>
      <x:c r="M67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68">
      <x:c r="A68" s="56" t="str">
        <x:v>P006</x:v>
      </x:c>
      <x:c r="B68" s="56" t="str">
        <x:v>P006</x:v>
      </x:c>
      <x:c r="C68" s="56" t="str">
        <x:v>anticoagulantUse</x:v>
      </x:c>
      <x:c r="D68" s="56" t="str">
        <x:v>{"status":"absent","patientAnswerZh":"我没有服用华法林、利伐沙班等抗凝药。","patientAnswerEn":"I do not take anticoagulants.","provenance":"author_added_for_simulation","teacherReviewRequired":true}</x:v>
      </x:c>
      <x:c r="E68" s="56" t="str">
        <x:v>author_added_for_simulation</x:v>
      </x:c>
      <x:c r="F68" s="56" t="str">
        <x:v>是</x:v>
      </x:c>
      <x:c r="G68" s="56" t="str">
        <x:v>程序未检出确定性冲突；仍待语义复核</x:v>
      </x:c>
      <x:c r="H68" s="56" t="str">
        <x:v>可能</x:v>
      </x:c>
      <x:c r="I68" s="56" t="str">
        <x:v>是</x:v>
      </x:c>
      <x:c r="J68" s="59" t="str">
        <x:v>待确认</x:v>
      </x:c>
      <x:c r="K68" s="56" t="str"/>
      <x:c r="L68" s="56" t="str"/>
      <x:c r="M68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69">
      <x:c r="A69" s="56" t="str">
        <x:v>P006</x:v>
      </x:c>
      <x:c r="B69" s="56" t="str">
        <x:v>P006</x:v>
      </x:c>
      <x:c r="C69" s="56" t="str">
        <x:v>antiplateletUse</x:v>
      </x:c>
      <x:c r="D69" s="56" t="str">
        <x:v>{"status":"absent","patientAnswerZh":"我没有服用阿司匹林或氯吡格雷。","patientAnswerEn":"I do not take antiplatelet medication.","provenance":"author_added_for_simulation","teacherReviewRequired":true}</x:v>
      </x:c>
      <x:c r="E69" s="56" t="str">
        <x:v>author_added_for_simulation</x:v>
      </x:c>
      <x:c r="F69" s="56" t="str">
        <x:v>是</x:v>
      </x:c>
      <x:c r="G69" s="56" t="str">
        <x:v>程序未检出确定性冲突；仍待语义复核</x:v>
      </x:c>
      <x:c r="H69" s="56" t="str">
        <x:v>可能</x:v>
      </x:c>
      <x:c r="I69" s="56" t="str">
        <x:v>是</x:v>
      </x:c>
      <x:c r="J69" s="59" t="str">
        <x:v>待确认</x:v>
      </x:c>
      <x:c r="K69" s="56" t="str"/>
      <x:c r="L69" s="56" t="str"/>
      <x:c r="M69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70">
      <x:c r="A70" s="56" t="str">
        <x:v>P006</x:v>
      </x:c>
      <x:c r="B70" s="56" t="str">
        <x:v>P006</x:v>
      </x:c>
      <x:c r="C70" s="56" t="str">
        <x:v>menstrualHistory</x:v>
      </x:c>
      <x:c r="D70" s="56" t="str">
        <x:v>{"status":"absent","patientAnswerZh":"月经情况正常，这次尿色异常不是在月经期。","patientAnswerEn":"My periods are regular, and this episode did not occur during menstruation.","provenance":"author_added_for_simulation","teacherReviewRequired":true}</x:v>
      </x:c>
      <x:c r="E70" s="56" t="str">
        <x:v>author_added_for_simulation</x:v>
      </x:c>
      <x:c r="F70" s="56" t="str">
        <x:v>是</x:v>
      </x:c>
      <x:c r="G70" s="56" t="str">
        <x:v>程序未检出确定性冲突；仍待语义复核</x:v>
      </x:c>
      <x:c r="H70" s="56" t="str">
        <x:v>可能</x:v>
      </x:c>
      <x:c r="I70" s="56" t="str">
        <x:v>待确认</x:v>
      </x:c>
      <x:c r="J70" s="59" t="str">
        <x:v>待确认</x:v>
      </x:c>
      <x:c r="K70" s="56" t="str"/>
      <x:c r="L70" s="56" t="str"/>
      <x:c r="M70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71">
      <x:c r="A71" s="56" t="str">
        <x:v>P006</x:v>
      </x:c>
      <x:c r="B71" s="56" t="str">
        <x:v>P006</x:v>
      </x:c>
      <x:c r="C71" s="56" t="str">
        <x:v>pregnancyHistory</x:v>
      </x:c>
      <x:c r="D71" s="56" t="str">
        <x:v>{"status":"absent","patientAnswerZh":"目前没有怀孕。","patientAnswerEn":"I am not currently pregnant.","provenance":"author_added_for_simulation","teacherReviewRequired":true}</x:v>
      </x:c>
      <x:c r="E71" s="56" t="str">
        <x:v>author_added_for_simulation</x:v>
      </x:c>
      <x:c r="F71" s="56" t="str">
        <x:v>是</x:v>
      </x:c>
      <x:c r="G71" s="56" t="str">
        <x:v>程序未检出确定性冲突；仍待语义复核</x:v>
      </x:c>
      <x:c r="H71" s="56" t="str">
        <x:v>可能</x:v>
      </x:c>
      <x:c r="I71" s="56" t="str">
        <x:v>待确认</x:v>
      </x:c>
      <x:c r="J71" s="59" t="str">
        <x:v>待确认</x:v>
      </x:c>
      <x:c r="K71" s="56" t="str"/>
      <x:c r="L71" s="56" t="str"/>
      <x:c r="M71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72">
      <x:c r="A72" s="56" t="str">
        <x:v>P007</x:v>
      </x:c>
      <x:c r="B72" s="56" t="str">
        <x:v>P007</x:v>
      </x:c>
      <x:c r="C72" s="56" t="str">
        <x:v>occupation</x:v>
      </x:c>
      <x:c r="D72" s="56" t="str">
        <x:v>{"status":"absent","patientAnswerZh":"我做普通工作。","patientAnswerEn":"I have a regular job.","provenance":"author_added_for_simulation","teacherReviewRequired":true}</x:v>
      </x:c>
      <x:c r="E72" s="56" t="str">
        <x:v>author_added_for_simulation</x:v>
      </x:c>
      <x:c r="F72" s="56" t="str">
        <x:v>是</x:v>
      </x:c>
      <x:c r="G72" s="56" t="str">
        <x:v>程序未检出确定性冲突；仍待语义复核</x:v>
      </x:c>
      <x:c r="H72" s="56" t="str">
        <x:v>可能</x:v>
      </x:c>
      <x:c r="I72" s="56" t="str">
        <x:v>是</x:v>
      </x:c>
      <x:c r="J72" s="59" t="str">
        <x:v>待确认</x:v>
      </x:c>
      <x:c r="K72" s="56" t="str"/>
      <x:c r="L72" s="56" t="str"/>
      <x:c r="M72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73">
      <x:c r="A73" s="56" t="str">
        <x:v>P007</x:v>
      </x:c>
      <x:c r="B73" s="56" t="str">
        <x:v>P007</x:v>
      </x:c>
      <x:c r="C73" s="56" t="str">
        <x:v>occupationalExposure</x:v>
      </x:c>
      <x:c r="D73" s="56" t="str">
        <x:v>{"status":"absent","patientAnswerZh":"工作中没有接触染料、橡胶、皮革、化工或重金属。","patientAnswerEn":"I have not worked with dyes, rubber, leather, industrial chemicals, or heavy metals.","provenance":"author_added_for_simulation","teacherReviewRequired":true}</x:v>
      </x:c>
      <x:c r="E73" s="56" t="str">
        <x:v>author_added_for_simulation</x:v>
      </x:c>
      <x:c r="F73" s="56" t="str">
        <x:v>是</x:v>
      </x:c>
      <x:c r="G73" s="56" t="str">
        <x:v>程序未检出确定性冲突；仍待语义复核</x:v>
      </x:c>
      <x:c r="H73" s="56" t="str">
        <x:v>可能</x:v>
      </x:c>
      <x:c r="I73" s="56" t="str">
        <x:v>是</x:v>
      </x:c>
      <x:c r="J73" s="59" t="str">
        <x:v>待确认</x:v>
      </x:c>
      <x:c r="K73" s="56" t="str"/>
      <x:c r="L73" s="56" t="str"/>
      <x:c r="M73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74">
      <x:c r="A74" s="56" t="str">
        <x:v>P007</x:v>
      </x:c>
      <x:c r="B74" s="56" t="str">
        <x:v>P007</x:v>
      </x:c>
      <x:c r="C74" s="56" t="str">
        <x:v>coronaryDisease</x:v>
      </x:c>
      <x:c r="D74" s="56" t="str">
        <x:v>{"status":"absent","patientAnswerZh":"没有冠心病。","patientAnswerEn":"I do not have coronary heart disease.","provenance":"author_added_for_simulation","teacherReviewRequired":true}</x:v>
      </x:c>
      <x:c r="E74" s="56" t="str">
        <x:v>author_added_for_simulation</x:v>
      </x:c>
      <x:c r="F74" s="56" t="str">
        <x:v>是</x:v>
      </x:c>
      <x:c r="G74" s="56" t="str">
        <x:v>程序未检出确定性冲突；仍待语义复核</x:v>
      </x:c>
      <x:c r="H74" s="56" t="str">
        <x:v>待确认</x:v>
      </x:c>
      <x:c r="I74" s="56" t="str">
        <x:v>待确认</x:v>
      </x:c>
      <x:c r="J74" s="59" t="str">
        <x:v>待确认</x:v>
      </x:c>
      <x:c r="K74" s="56" t="str"/>
      <x:c r="L74" s="56" t="str"/>
      <x:c r="M74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75">
      <x:c r="A75" s="56" t="str">
        <x:v>P007</x:v>
      </x:c>
      <x:c r="B75" s="56" t="str">
        <x:v>P007</x:v>
      </x:c>
      <x:c r="C75" s="56" t="str">
        <x:v>stroke</x:v>
      </x:c>
      <x:c r="D75" s="56" t="str">
        <x:v>{"status":"absent","patientAnswerZh":"没有脑卒中。","patientAnswerEn":"I do not have stroke.","provenance":"author_added_for_simulation","teacherReviewRequired":true}</x:v>
      </x:c>
      <x:c r="E75" s="56" t="str">
        <x:v>author_added_for_simulation</x:v>
      </x:c>
      <x:c r="F75" s="56" t="str">
        <x:v>是</x:v>
      </x:c>
      <x:c r="G75" s="56" t="str">
        <x:v>程序未检出确定性冲突；仍待语义复核</x:v>
      </x:c>
      <x:c r="H75" s="56" t="str">
        <x:v>待确认</x:v>
      </x:c>
      <x:c r="I75" s="56" t="str">
        <x:v>待确认</x:v>
      </x:c>
      <x:c r="J75" s="59" t="str">
        <x:v>待确认</x:v>
      </x:c>
      <x:c r="K75" s="56" t="str"/>
      <x:c r="L75" s="56" t="str"/>
      <x:c r="M75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76">
      <x:c r="A76" s="56" t="str">
        <x:v>P007</x:v>
      </x:c>
      <x:c r="B76" s="56" t="str">
        <x:v>P007</x:v>
      </x:c>
      <x:c r="C76" s="56" t="str">
        <x:v>stoneHistory</x:v>
      </x:c>
      <x:c r="D76" s="56" t="str">
        <x:v>{"status":"absent","patientAnswerZh":"以前没有得过泌尿系结石。","patientAnswerEn":"I have never had urinary stones.","provenance":"author_added_for_simulation","teacherReviewRequired":true}</x:v>
      </x:c>
      <x:c r="E76" s="56" t="str">
        <x:v>author_added_for_simulation</x:v>
      </x:c>
      <x:c r="F76" s="56" t="str">
        <x:v>是</x:v>
      </x:c>
      <x:c r="G76" s="56" t="str">
        <x:v>程序未检出确定性冲突；仍待语义复核</x:v>
      </x:c>
      <x:c r="H76" s="56" t="str">
        <x:v>可能</x:v>
      </x:c>
      <x:c r="I76" s="56" t="str">
        <x:v>是</x:v>
      </x:c>
      <x:c r="J76" s="59" t="str">
        <x:v>待确认</x:v>
      </x:c>
      <x:c r="K76" s="56" t="str"/>
      <x:c r="L76" s="56" t="str"/>
      <x:c r="M76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77">
      <x:c r="A77" s="56" t="str">
        <x:v>P007</x:v>
      </x:c>
      <x:c r="B77" s="56" t="str">
        <x:v>P007</x:v>
      </x:c>
      <x:c r="C77" s="56" t="str">
        <x:v>malignancyHistory</x:v>
      </x:c>
      <x:c r="D77" s="56" t="str">
        <x:v>{"status":"absent","patientAnswerZh":"以前没有得过肿瘤。","patientAnswerEn":"I have no previous history of cancer.","provenance":"author_added_for_simulation","teacherReviewRequired":true}</x:v>
      </x:c>
      <x:c r="E77" s="56" t="str">
        <x:v>author_added_for_simulation</x:v>
      </x:c>
      <x:c r="F77" s="56" t="str">
        <x:v>是</x:v>
      </x:c>
      <x:c r="G77" s="56" t="str">
        <x:v>程序未检出确定性冲突；仍待语义复核</x:v>
      </x:c>
      <x:c r="H77" s="56" t="str">
        <x:v>可能</x:v>
      </x:c>
      <x:c r="I77" s="56" t="str">
        <x:v>待确认</x:v>
      </x:c>
      <x:c r="J77" s="59" t="str">
        <x:v>待确认</x:v>
      </x:c>
      <x:c r="K77" s="56" t="str"/>
      <x:c r="L77" s="56" t="str"/>
      <x:c r="M77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78">
      <x:c r="A78" s="56" t="str">
        <x:v>P007</x:v>
      </x:c>
      <x:c r="B78" s="56" t="str">
        <x:v>P007</x:v>
      </x:c>
      <x:c r="C78" s="56" t="str">
        <x:v>traumaHistory</x:v>
      </x:c>
      <x:c r="D78" s="56" t="str">
        <x:v>{"status":"absent","patientAnswerZh":"近期没有相关外伤。","patientAnswerEn":"I have not had relevant trauma.","provenance":"author_added_for_simulation","teacherReviewRequired":true}</x:v>
      </x:c>
      <x:c r="E78" s="56" t="str">
        <x:v>author_added_for_simulation</x:v>
      </x:c>
      <x:c r="F78" s="56" t="str">
        <x:v>是</x:v>
      </x:c>
      <x:c r="G78" s="56" t="str">
        <x:v>程序未检出确定性冲突；仍待语义复核</x:v>
      </x:c>
      <x:c r="H78" s="56" t="str">
        <x:v>可能</x:v>
      </x:c>
      <x:c r="I78" s="56" t="str">
        <x:v>是</x:v>
      </x:c>
      <x:c r="J78" s="59" t="str">
        <x:v>待确认</x:v>
      </x:c>
      <x:c r="K78" s="56" t="str"/>
      <x:c r="L78" s="56" t="str"/>
      <x:c r="M78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79">
      <x:c r="A79" s="56" t="str">
        <x:v>P007</x:v>
      </x:c>
      <x:c r="B79" s="56" t="str">
        <x:v>P007</x:v>
      </x:c>
      <x:c r="C79" s="56" t="str">
        <x:v>urinaryProcedureHistory</x:v>
      </x:c>
      <x:c r="D79" s="56" t="str">
        <x:v>{"status":"absent","patientAnswerZh":"以前没有做过导尿、膀胱镜等泌尿操作。","patientAnswerEn":"I have not had catheterization, cystoscopy, or other urinary procedures.","provenance":"author_added_for_simulation","teacherReviewRequired":true}</x:v>
      </x:c>
      <x:c r="E79" s="56" t="str">
        <x:v>author_added_for_simulation</x:v>
      </x:c>
      <x:c r="F79" s="56" t="str">
        <x:v>是</x:v>
      </x:c>
      <x:c r="G79" s="56" t="str">
        <x:v>程序未检出确定性冲突；仍待语义复核</x:v>
      </x:c>
      <x:c r="H79" s="56" t="str">
        <x:v>待确认</x:v>
      </x:c>
      <x:c r="I79" s="56" t="str">
        <x:v>待确认</x:v>
      </x:c>
      <x:c r="J79" s="59" t="str">
        <x:v>待确认</x:v>
      </x:c>
      <x:c r="K79" s="56" t="str"/>
      <x:c r="L79" s="56" t="str"/>
      <x:c r="M79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80">
      <x:c r="A80" s="56" t="str">
        <x:v>P007</x:v>
      </x:c>
      <x:c r="B80" s="56" t="str">
        <x:v>P007</x:v>
      </x:c>
      <x:c r="C80" s="56" t="str">
        <x:v>surgeryHistory</x:v>
      </x:c>
      <x:c r="D80" s="56" t="str">
        <x:v>{"status":"absent","patientAnswerZh":"我以前没有做过手术。","patientAnswerEn":"I have never had surgery.","provenance":"author_added_for_simulation","teacherReviewRequired":true}</x:v>
      </x:c>
      <x:c r="E80" s="56" t="str">
        <x:v>author_added_for_simulation</x:v>
      </x:c>
      <x:c r="F80" s="56" t="str">
        <x:v>是</x:v>
      </x:c>
      <x:c r="G80" s="56" t="str">
        <x:v>程序未检出确定性冲突；仍待语义复核</x:v>
      </x:c>
      <x:c r="H80" s="56" t="str">
        <x:v>待确认</x:v>
      </x:c>
      <x:c r="I80" s="56" t="str">
        <x:v>是</x:v>
      </x:c>
      <x:c r="J80" s="59" t="str">
        <x:v>待确认</x:v>
      </x:c>
      <x:c r="K80" s="56" t="str"/>
      <x:c r="L80" s="56" t="str"/>
      <x:c r="M80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81">
      <x:c r="A81" s="56" t="str">
        <x:v>P007</x:v>
      </x:c>
      <x:c r="B81" s="56" t="str">
        <x:v>P007</x:v>
      </x:c>
      <x:c r="C81" s="56" t="str">
        <x:v>anticoagulantUse</x:v>
      </x:c>
      <x:c r="D81" s="56" t="str">
        <x:v>{"status":"absent","patientAnswerZh":"我没有服用华法林、利伐沙班等抗凝药。","patientAnswerEn":"I do not take anticoagulants.","provenance":"author_added_for_simulation","teacherReviewRequired":true}</x:v>
      </x:c>
      <x:c r="E81" s="56" t="str">
        <x:v>author_added_for_simulation</x:v>
      </x:c>
      <x:c r="F81" s="56" t="str">
        <x:v>是</x:v>
      </x:c>
      <x:c r="G81" s="56" t="str">
        <x:v>程序未检出确定性冲突；仍待语义复核</x:v>
      </x:c>
      <x:c r="H81" s="56" t="str">
        <x:v>可能</x:v>
      </x:c>
      <x:c r="I81" s="56" t="str">
        <x:v>是</x:v>
      </x:c>
      <x:c r="J81" s="59" t="str">
        <x:v>待确认</x:v>
      </x:c>
      <x:c r="K81" s="56" t="str"/>
      <x:c r="L81" s="56" t="str"/>
      <x:c r="M81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82">
      <x:c r="A82" s="56" t="str">
        <x:v>P007</x:v>
      </x:c>
      <x:c r="B82" s="56" t="str">
        <x:v>P007</x:v>
      </x:c>
      <x:c r="C82" s="56" t="str">
        <x:v>antiplateletUse</x:v>
      </x:c>
      <x:c r="D82" s="56" t="str">
        <x:v>{"status":"absent","patientAnswerZh":"我没有服用阿司匹林或氯吡格雷。","patientAnswerEn":"I do not take antiplatelet medication.","provenance":"author_added_for_simulation","teacherReviewRequired":true}</x:v>
      </x:c>
      <x:c r="E82" s="56" t="str">
        <x:v>author_added_for_simulation</x:v>
      </x:c>
      <x:c r="F82" s="56" t="str">
        <x:v>是</x:v>
      </x:c>
      <x:c r="G82" s="56" t="str">
        <x:v>程序未检出确定性冲突；仍待语义复核</x:v>
      </x:c>
      <x:c r="H82" s="56" t="str">
        <x:v>可能</x:v>
      </x:c>
      <x:c r="I82" s="56" t="str">
        <x:v>是</x:v>
      </x:c>
      <x:c r="J82" s="59" t="str">
        <x:v>待确认</x:v>
      </x:c>
      <x:c r="K82" s="56" t="str"/>
      <x:c r="L82" s="56" t="str"/>
      <x:c r="M82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83">
      <x:c r="A83" s="56" t="str">
        <x:v>P008</x:v>
      </x:c>
      <x:c r="B83" s="56" t="str">
        <x:v>P008</x:v>
      </x:c>
      <x:c r="C83" s="56" t="str">
        <x:v>occupation</x:v>
      </x:c>
      <x:c r="D83" s="56" t="str">
        <x:v>{"status":"absent","patientAnswerZh":"我做普通工作。","patientAnswerEn":"I have a regular job.","provenance":"author_added_for_simulation","teacherReviewRequired":true}</x:v>
      </x:c>
      <x:c r="E83" s="56" t="str">
        <x:v>author_added_for_simulation</x:v>
      </x:c>
      <x:c r="F83" s="56" t="str">
        <x:v>是</x:v>
      </x:c>
      <x:c r="G83" s="56" t="str">
        <x:v>程序未检出确定性冲突；仍待语义复核</x:v>
      </x:c>
      <x:c r="H83" s="56" t="str">
        <x:v>可能</x:v>
      </x:c>
      <x:c r="I83" s="56" t="str">
        <x:v>是</x:v>
      </x:c>
      <x:c r="J83" s="59" t="str">
        <x:v>待确认</x:v>
      </x:c>
      <x:c r="K83" s="56" t="str"/>
      <x:c r="L83" s="56" t="str"/>
      <x:c r="M83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84">
      <x:c r="A84" s="56" t="str">
        <x:v>P008</x:v>
      </x:c>
      <x:c r="B84" s="56" t="str">
        <x:v>P008</x:v>
      </x:c>
      <x:c r="C84" s="56" t="str">
        <x:v>occupationalExposure</x:v>
      </x:c>
      <x:c r="D84" s="56" t="str">
        <x:v>{"status":"absent","patientAnswerZh":"工作中没有接触染料、橡胶、皮革、化工或重金属。","patientAnswerEn":"I have not worked with dyes, rubber, leather, industrial chemicals, or heavy metals.","provenance":"author_added_for_simulation","teacherReviewRequired":true}</x:v>
      </x:c>
      <x:c r="E84" s="56" t="str">
        <x:v>author_added_for_simulation</x:v>
      </x:c>
      <x:c r="F84" s="56" t="str">
        <x:v>是</x:v>
      </x:c>
      <x:c r="G84" s="56" t="str">
        <x:v>程序未检出确定性冲突；仍待语义复核</x:v>
      </x:c>
      <x:c r="H84" s="56" t="str">
        <x:v>可能</x:v>
      </x:c>
      <x:c r="I84" s="56" t="str">
        <x:v>是</x:v>
      </x:c>
      <x:c r="J84" s="59" t="str">
        <x:v>待确认</x:v>
      </x:c>
      <x:c r="K84" s="56" t="str"/>
      <x:c r="L84" s="56" t="str"/>
      <x:c r="M84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85">
      <x:c r="A85" s="56" t="str">
        <x:v>P008</x:v>
      </x:c>
      <x:c r="B85" s="56" t="str">
        <x:v>P008</x:v>
      </x:c>
      <x:c r="C85" s="56" t="str">
        <x:v>coronaryDisease</x:v>
      </x:c>
      <x:c r="D85" s="56" t="str">
        <x:v>{"status":"absent","patientAnswerZh":"没有冠心病。","patientAnswerEn":"I do not have coronary heart disease.","provenance":"author_added_for_simulation","teacherReviewRequired":true}</x:v>
      </x:c>
      <x:c r="E85" s="56" t="str">
        <x:v>author_added_for_simulation</x:v>
      </x:c>
      <x:c r="F85" s="56" t="str">
        <x:v>是</x:v>
      </x:c>
      <x:c r="G85" s="56" t="str">
        <x:v>程序未检出确定性冲突；仍待语义复核</x:v>
      </x:c>
      <x:c r="H85" s="56" t="str">
        <x:v>待确认</x:v>
      </x:c>
      <x:c r="I85" s="56" t="str">
        <x:v>待确认</x:v>
      </x:c>
      <x:c r="J85" s="59" t="str">
        <x:v>待确认</x:v>
      </x:c>
      <x:c r="K85" s="56" t="str"/>
      <x:c r="L85" s="56" t="str"/>
      <x:c r="M85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86">
      <x:c r="A86" s="56" t="str">
        <x:v>P008</x:v>
      </x:c>
      <x:c r="B86" s="56" t="str">
        <x:v>P008</x:v>
      </x:c>
      <x:c r="C86" s="56" t="str">
        <x:v>stroke</x:v>
      </x:c>
      <x:c r="D86" s="56" t="str">
        <x:v>{"status":"absent","patientAnswerZh":"没有脑卒中。","patientAnswerEn":"I do not have stroke.","provenance":"author_added_for_simulation","teacherReviewRequired":true}</x:v>
      </x:c>
      <x:c r="E86" s="56" t="str">
        <x:v>author_added_for_simulation</x:v>
      </x:c>
      <x:c r="F86" s="56" t="str">
        <x:v>是</x:v>
      </x:c>
      <x:c r="G86" s="56" t="str">
        <x:v>程序未检出确定性冲突；仍待语义复核</x:v>
      </x:c>
      <x:c r="H86" s="56" t="str">
        <x:v>待确认</x:v>
      </x:c>
      <x:c r="I86" s="56" t="str">
        <x:v>待确认</x:v>
      </x:c>
      <x:c r="J86" s="59" t="str">
        <x:v>待确认</x:v>
      </x:c>
      <x:c r="K86" s="56" t="str"/>
      <x:c r="L86" s="56" t="str"/>
      <x:c r="M86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87">
      <x:c r="A87" s="56" t="str">
        <x:v>P008</x:v>
      </x:c>
      <x:c r="B87" s="56" t="str">
        <x:v>P008</x:v>
      </x:c>
      <x:c r="C87" s="56" t="str">
        <x:v>stoneHistory</x:v>
      </x:c>
      <x:c r="D87" s="56" t="str">
        <x:v>{"status":"absent","patientAnswerZh":"以前没有得过泌尿系结石。","patientAnswerEn":"I have never had urinary stones.","provenance":"author_added_for_simulation","teacherReviewRequired":true}</x:v>
      </x:c>
      <x:c r="E87" s="56" t="str">
        <x:v>author_added_for_simulation</x:v>
      </x:c>
      <x:c r="F87" s="56" t="str">
        <x:v>是</x:v>
      </x:c>
      <x:c r="G87" s="56" t="str">
        <x:v>程序未检出确定性冲突；仍待语义复核</x:v>
      </x:c>
      <x:c r="H87" s="56" t="str">
        <x:v>可能</x:v>
      </x:c>
      <x:c r="I87" s="56" t="str">
        <x:v>是</x:v>
      </x:c>
      <x:c r="J87" s="59" t="str">
        <x:v>待确认</x:v>
      </x:c>
      <x:c r="K87" s="56" t="str"/>
      <x:c r="L87" s="56" t="str"/>
      <x:c r="M87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88">
      <x:c r="A88" s="56" t="str">
        <x:v>P008</x:v>
      </x:c>
      <x:c r="B88" s="56" t="str">
        <x:v>P008</x:v>
      </x:c>
      <x:c r="C88" s="56" t="str">
        <x:v>malignancyHistory</x:v>
      </x:c>
      <x:c r="D88" s="56" t="str">
        <x:v>{"status":"absent","patientAnswerZh":"以前没有得过肿瘤。","patientAnswerEn":"I have no previous history of cancer.","provenance":"author_added_for_simulation","teacherReviewRequired":true}</x:v>
      </x:c>
      <x:c r="E88" s="56" t="str">
        <x:v>author_added_for_simulation</x:v>
      </x:c>
      <x:c r="F88" s="56" t="str">
        <x:v>是</x:v>
      </x:c>
      <x:c r="G88" s="56" t="str">
        <x:v>程序未检出确定性冲突；仍待语义复核</x:v>
      </x:c>
      <x:c r="H88" s="56" t="str">
        <x:v>可能</x:v>
      </x:c>
      <x:c r="I88" s="56" t="str">
        <x:v>待确认</x:v>
      </x:c>
      <x:c r="J88" s="59" t="str">
        <x:v>待确认</x:v>
      </x:c>
      <x:c r="K88" s="56" t="str"/>
      <x:c r="L88" s="56" t="str"/>
      <x:c r="M88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89">
      <x:c r="A89" s="56" t="str">
        <x:v>P008</x:v>
      </x:c>
      <x:c r="B89" s="56" t="str">
        <x:v>P008</x:v>
      </x:c>
      <x:c r="C89" s="56" t="str">
        <x:v>traumaHistory</x:v>
      </x:c>
      <x:c r="D89" s="56" t="str">
        <x:v>{"status":"absent","patientAnswerZh":"近期没有相关外伤。","patientAnswerEn":"I have not had relevant trauma.","provenance":"author_added_for_simulation","teacherReviewRequired":true}</x:v>
      </x:c>
      <x:c r="E89" s="56" t="str">
        <x:v>author_added_for_simulation</x:v>
      </x:c>
      <x:c r="F89" s="56" t="str">
        <x:v>是</x:v>
      </x:c>
      <x:c r="G89" s="56" t="str">
        <x:v>程序未检出确定性冲突；仍待语义复核</x:v>
      </x:c>
      <x:c r="H89" s="56" t="str">
        <x:v>可能</x:v>
      </x:c>
      <x:c r="I89" s="56" t="str">
        <x:v>是</x:v>
      </x:c>
      <x:c r="J89" s="59" t="str">
        <x:v>待确认</x:v>
      </x:c>
      <x:c r="K89" s="56" t="str"/>
      <x:c r="L89" s="56" t="str"/>
      <x:c r="M89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90">
      <x:c r="A90" s="56" t="str">
        <x:v>P008</x:v>
      </x:c>
      <x:c r="B90" s="56" t="str">
        <x:v>P008</x:v>
      </x:c>
      <x:c r="C90" s="56" t="str">
        <x:v>urinaryProcedureHistory</x:v>
      </x:c>
      <x:c r="D90" s="56" t="str">
        <x:v>{"status":"absent","patientAnswerZh":"以前没有做过导尿、膀胱镜等泌尿操作。","patientAnswerEn":"I have not had catheterization, cystoscopy, or other urinary procedures.","provenance":"author_added_for_simulation","teacherReviewRequired":true}</x:v>
      </x:c>
      <x:c r="E90" s="56" t="str">
        <x:v>author_added_for_simulation</x:v>
      </x:c>
      <x:c r="F90" s="56" t="str">
        <x:v>是</x:v>
      </x:c>
      <x:c r="G90" s="56" t="str">
        <x:v>程序未检出确定性冲突；仍待语义复核</x:v>
      </x:c>
      <x:c r="H90" s="56" t="str">
        <x:v>待确认</x:v>
      </x:c>
      <x:c r="I90" s="56" t="str">
        <x:v>待确认</x:v>
      </x:c>
      <x:c r="J90" s="59" t="str">
        <x:v>待确认</x:v>
      </x:c>
      <x:c r="K90" s="56" t="str"/>
      <x:c r="L90" s="56" t="str"/>
      <x:c r="M90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91">
      <x:c r="A91" s="56" t="str">
        <x:v>P008</x:v>
      </x:c>
      <x:c r="B91" s="56" t="str">
        <x:v>P008</x:v>
      </x:c>
      <x:c r="C91" s="56" t="str">
        <x:v>surgeryHistory</x:v>
      </x:c>
      <x:c r="D91" s="56" t="str">
        <x:v>{"status":"absent","patientAnswerZh":"我以前没有做过手术。","patientAnswerEn":"I have never had surgery.","provenance":"author_added_for_simulation","teacherReviewRequired":true}</x:v>
      </x:c>
      <x:c r="E91" s="56" t="str">
        <x:v>author_added_for_simulation</x:v>
      </x:c>
      <x:c r="F91" s="56" t="str">
        <x:v>是</x:v>
      </x:c>
      <x:c r="G91" s="56" t="str">
        <x:v>程序未检出确定性冲突；仍待语义复核</x:v>
      </x:c>
      <x:c r="H91" s="56" t="str">
        <x:v>待确认</x:v>
      </x:c>
      <x:c r="I91" s="56" t="str">
        <x:v>是</x:v>
      </x:c>
      <x:c r="J91" s="59" t="str">
        <x:v>待确认</x:v>
      </x:c>
      <x:c r="K91" s="56" t="str"/>
      <x:c r="L91" s="56" t="str"/>
      <x:c r="M91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92">
      <x:c r="A92" s="56" t="str">
        <x:v>P008</x:v>
      </x:c>
      <x:c r="B92" s="56" t="str">
        <x:v>P008</x:v>
      </x:c>
      <x:c r="C92" s="56" t="str">
        <x:v>anticoagulantUse</x:v>
      </x:c>
      <x:c r="D92" s="56" t="str">
        <x:v>{"status":"absent","patientAnswerZh":"我没有服用华法林、利伐沙班等抗凝药。","patientAnswerEn":"I do not take anticoagulants.","provenance":"author_added_for_simulation","teacherReviewRequired":true}</x:v>
      </x:c>
      <x:c r="E92" s="56" t="str">
        <x:v>author_added_for_simulation</x:v>
      </x:c>
      <x:c r="F92" s="56" t="str">
        <x:v>是</x:v>
      </x:c>
      <x:c r="G92" s="56" t="str">
        <x:v>程序未检出确定性冲突；仍待语义复核</x:v>
      </x:c>
      <x:c r="H92" s="56" t="str">
        <x:v>可能</x:v>
      </x:c>
      <x:c r="I92" s="56" t="str">
        <x:v>是</x:v>
      </x:c>
      <x:c r="J92" s="59" t="str">
        <x:v>待确认</x:v>
      </x:c>
      <x:c r="K92" s="56" t="str"/>
      <x:c r="L92" s="56" t="str"/>
      <x:c r="M92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93">
      <x:c r="A93" s="56" t="str">
        <x:v>P009</x:v>
      </x:c>
      <x:c r="B93" s="56" t="str">
        <x:v>P009</x:v>
      </x:c>
      <x:c r="C93" s="56" t="str">
        <x:v>occupation</x:v>
      </x:c>
      <x:c r="D93" s="56" t="str">
        <x:v>{"status":"absent","patientAnswerZh":"我做普通工作。","patientAnswerEn":"I have a regular job.","provenance":"author_added_for_simulation","teacherReviewRequired":true}</x:v>
      </x:c>
      <x:c r="E93" s="56" t="str">
        <x:v>author_added_for_simulation</x:v>
      </x:c>
      <x:c r="F93" s="56" t="str">
        <x:v>是</x:v>
      </x:c>
      <x:c r="G93" s="56" t="str">
        <x:v>程序未检出确定性冲突；仍待语义复核</x:v>
      </x:c>
      <x:c r="H93" s="56" t="str">
        <x:v>可能</x:v>
      </x:c>
      <x:c r="I93" s="56" t="str">
        <x:v>是</x:v>
      </x:c>
      <x:c r="J93" s="59" t="str">
        <x:v>待确认</x:v>
      </x:c>
      <x:c r="K93" s="56" t="str"/>
      <x:c r="L93" s="56" t="str"/>
      <x:c r="M93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94">
      <x:c r="A94" s="56" t="str">
        <x:v>P009</x:v>
      </x:c>
      <x:c r="B94" s="56" t="str">
        <x:v>P009</x:v>
      </x:c>
      <x:c r="C94" s="56" t="str">
        <x:v>occupationalExposure</x:v>
      </x:c>
      <x:c r="D94" s="56" t="str">
        <x:v>{"status":"absent","patientAnswerZh":"工作中没有接触染料、橡胶、皮革、化工或重金属。","patientAnswerEn":"I have not worked with dyes, rubber, leather, industrial chemicals, or heavy metals.","provenance":"author_added_for_simulation","teacherReviewRequired":true}</x:v>
      </x:c>
      <x:c r="E94" s="56" t="str">
        <x:v>author_added_for_simulation</x:v>
      </x:c>
      <x:c r="F94" s="56" t="str">
        <x:v>是</x:v>
      </x:c>
      <x:c r="G94" s="56" t="str">
        <x:v>程序未检出确定性冲突；仍待语义复核</x:v>
      </x:c>
      <x:c r="H94" s="56" t="str">
        <x:v>可能</x:v>
      </x:c>
      <x:c r="I94" s="56" t="str">
        <x:v>是</x:v>
      </x:c>
      <x:c r="J94" s="59" t="str">
        <x:v>待确认</x:v>
      </x:c>
      <x:c r="K94" s="56" t="str"/>
      <x:c r="L94" s="56" t="str"/>
      <x:c r="M94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95">
      <x:c r="A95" s="56" t="str">
        <x:v>P009</x:v>
      </x:c>
      <x:c r="B95" s="56" t="str">
        <x:v>P009</x:v>
      </x:c>
      <x:c r="C95" s="56" t="str">
        <x:v>hypertension</x:v>
      </x:c>
      <x:c r="D95" s="56" t="str">
        <x:v>{"status":"absent","patientAnswerZh":"没有高血压。","patientAnswerEn":"I do not have hypertension.","provenance":"author_added_for_simulation","teacherReviewRequired":true}</x:v>
      </x:c>
      <x:c r="E95" s="56" t="str">
        <x:v>author_added_for_simulation</x:v>
      </x:c>
      <x:c r="F95" s="56" t="str">
        <x:v>是</x:v>
      </x:c>
      <x:c r="G95" s="56" t="str">
        <x:v>程序未检出确定性冲突；仍待语义复核</x:v>
      </x:c>
      <x:c r="H95" s="56" t="str">
        <x:v>待确认</x:v>
      </x:c>
      <x:c r="I95" s="56" t="str">
        <x:v>是</x:v>
      </x:c>
      <x:c r="J95" s="59" t="str">
        <x:v>待确认</x:v>
      </x:c>
      <x:c r="K95" s="56" t="str"/>
      <x:c r="L95" s="56" t="str"/>
      <x:c r="M95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96">
      <x:c r="A96" s="56" t="str">
        <x:v>P009</x:v>
      </x:c>
      <x:c r="B96" s="56" t="str">
        <x:v>P009</x:v>
      </x:c>
      <x:c r="C96" s="56" t="str">
        <x:v>stroke</x:v>
      </x:c>
      <x:c r="D96" s="56" t="str">
        <x:v>{"status":"absent","patientAnswerZh":"没有脑卒中。","patientAnswerEn":"I do not have stroke.","provenance":"author_added_for_simulation","teacherReviewRequired":true}</x:v>
      </x:c>
      <x:c r="E96" s="56" t="str">
        <x:v>author_added_for_simulation</x:v>
      </x:c>
      <x:c r="F96" s="56" t="str">
        <x:v>是</x:v>
      </x:c>
      <x:c r="G96" s="56" t="str">
        <x:v>程序未检出确定性冲突；仍待语义复核</x:v>
      </x:c>
      <x:c r="H96" s="56" t="str">
        <x:v>待确认</x:v>
      </x:c>
      <x:c r="I96" s="56" t="str">
        <x:v>待确认</x:v>
      </x:c>
      <x:c r="J96" s="59" t="str">
        <x:v>待确认</x:v>
      </x:c>
      <x:c r="K96" s="56" t="str"/>
      <x:c r="L96" s="56" t="str"/>
      <x:c r="M96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97">
      <x:c r="A97" s="56" t="str">
        <x:v>P009</x:v>
      </x:c>
      <x:c r="B97" s="56" t="str">
        <x:v>P009</x:v>
      </x:c>
      <x:c r="C97" s="56" t="str">
        <x:v>malignancyHistory</x:v>
      </x:c>
      <x:c r="D97" s="56" t="str">
        <x:v>{"status":"absent","patientAnswerZh":"以前没有得过肿瘤。","patientAnswerEn":"I have no previous history of cancer.","provenance":"author_added_for_simulation","teacherReviewRequired":true}</x:v>
      </x:c>
      <x:c r="E97" s="56" t="str">
        <x:v>author_added_for_simulation</x:v>
      </x:c>
      <x:c r="F97" s="56" t="str">
        <x:v>是</x:v>
      </x:c>
      <x:c r="G97" s="56" t="str">
        <x:v>程序未检出确定性冲突；仍待语义复核</x:v>
      </x:c>
      <x:c r="H97" s="56" t="str">
        <x:v>可能</x:v>
      </x:c>
      <x:c r="I97" s="56" t="str">
        <x:v>待确认</x:v>
      </x:c>
      <x:c r="J97" s="59" t="str">
        <x:v>待确认</x:v>
      </x:c>
      <x:c r="K97" s="56" t="str"/>
      <x:c r="L97" s="56" t="str"/>
      <x:c r="M97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98">
      <x:c r="A98" s="56" t="str">
        <x:v>P009</x:v>
      </x:c>
      <x:c r="B98" s="56" t="str">
        <x:v>P009</x:v>
      </x:c>
      <x:c r="C98" s="56" t="str">
        <x:v>traumaHistory</x:v>
      </x:c>
      <x:c r="D98" s="56" t="str">
        <x:v>{"status":"absent","patientAnswerZh":"近期没有相关外伤。","patientAnswerEn":"I have not had relevant trauma.","provenance":"author_added_for_simulation","teacherReviewRequired":true}</x:v>
      </x:c>
      <x:c r="E98" s="56" t="str">
        <x:v>author_added_for_simulation</x:v>
      </x:c>
      <x:c r="F98" s="56" t="str">
        <x:v>是</x:v>
      </x:c>
      <x:c r="G98" s="56" t="str">
        <x:v>程序未检出确定性冲突；仍待语义复核</x:v>
      </x:c>
      <x:c r="H98" s="56" t="str">
        <x:v>可能</x:v>
      </x:c>
      <x:c r="I98" s="56" t="str">
        <x:v>是</x:v>
      </x:c>
      <x:c r="J98" s="59" t="str">
        <x:v>待确认</x:v>
      </x:c>
      <x:c r="K98" s="56" t="str"/>
      <x:c r="L98" s="56" t="str"/>
      <x:c r="M98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99">
      <x:c r="A99" s="56" t="str">
        <x:v>P009</x:v>
      </x:c>
      <x:c r="B99" s="56" t="str">
        <x:v>P009</x:v>
      </x:c>
      <x:c r="C99" s="56" t="str">
        <x:v>urinaryProcedureHistory</x:v>
      </x:c>
      <x:c r="D99" s="56" t="str">
        <x:v>{"status":"absent","patientAnswerZh":"以前没有做过导尿、膀胱镜等泌尿操作。","patientAnswerEn":"I have not had catheterization, cystoscopy, or other urinary procedures.","provenance":"author_added_for_simulation","teacherReviewRequired":true}</x:v>
      </x:c>
      <x:c r="E99" s="56" t="str">
        <x:v>author_added_for_simulation</x:v>
      </x:c>
      <x:c r="F99" s="56" t="str">
        <x:v>是</x:v>
      </x:c>
      <x:c r="G99" s="56" t="str">
        <x:v>程序未检出确定性冲突；仍待语义复核</x:v>
      </x:c>
      <x:c r="H99" s="56" t="str">
        <x:v>待确认</x:v>
      </x:c>
      <x:c r="I99" s="56" t="str">
        <x:v>待确认</x:v>
      </x:c>
      <x:c r="J99" s="59" t="str">
        <x:v>待确认</x:v>
      </x:c>
      <x:c r="K99" s="56" t="str"/>
      <x:c r="L99" s="56" t="str"/>
      <x:c r="M99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00">
      <x:c r="A100" s="56" t="str">
        <x:v>P009</x:v>
      </x:c>
      <x:c r="B100" s="56" t="str">
        <x:v>P009</x:v>
      </x:c>
      <x:c r="C100" s="56" t="str">
        <x:v>surgeryHistory</x:v>
      </x:c>
      <x:c r="D100" s="56" t="str">
        <x:v>{"status":"absent","patientAnswerZh":"我以前没有做过手术。","patientAnswerEn":"I have never had surgery.","provenance":"author_added_for_simulation","teacherReviewRequired":true}</x:v>
      </x:c>
      <x:c r="E100" s="56" t="str">
        <x:v>author_added_for_simulation</x:v>
      </x:c>
      <x:c r="F100" s="56" t="str">
        <x:v>是</x:v>
      </x:c>
      <x:c r="G100" s="56" t="str">
        <x:v>程序未检出确定性冲突；仍待语义复核</x:v>
      </x:c>
      <x:c r="H100" s="56" t="str">
        <x:v>待确认</x:v>
      </x:c>
      <x:c r="I100" s="56" t="str">
        <x:v>是</x:v>
      </x:c>
      <x:c r="J100" s="59" t="str">
        <x:v>待确认</x:v>
      </x:c>
      <x:c r="K100" s="56" t="str"/>
      <x:c r="L100" s="56" t="str"/>
      <x:c r="M100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01">
      <x:c r="A101" s="56" t="str">
        <x:v>P009</x:v>
      </x:c>
      <x:c r="B101" s="56" t="str">
        <x:v>P009</x:v>
      </x:c>
      <x:c r="C101" s="56" t="str">
        <x:v>transfusionHistory</x:v>
      </x:c>
      <x:c r="D101" s="56" t="str">
        <x:v>{"status":"absent","patientAnswerZh":"我以前没有输过血。","patientAnswerEn":"I have never had a blood transfusion.","provenance":"author_added_for_simulation","teacherReviewRequired":true}</x:v>
      </x:c>
      <x:c r="E101" s="56" t="str">
        <x:v>author_added_for_simulation</x:v>
      </x:c>
      <x:c r="F101" s="56" t="str">
        <x:v>是</x:v>
      </x:c>
      <x:c r="G101" s="56" t="str">
        <x:v>程序未检出确定性冲突；仍待语义复核</x:v>
      </x:c>
      <x:c r="H101" s="56" t="str">
        <x:v>待确认</x:v>
      </x:c>
      <x:c r="I101" s="56" t="str">
        <x:v>待确认</x:v>
      </x:c>
      <x:c r="J101" s="59" t="str">
        <x:v>待确认</x:v>
      </x:c>
      <x:c r="K101" s="56" t="str"/>
      <x:c r="L101" s="56" t="str"/>
      <x:c r="M101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02">
      <x:c r="A102" s="56" t="str">
        <x:v>P009</x:v>
      </x:c>
      <x:c r="B102" s="56" t="str">
        <x:v>P009</x:v>
      </x:c>
      <x:c r="C102" s="56" t="str">
        <x:v>anticoagulantUse</x:v>
      </x:c>
      <x:c r="D102" s="56" t="str">
        <x:v>{"status":"absent","patientAnswerZh":"我没有服用华法林、利伐沙班等抗凝药。","patientAnswerEn":"I do not take anticoagulants.","provenance":"author_added_for_simulation","teacherReviewRequired":true}</x:v>
      </x:c>
      <x:c r="E102" s="56" t="str">
        <x:v>author_added_for_simulation</x:v>
      </x:c>
      <x:c r="F102" s="56" t="str">
        <x:v>是</x:v>
      </x:c>
      <x:c r="G102" s="56" t="str">
        <x:v>程序未检出确定性冲突；仍待语义复核</x:v>
      </x:c>
      <x:c r="H102" s="56" t="str">
        <x:v>可能</x:v>
      </x:c>
      <x:c r="I102" s="56" t="str">
        <x:v>是</x:v>
      </x:c>
      <x:c r="J102" s="59" t="str">
        <x:v>待确认</x:v>
      </x:c>
      <x:c r="K102" s="56" t="str"/>
      <x:c r="L102" s="56" t="str"/>
      <x:c r="M102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03">
      <x:c r="A103" s="56" t="str">
        <x:v>P009</x:v>
      </x:c>
      <x:c r="B103" s="56" t="str">
        <x:v>P009</x:v>
      </x:c>
      <x:c r="C103" s="56" t="str">
        <x:v>antiplateletUse</x:v>
      </x:c>
      <x:c r="D103" s="56" t="str">
        <x:v>{"status":"absent","patientAnswerZh":"我没有服用阿司匹林或氯吡格雷。","patientAnswerEn":"I do not take antiplatelet medication.","provenance":"author_added_for_simulation","teacherReviewRequired":true}</x:v>
      </x:c>
      <x:c r="E103" s="56" t="str">
        <x:v>author_added_for_simulation</x:v>
      </x:c>
      <x:c r="F103" s="56" t="str">
        <x:v>是</x:v>
      </x:c>
      <x:c r="G103" s="56" t="str">
        <x:v>程序未检出确定性冲突；仍待语义复核</x:v>
      </x:c>
      <x:c r="H103" s="56" t="str">
        <x:v>可能</x:v>
      </x:c>
      <x:c r="I103" s="56" t="str">
        <x:v>是</x:v>
      </x:c>
      <x:c r="J103" s="59" t="str">
        <x:v>待确认</x:v>
      </x:c>
      <x:c r="K103" s="56" t="str"/>
      <x:c r="L103" s="56" t="str"/>
      <x:c r="M103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04">
      <x:c r="A104" s="56" t="str">
        <x:v>P009</x:v>
      </x:c>
      <x:c r="B104" s="56" t="str">
        <x:v>P009</x:v>
      </x:c>
      <x:c r="C104" s="56" t="str">
        <x:v>menstrualHistory</x:v>
      </x:c>
      <x:c r="D104" s="56" t="str">
        <x:v>{"status":"absent","patientAnswerZh":"月经情况正常，这次尿色异常不是在月经期。","patientAnswerEn":"My periods are regular, and this episode did not occur during menstruation.","provenance":"author_added_for_simulation","teacherReviewRequired":true}</x:v>
      </x:c>
      <x:c r="E104" s="56" t="str">
        <x:v>author_added_for_simulation</x:v>
      </x:c>
      <x:c r="F104" s="56" t="str">
        <x:v>是</x:v>
      </x:c>
      <x:c r="G104" s="56" t="str">
        <x:v>程序未检出确定性冲突；仍待语义复核</x:v>
      </x:c>
      <x:c r="H104" s="56" t="str">
        <x:v>可能</x:v>
      </x:c>
      <x:c r="I104" s="56" t="str">
        <x:v>待确认</x:v>
      </x:c>
      <x:c r="J104" s="59" t="str">
        <x:v>待确认</x:v>
      </x:c>
      <x:c r="K104" s="56" t="str"/>
      <x:c r="L104" s="56" t="str"/>
      <x:c r="M104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05">
      <x:c r="A105" s="56" t="str">
        <x:v>P009</x:v>
      </x:c>
      <x:c r="B105" s="56" t="str">
        <x:v>P009</x:v>
      </x:c>
      <x:c r="C105" s="56" t="str">
        <x:v>pregnancyHistory</x:v>
      </x:c>
      <x:c r="D105" s="56" t="str">
        <x:v>{"status":"absent","patientAnswerZh":"目前没有怀孕。","patientAnswerEn":"I am not currently pregnant.","provenance":"author_added_for_simulation","teacherReviewRequired":true}</x:v>
      </x:c>
      <x:c r="E105" s="56" t="str">
        <x:v>author_added_for_simulation</x:v>
      </x:c>
      <x:c r="F105" s="56" t="str">
        <x:v>是</x:v>
      </x:c>
      <x:c r="G105" s="56" t="str">
        <x:v>程序未检出确定性冲突；仍待语义复核</x:v>
      </x:c>
      <x:c r="H105" s="56" t="str">
        <x:v>可能</x:v>
      </x:c>
      <x:c r="I105" s="56" t="str">
        <x:v>待确认</x:v>
      </x:c>
      <x:c r="J105" s="59" t="str">
        <x:v>待确认</x:v>
      </x:c>
      <x:c r="K105" s="56" t="str"/>
      <x:c r="L105" s="56" t="str"/>
      <x:c r="M105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06">
      <x:c r="A106" s="56" t="str">
        <x:v>P010</x:v>
      </x:c>
      <x:c r="B106" s="56" t="str">
        <x:v>P010</x:v>
      </x:c>
      <x:c r="C106" s="56" t="str">
        <x:v>occupation</x:v>
      </x:c>
      <x:c r="D106" s="56" t="str">
        <x:v>{"status":"absent","patientAnswerZh":"我做普通工作。","patientAnswerEn":"I have a regular job.","provenance":"author_added_for_simulation","teacherReviewRequired":true}</x:v>
      </x:c>
      <x:c r="E106" s="56" t="str">
        <x:v>author_added_for_simulation</x:v>
      </x:c>
      <x:c r="F106" s="56" t="str">
        <x:v>是</x:v>
      </x:c>
      <x:c r="G106" s="56" t="str">
        <x:v>程序未检出确定性冲突；仍待语义复核</x:v>
      </x:c>
      <x:c r="H106" s="56" t="str">
        <x:v>可能</x:v>
      </x:c>
      <x:c r="I106" s="56" t="str">
        <x:v>是</x:v>
      </x:c>
      <x:c r="J106" s="59" t="str">
        <x:v>待确认</x:v>
      </x:c>
      <x:c r="K106" s="56" t="str"/>
      <x:c r="L106" s="56" t="str"/>
      <x:c r="M106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07">
      <x:c r="A107" s="56" t="str">
        <x:v>P010</x:v>
      </x:c>
      <x:c r="B107" s="56" t="str">
        <x:v>P010</x:v>
      </x:c>
      <x:c r="C107" s="56" t="str">
        <x:v>occupationalExposure</x:v>
      </x:c>
      <x:c r="D107" s="56" t="str">
        <x:v>{"status":"absent","patientAnswerZh":"工作中没有接触染料、橡胶、皮革、化工或重金属。","patientAnswerEn":"I have not worked with dyes, rubber, leather, industrial chemicals, or heavy metals.","provenance":"author_added_for_simulation","teacherReviewRequired":true}</x:v>
      </x:c>
      <x:c r="E107" s="56" t="str">
        <x:v>author_added_for_simulation</x:v>
      </x:c>
      <x:c r="F107" s="56" t="str">
        <x:v>是</x:v>
      </x:c>
      <x:c r="G107" s="56" t="str">
        <x:v>程序未检出确定性冲突；仍待语义复核</x:v>
      </x:c>
      <x:c r="H107" s="56" t="str">
        <x:v>可能</x:v>
      </x:c>
      <x:c r="I107" s="56" t="str">
        <x:v>是</x:v>
      </x:c>
      <x:c r="J107" s="59" t="str">
        <x:v>待确认</x:v>
      </x:c>
      <x:c r="K107" s="56" t="str"/>
      <x:c r="L107" s="56" t="str"/>
      <x:c r="M107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08">
      <x:c r="A108" s="56" t="str">
        <x:v>P010</x:v>
      </x:c>
      <x:c r="B108" s="56" t="str">
        <x:v>P010</x:v>
      </x:c>
      <x:c r="C108" s="56" t="str">
        <x:v>hypertension</x:v>
      </x:c>
      <x:c r="D108" s="56" t="str">
        <x:v>{"status":"absent","patientAnswerZh":"没有高血压。","patientAnswerEn":"I do not have hypertension.","provenance":"author_added_for_simulation","teacherReviewRequired":true}</x:v>
      </x:c>
      <x:c r="E108" s="56" t="str">
        <x:v>author_added_for_simulation</x:v>
      </x:c>
      <x:c r="F108" s="56" t="str">
        <x:v>是</x:v>
      </x:c>
      <x:c r="G108" s="56" t="str">
        <x:v>程序未检出确定性冲突；仍待语义复核</x:v>
      </x:c>
      <x:c r="H108" s="56" t="str">
        <x:v>待确认</x:v>
      </x:c>
      <x:c r="I108" s="56" t="str">
        <x:v>是</x:v>
      </x:c>
      <x:c r="J108" s="59" t="str">
        <x:v>待确认</x:v>
      </x:c>
      <x:c r="K108" s="56" t="str"/>
      <x:c r="L108" s="56" t="str"/>
      <x:c r="M108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09">
      <x:c r="A109" s="56" t="str">
        <x:v>P010</x:v>
      </x:c>
      <x:c r="B109" s="56" t="str">
        <x:v>P010</x:v>
      </x:c>
      <x:c r="C109" s="56" t="str">
        <x:v>stroke</x:v>
      </x:c>
      <x:c r="D109" s="56" t="str">
        <x:v>{"status":"absent","patientAnswerZh":"没有脑卒中。","patientAnswerEn":"I do not have stroke.","provenance":"author_added_for_simulation","teacherReviewRequired":true}</x:v>
      </x:c>
      <x:c r="E109" s="56" t="str">
        <x:v>author_added_for_simulation</x:v>
      </x:c>
      <x:c r="F109" s="56" t="str">
        <x:v>是</x:v>
      </x:c>
      <x:c r="G109" s="56" t="str">
        <x:v>程序未检出确定性冲突；仍待语义复核</x:v>
      </x:c>
      <x:c r="H109" s="56" t="str">
        <x:v>待确认</x:v>
      </x:c>
      <x:c r="I109" s="56" t="str">
        <x:v>待确认</x:v>
      </x:c>
      <x:c r="J109" s="59" t="str">
        <x:v>待确认</x:v>
      </x:c>
      <x:c r="K109" s="56" t="str"/>
      <x:c r="L109" s="56" t="str"/>
      <x:c r="M109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10">
      <x:c r="A110" s="56" t="str">
        <x:v>P010</x:v>
      </x:c>
      <x:c r="B110" s="56" t="str">
        <x:v>P010</x:v>
      </x:c>
      <x:c r="C110" s="56" t="str">
        <x:v>malignancyHistory</x:v>
      </x:c>
      <x:c r="D110" s="56" t="str">
        <x:v>{"status":"absent","patientAnswerZh":"以前没有得过肿瘤。","patientAnswerEn":"I have no previous history of cancer.","provenance":"author_added_for_simulation","teacherReviewRequired":true}</x:v>
      </x:c>
      <x:c r="E110" s="56" t="str">
        <x:v>author_added_for_simulation</x:v>
      </x:c>
      <x:c r="F110" s="56" t="str">
        <x:v>是</x:v>
      </x:c>
      <x:c r="G110" s="56" t="str">
        <x:v>程序未检出确定性冲突；仍待语义复核</x:v>
      </x:c>
      <x:c r="H110" s="56" t="str">
        <x:v>可能</x:v>
      </x:c>
      <x:c r="I110" s="56" t="str">
        <x:v>待确认</x:v>
      </x:c>
      <x:c r="J110" s="59" t="str">
        <x:v>待确认</x:v>
      </x:c>
      <x:c r="K110" s="56" t="str"/>
      <x:c r="L110" s="56" t="str"/>
      <x:c r="M110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11">
      <x:c r="A111" s="56" t="str">
        <x:v>P010</x:v>
      </x:c>
      <x:c r="B111" s="56" t="str">
        <x:v>P010</x:v>
      </x:c>
      <x:c r="C111" s="56" t="str">
        <x:v>traumaHistory</x:v>
      </x:c>
      <x:c r="D111" s="56" t="str">
        <x:v>{"status":"absent","patientAnswerZh":"近期没有相关外伤。","patientAnswerEn":"I have not had relevant trauma.","provenance":"author_added_for_simulation","teacherReviewRequired":true}</x:v>
      </x:c>
      <x:c r="E111" s="56" t="str">
        <x:v>author_added_for_simulation</x:v>
      </x:c>
      <x:c r="F111" s="56" t="str">
        <x:v>是</x:v>
      </x:c>
      <x:c r="G111" s="56" t="str">
        <x:v>程序未检出确定性冲突；仍待语义复核</x:v>
      </x:c>
      <x:c r="H111" s="56" t="str">
        <x:v>可能</x:v>
      </x:c>
      <x:c r="I111" s="56" t="str">
        <x:v>是</x:v>
      </x:c>
      <x:c r="J111" s="59" t="str">
        <x:v>待确认</x:v>
      </x:c>
      <x:c r="K111" s="56" t="str"/>
      <x:c r="L111" s="56" t="str"/>
      <x:c r="M111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12">
      <x:c r="A112" s="56" t="str">
        <x:v>P010</x:v>
      </x:c>
      <x:c r="B112" s="56" t="str">
        <x:v>P010</x:v>
      </x:c>
      <x:c r="C112" s="56" t="str">
        <x:v>urinaryProcedureHistory</x:v>
      </x:c>
      <x:c r="D112" s="56" t="str">
        <x:v>{"status":"absent","patientAnswerZh":"以前没有做过导尿、膀胱镜等泌尿操作。","patientAnswerEn":"I have not had catheterization, cystoscopy, or other urinary procedures.","provenance":"author_added_for_simulation","teacherReviewRequired":true}</x:v>
      </x:c>
      <x:c r="E112" s="56" t="str">
        <x:v>author_added_for_simulation</x:v>
      </x:c>
      <x:c r="F112" s="56" t="str">
        <x:v>是</x:v>
      </x:c>
      <x:c r="G112" s="56" t="str">
        <x:v>程序未检出确定性冲突；仍待语义复核</x:v>
      </x:c>
      <x:c r="H112" s="56" t="str">
        <x:v>待确认</x:v>
      </x:c>
      <x:c r="I112" s="56" t="str">
        <x:v>待确认</x:v>
      </x:c>
      <x:c r="J112" s="59" t="str">
        <x:v>待确认</x:v>
      </x:c>
      <x:c r="K112" s="56" t="str"/>
      <x:c r="L112" s="56" t="str"/>
      <x:c r="M112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13">
      <x:c r="A113" s="56" t="str">
        <x:v>P010</x:v>
      </x:c>
      <x:c r="B113" s="56" t="str">
        <x:v>P010</x:v>
      </x:c>
      <x:c r="C113" s="56" t="str">
        <x:v>surgeryHistory</x:v>
      </x:c>
      <x:c r="D113" s="56" t="str">
        <x:v>{"status":"absent","patientAnswerZh":"我以前没有做过手术。","patientAnswerEn":"I have never had surgery.","provenance":"author_added_for_simulation","teacherReviewRequired":true}</x:v>
      </x:c>
      <x:c r="E113" s="56" t="str">
        <x:v>author_added_for_simulation</x:v>
      </x:c>
      <x:c r="F113" s="56" t="str">
        <x:v>是</x:v>
      </x:c>
      <x:c r="G113" s="56" t="str">
        <x:v>程序未检出确定性冲突；仍待语义复核</x:v>
      </x:c>
      <x:c r="H113" s="56" t="str">
        <x:v>待确认</x:v>
      </x:c>
      <x:c r="I113" s="56" t="str">
        <x:v>是</x:v>
      </x:c>
      <x:c r="J113" s="59" t="str">
        <x:v>待确认</x:v>
      </x:c>
      <x:c r="K113" s="56" t="str"/>
      <x:c r="L113" s="56" t="str"/>
      <x:c r="M113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14">
      <x:c r="A114" s="56" t="str">
        <x:v>P010</x:v>
      </x:c>
      <x:c r="B114" s="56" t="str">
        <x:v>P010</x:v>
      </x:c>
      <x:c r="C114" s="56" t="str">
        <x:v>transfusionHistory</x:v>
      </x:c>
      <x:c r="D114" s="56" t="str">
        <x:v>{"status":"absent","patientAnswerZh":"我以前没有输过血。","patientAnswerEn":"I have never had a blood transfusion.","provenance":"author_added_for_simulation","teacherReviewRequired":true}</x:v>
      </x:c>
      <x:c r="E114" s="56" t="str">
        <x:v>author_added_for_simulation</x:v>
      </x:c>
      <x:c r="F114" s="56" t="str">
        <x:v>是</x:v>
      </x:c>
      <x:c r="G114" s="56" t="str">
        <x:v>程序未检出确定性冲突；仍待语义复核</x:v>
      </x:c>
      <x:c r="H114" s="56" t="str">
        <x:v>待确认</x:v>
      </x:c>
      <x:c r="I114" s="56" t="str">
        <x:v>待确认</x:v>
      </x:c>
      <x:c r="J114" s="59" t="str">
        <x:v>待确认</x:v>
      </x:c>
      <x:c r="K114" s="56" t="str"/>
      <x:c r="L114" s="56" t="str"/>
      <x:c r="M114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15">
      <x:c r="A115" s="56" t="str">
        <x:v>P010</x:v>
      </x:c>
      <x:c r="B115" s="56" t="str">
        <x:v>P010</x:v>
      </x:c>
      <x:c r="C115" s="56" t="str">
        <x:v>anticoagulantUse</x:v>
      </x:c>
      <x:c r="D115" s="56" t="str">
        <x:v>{"status":"absent","patientAnswerZh":"我没有服用华法林、利伐沙班等抗凝药。","patientAnswerEn":"I do not take anticoagulants.","provenance":"author_added_for_simulation","teacherReviewRequired":true}</x:v>
      </x:c>
      <x:c r="E115" s="56" t="str">
        <x:v>author_added_for_simulation</x:v>
      </x:c>
      <x:c r="F115" s="56" t="str">
        <x:v>是</x:v>
      </x:c>
      <x:c r="G115" s="56" t="str">
        <x:v>程序未检出确定性冲突；仍待语义复核</x:v>
      </x:c>
      <x:c r="H115" s="56" t="str">
        <x:v>可能</x:v>
      </x:c>
      <x:c r="I115" s="56" t="str">
        <x:v>是</x:v>
      </x:c>
      <x:c r="J115" s="59" t="str">
        <x:v>待确认</x:v>
      </x:c>
      <x:c r="K115" s="56" t="str"/>
      <x:c r="L115" s="56" t="str"/>
      <x:c r="M115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16">
      <x:c r="A116" s="56" t="str">
        <x:v>P010</x:v>
      </x:c>
      <x:c r="B116" s="56" t="str">
        <x:v>P010</x:v>
      </x:c>
      <x:c r="C116" s="56" t="str">
        <x:v>antiplateletUse</x:v>
      </x:c>
      <x:c r="D116" s="56" t="str">
        <x:v>{"status":"absent","patientAnswerZh":"我没有服用阿司匹林或氯吡格雷。","patientAnswerEn":"I do not take antiplatelet medication.","provenance":"author_added_for_simulation","teacherReviewRequired":true}</x:v>
      </x:c>
      <x:c r="E116" s="56" t="str">
        <x:v>author_added_for_simulation</x:v>
      </x:c>
      <x:c r="F116" s="56" t="str">
        <x:v>是</x:v>
      </x:c>
      <x:c r="G116" s="56" t="str">
        <x:v>程序未检出确定性冲突；仍待语义复核</x:v>
      </x:c>
      <x:c r="H116" s="56" t="str">
        <x:v>可能</x:v>
      </x:c>
      <x:c r="I116" s="56" t="str">
        <x:v>是</x:v>
      </x:c>
      <x:c r="J116" s="59" t="str">
        <x:v>待确认</x:v>
      </x:c>
      <x:c r="K116" s="56" t="str"/>
      <x:c r="L116" s="56" t="str"/>
      <x:c r="M116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17">
      <x:c r="A117" s="56" t="str">
        <x:v>P011</x:v>
      </x:c>
      <x:c r="B117" s="56" t="str">
        <x:v>P011</x:v>
      </x:c>
      <x:c r="C117" s="56" t="str">
        <x:v>smokingHistory</x:v>
      </x:c>
      <x:c r="D117" s="56" t="str">
        <x:v>{"status":"never","cigarettesPerDay":0,"years":0,"quitYears":0,"packYears":0,"patientAnswerZh":"我不吸烟。","patientAnswerEn":"I do not smoke.","provenance":"author_added_for_simulation","teacherReviewRequired":true}</x:v>
      </x:c>
      <x:c r="E117" s="56" t="str">
        <x:v>author_added_for_simulation</x:v>
      </x:c>
      <x:c r="F117" s="56" t="str">
        <x:v>是</x:v>
      </x:c>
      <x:c r="G117" s="56" t="str">
        <x:v>程序未检出确定性冲突；仍待语义复核</x:v>
      </x:c>
      <x:c r="H117" s="56" t="str">
        <x:v>可能</x:v>
      </x:c>
      <x:c r="I117" s="56" t="str">
        <x:v>是</x:v>
      </x:c>
      <x:c r="J117" s="59" t="str">
        <x:v>待确认</x:v>
      </x:c>
      <x:c r="K117" s="56" t="str"/>
      <x:c r="L117" s="56" t="str"/>
      <x:c r="M117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18">
      <x:c r="A118" s="56" t="str">
        <x:v>P011</x:v>
      </x:c>
      <x:c r="B118" s="56" t="str">
        <x:v>P011</x:v>
      </x:c>
      <x:c r="C118" s="56" t="str">
        <x:v>alcoholHistory</x:v>
      </x:c>
      <x:c r="D118" s="56" t="str">
        <x:v>{"status":"never","type":"","amount":"0","frequency":"never","years":0,"patientAnswerZh":"我平时不喝酒。","patientAnswerEn":"I do not drink alcohol.","provenance":"author_added_for_simulation","teacherReviewRequired":true}</x:v>
      </x:c>
      <x:c r="E118" s="56" t="str">
        <x:v>author_added_for_simulation</x:v>
      </x:c>
      <x:c r="F118" s="56" t="str">
        <x:v>是</x:v>
      </x:c>
      <x:c r="G118" s="56" t="str">
        <x:v>程序未检出确定性冲突；仍待语义复核</x:v>
      </x:c>
      <x:c r="H118" s="56" t="str">
        <x:v>待确认</x:v>
      </x:c>
      <x:c r="I118" s="56" t="str">
        <x:v>待确认</x:v>
      </x:c>
      <x:c r="J118" s="59" t="str">
        <x:v>待确认</x:v>
      </x:c>
      <x:c r="K118" s="56" t="str"/>
      <x:c r="L118" s="56" t="str"/>
      <x:c r="M118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19">
      <x:c r="A119" s="56" t="str">
        <x:v>P011</x:v>
      </x:c>
      <x:c r="B119" s="56" t="str">
        <x:v>P011</x:v>
      </x:c>
      <x:c r="C119" s="56" t="str">
        <x:v>occupation</x:v>
      </x:c>
      <x:c r="D119" s="56" t="str">
        <x:v>{"status":"absent","patientAnswerZh":"我做普通工作。","patientAnswerEn":"I have a regular job.","provenance":"author_added_for_simulation","teacherReviewRequired":true}</x:v>
      </x:c>
      <x:c r="E119" s="56" t="str">
        <x:v>author_added_for_simulation</x:v>
      </x:c>
      <x:c r="F119" s="56" t="str">
        <x:v>是</x:v>
      </x:c>
      <x:c r="G119" s="56" t="str">
        <x:v>程序未检出确定性冲突；仍待语义复核</x:v>
      </x:c>
      <x:c r="H119" s="56" t="str">
        <x:v>可能</x:v>
      </x:c>
      <x:c r="I119" s="56" t="str">
        <x:v>是</x:v>
      </x:c>
      <x:c r="J119" s="59" t="str">
        <x:v>待确认</x:v>
      </x:c>
      <x:c r="K119" s="56" t="str"/>
      <x:c r="L119" s="56" t="str"/>
      <x:c r="M119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20">
      <x:c r="A120" s="56" t="str">
        <x:v>P011</x:v>
      </x:c>
      <x:c r="B120" s="56" t="str">
        <x:v>P011</x:v>
      </x:c>
      <x:c r="C120" s="56" t="str">
        <x:v>occupationalExposure</x:v>
      </x:c>
      <x:c r="D120" s="56" t="str">
        <x:v>{"status":"absent","patientAnswerZh":"工作中没有接触染料、橡胶、皮革、化工或重金属。","patientAnswerEn":"I have not worked with dyes, rubber, leather, industrial chemicals, or heavy metals.","provenance":"author_added_for_simulation","teacherReviewRequired":true}</x:v>
      </x:c>
      <x:c r="E120" s="56" t="str">
        <x:v>author_added_for_simulation</x:v>
      </x:c>
      <x:c r="F120" s="56" t="str">
        <x:v>是</x:v>
      </x:c>
      <x:c r="G120" s="56" t="str">
        <x:v>程序未检出确定性冲突；仍待语义复核</x:v>
      </x:c>
      <x:c r="H120" s="56" t="str">
        <x:v>可能</x:v>
      </x:c>
      <x:c r="I120" s="56" t="str">
        <x:v>是</x:v>
      </x:c>
      <x:c r="J120" s="59" t="str">
        <x:v>待确认</x:v>
      </x:c>
      <x:c r="K120" s="56" t="str"/>
      <x:c r="L120" s="56" t="str"/>
      <x:c r="M120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21">
      <x:c r="A121" s="56" t="str">
        <x:v>P011</x:v>
      </x:c>
      <x:c r="B121" s="56" t="str">
        <x:v>P011</x:v>
      </x:c>
      <x:c r="C121" s="56" t="str">
        <x:v>coronaryDisease</x:v>
      </x:c>
      <x:c r="D121" s="56" t="str">
        <x:v>{"status":"absent","patientAnswerZh":"没有冠心病。","patientAnswerEn":"I do not have coronary heart disease.","provenance":"author_added_for_simulation","teacherReviewRequired":true}</x:v>
      </x:c>
      <x:c r="E121" s="56" t="str">
        <x:v>author_added_for_simulation</x:v>
      </x:c>
      <x:c r="F121" s="56" t="str">
        <x:v>是</x:v>
      </x:c>
      <x:c r="G121" s="56" t="str">
        <x:v>程序未检出确定性冲突；仍待语义复核</x:v>
      </x:c>
      <x:c r="H121" s="56" t="str">
        <x:v>待确认</x:v>
      </x:c>
      <x:c r="I121" s="56" t="str">
        <x:v>待确认</x:v>
      </x:c>
      <x:c r="J121" s="59" t="str">
        <x:v>待确认</x:v>
      </x:c>
      <x:c r="K121" s="56" t="str"/>
      <x:c r="L121" s="56" t="str"/>
      <x:c r="M121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22">
      <x:c r="A122" s="56" t="str">
        <x:v>P011</x:v>
      </x:c>
      <x:c r="B122" s="56" t="str">
        <x:v>P011</x:v>
      </x:c>
      <x:c r="C122" s="56" t="str">
        <x:v>stroke</x:v>
      </x:c>
      <x:c r="D122" s="56" t="str">
        <x:v>{"status":"absent","patientAnswerZh":"没有脑卒中。","patientAnswerEn":"I do not have stroke.","provenance":"author_added_for_simulation","teacherReviewRequired":true}</x:v>
      </x:c>
      <x:c r="E122" s="56" t="str">
        <x:v>author_added_for_simulation</x:v>
      </x:c>
      <x:c r="F122" s="56" t="str">
        <x:v>是</x:v>
      </x:c>
      <x:c r="G122" s="56" t="str">
        <x:v>程序未检出确定性冲突；仍待语义复核</x:v>
      </x:c>
      <x:c r="H122" s="56" t="str">
        <x:v>待确认</x:v>
      </x:c>
      <x:c r="I122" s="56" t="str">
        <x:v>待确认</x:v>
      </x:c>
      <x:c r="J122" s="59" t="str">
        <x:v>待确认</x:v>
      </x:c>
      <x:c r="K122" s="56" t="str"/>
      <x:c r="L122" s="56" t="str"/>
      <x:c r="M122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23">
      <x:c r="A123" s="56" t="str">
        <x:v>P011</x:v>
      </x:c>
      <x:c r="B123" s="56" t="str">
        <x:v>P011</x:v>
      </x:c>
      <x:c r="C123" s="56" t="str">
        <x:v>stoneHistory</x:v>
      </x:c>
      <x:c r="D123" s="56" t="str">
        <x:v>{"status":"absent","patientAnswerZh":"以前没有得过泌尿系结石。","patientAnswerEn":"I have never had urinary stones.","provenance":"author_added_for_simulation","teacherReviewRequired":true}</x:v>
      </x:c>
      <x:c r="E123" s="56" t="str">
        <x:v>author_added_for_simulation</x:v>
      </x:c>
      <x:c r="F123" s="56" t="str">
        <x:v>是</x:v>
      </x:c>
      <x:c r="G123" s="56" t="str">
        <x:v>程序未检出确定性冲突；仍待语义复核</x:v>
      </x:c>
      <x:c r="H123" s="56" t="str">
        <x:v>可能</x:v>
      </x:c>
      <x:c r="I123" s="56" t="str">
        <x:v>是</x:v>
      </x:c>
      <x:c r="J123" s="59" t="str">
        <x:v>待确认</x:v>
      </x:c>
      <x:c r="K123" s="56" t="str"/>
      <x:c r="L123" s="56" t="str"/>
      <x:c r="M123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24">
      <x:c r="A124" s="56" t="str">
        <x:v>P011</x:v>
      </x:c>
      <x:c r="B124" s="56" t="str">
        <x:v>P011</x:v>
      </x:c>
      <x:c r="C124" s="56" t="str">
        <x:v>urinaryInfectionHistory</x:v>
      </x:c>
      <x:c r="D124" s="56" t="str">
        <x:v>{"status":"absent","patientAnswerZh":"以前没有反复尿路感染。","patientAnswerEn":"I have no history of recurrent urinary tract infection.","provenance":"author_added_for_simulation","teacherReviewRequired":true}</x:v>
      </x:c>
      <x:c r="E124" s="56" t="str">
        <x:v>author_added_for_simulation</x:v>
      </x:c>
      <x:c r="F124" s="56" t="str">
        <x:v>是</x:v>
      </x:c>
      <x:c r="G124" s="56" t="str">
        <x:v>程序未检出确定性冲突；仍待语义复核</x:v>
      </x:c>
      <x:c r="H124" s="56" t="str">
        <x:v>可能</x:v>
      </x:c>
      <x:c r="I124" s="56" t="str">
        <x:v>是</x:v>
      </x:c>
      <x:c r="J124" s="59" t="str">
        <x:v>待确认</x:v>
      </x:c>
      <x:c r="K124" s="56" t="str"/>
      <x:c r="L124" s="56" t="str"/>
      <x:c r="M124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25">
      <x:c r="A125" s="56" t="str">
        <x:v>P011</x:v>
      </x:c>
      <x:c r="B125" s="56" t="str">
        <x:v>P011</x:v>
      </x:c>
      <x:c r="C125" s="56" t="str">
        <x:v>malignancyHistory</x:v>
      </x:c>
      <x:c r="D125" s="56" t="str">
        <x:v>{"status":"absent","patientAnswerZh":"以前没有得过肿瘤。","patientAnswerEn":"I have no previous history of cancer.","provenance":"author_added_for_simulation","teacherReviewRequired":true}</x:v>
      </x:c>
      <x:c r="E125" s="56" t="str">
        <x:v>author_added_for_simulation</x:v>
      </x:c>
      <x:c r="F125" s="56" t="str">
        <x:v>是</x:v>
      </x:c>
      <x:c r="G125" s="56" t="str">
        <x:v>程序未检出确定性冲突；仍待语义复核</x:v>
      </x:c>
      <x:c r="H125" s="56" t="str">
        <x:v>可能</x:v>
      </x:c>
      <x:c r="I125" s="56" t="str">
        <x:v>待确认</x:v>
      </x:c>
      <x:c r="J125" s="59" t="str">
        <x:v>待确认</x:v>
      </x:c>
      <x:c r="K125" s="56" t="str"/>
      <x:c r="L125" s="56" t="str"/>
      <x:c r="M125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26">
      <x:c r="A126" s="56" t="str">
        <x:v>P011</x:v>
      </x:c>
      <x:c r="B126" s="56" t="str">
        <x:v>P011</x:v>
      </x:c>
      <x:c r="C126" s="56" t="str">
        <x:v>traumaHistory</x:v>
      </x:c>
      <x:c r="D126" s="56" t="str">
        <x:v>{"status":"absent","patientAnswerZh":"近期没有相关外伤。","patientAnswerEn":"I have not had relevant trauma.","provenance":"author_added_for_simulation","teacherReviewRequired":true}</x:v>
      </x:c>
      <x:c r="E126" s="56" t="str">
        <x:v>author_added_for_simulation</x:v>
      </x:c>
      <x:c r="F126" s="56" t="str">
        <x:v>是</x:v>
      </x:c>
      <x:c r="G126" s="56" t="str">
        <x:v>程序未检出确定性冲突；仍待语义复核</x:v>
      </x:c>
      <x:c r="H126" s="56" t="str">
        <x:v>可能</x:v>
      </x:c>
      <x:c r="I126" s="56" t="str">
        <x:v>是</x:v>
      </x:c>
      <x:c r="J126" s="59" t="str">
        <x:v>待确认</x:v>
      </x:c>
      <x:c r="K126" s="56" t="str"/>
      <x:c r="L126" s="56" t="str"/>
      <x:c r="M126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27">
      <x:c r="A127" s="56" t="str">
        <x:v>P011</x:v>
      </x:c>
      <x:c r="B127" s="56" t="str">
        <x:v>P011</x:v>
      </x:c>
      <x:c r="C127" s="56" t="str">
        <x:v>urinaryProcedureHistory</x:v>
      </x:c>
      <x:c r="D127" s="56" t="str">
        <x:v>{"status":"absent","patientAnswerZh":"以前没有做过导尿、膀胱镜等泌尿操作。","patientAnswerEn":"I have not had catheterization, cystoscopy, or other urinary procedures.","provenance":"author_added_for_simulation","teacherReviewRequired":true}</x:v>
      </x:c>
      <x:c r="E127" s="56" t="str">
        <x:v>author_added_for_simulation</x:v>
      </x:c>
      <x:c r="F127" s="56" t="str">
        <x:v>是</x:v>
      </x:c>
      <x:c r="G127" s="56" t="str">
        <x:v>程序未检出确定性冲突；仍待语义复核</x:v>
      </x:c>
      <x:c r="H127" s="56" t="str">
        <x:v>待确认</x:v>
      </x:c>
      <x:c r="I127" s="56" t="str">
        <x:v>待确认</x:v>
      </x:c>
      <x:c r="J127" s="59" t="str">
        <x:v>待确认</x:v>
      </x:c>
      <x:c r="K127" s="56" t="str"/>
      <x:c r="L127" s="56" t="str"/>
      <x:c r="M127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28">
      <x:c r="A128" s="56" t="str">
        <x:v>P011</x:v>
      </x:c>
      <x:c r="B128" s="56" t="str">
        <x:v>P011</x:v>
      </x:c>
      <x:c r="C128" s="56" t="str">
        <x:v>surgeryHistory</x:v>
      </x:c>
      <x:c r="D128" s="56" t="str">
        <x:v>{"status":"absent","patientAnswerZh":"我以前没有做过手术。","patientAnswerEn":"I have never had surgery.","provenance":"author_added_for_simulation","teacherReviewRequired":true}</x:v>
      </x:c>
      <x:c r="E128" s="56" t="str">
        <x:v>author_added_for_simulation</x:v>
      </x:c>
      <x:c r="F128" s="56" t="str">
        <x:v>是</x:v>
      </x:c>
      <x:c r="G128" s="56" t="str">
        <x:v>程序未检出确定性冲突；仍待语义复核</x:v>
      </x:c>
      <x:c r="H128" s="56" t="str">
        <x:v>待确认</x:v>
      </x:c>
      <x:c r="I128" s="56" t="str">
        <x:v>是</x:v>
      </x:c>
      <x:c r="J128" s="59" t="str">
        <x:v>待确认</x:v>
      </x:c>
      <x:c r="K128" s="56" t="str"/>
      <x:c r="L128" s="56" t="str"/>
      <x:c r="M128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29">
      <x:c r="A129" s="56" t="str">
        <x:v>P011</x:v>
      </x:c>
      <x:c r="B129" s="56" t="str">
        <x:v>P011</x:v>
      </x:c>
      <x:c r="C129" s="56" t="str">
        <x:v>anticoagulantUse</x:v>
      </x:c>
      <x:c r="D129" s="56" t="str">
        <x:v>{"status":"absent","patientAnswerZh":"我没有服用华法林、利伐沙班等抗凝药。","patientAnswerEn":"I do not take anticoagulants.","provenance":"author_added_for_simulation","teacherReviewRequired":true}</x:v>
      </x:c>
      <x:c r="E129" s="56" t="str">
        <x:v>author_added_for_simulation</x:v>
      </x:c>
      <x:c r="F129" s="56" t="str">
        <x:v>是</x:v>
      </x:c>
      <x:c r="G129" s="56" t="str">
        <x:v>程序未检出确定性冲突；仍待语义复核</x:v>
      </x:c>
      <x:c r="H129" s="56" t="str">
        <x:v>可能</x:v>
      </x:c>
      <x:c r="I129" s="56" t="str">
        <x:v>是</x:v>
      </x:c>
      <x:c r="J129" s="59" t="str">
        <x:v>待确认</x:v>
      </x:c>
      <x:c r="K129" s="56" t="str"/>
      <x:c r="L129" s="56" t="str"/>
      <x:c r="M129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30">
      <x:c r="A130" s="56" t="str">
        <x:v>P011</x:v>
      </x:c>
      <x:c r="B130" s="56" t="str">
        <x:v>P011</x:v>
      </x:c>
      <x:c r="C130" s="56" t="str">
        <x:v>antiplateletUse</x:v>
      </x:c>
      <x:c r="D130" s="56" t="str">
        <x:v>{"status":"absent","patientAnswerZh":"我没有服用阿司匹林或氯吡格雷。","patientAnswerEn":"I do not take antiplatelet medication.","provenance":"author_added_for_simulation","teacherReviewRequired":true}</x:v>
      </x:c>
      <x:c r="E130" s="56" t="str">
        <x:v>author_added_for_simulation</x:v>
      </x:c>
      <x:c r="F130" s="56" t="str">
        <x:v>是</x:v>
      </x:c>
      <x:c r="G130" s="56" t="str">
        <x:v>程序未检出确定性冲突；仍待语义复核</x:v>
      </x:c>
      <x:c r="H130" s="56" t="str">
        <x:v>可能</x:v>
      </x:c>
      <x:c r="I130" s="56" t="str">
        <x:v>是</x:v>
      </x:c>
      <x:c r="J130" s="59" t="str">
        <x:v>待确认</x:v>
      </x:c>
      <x:c r="K130" s="56" t="str"/>
      <x:c r="L130" s="56" t="str"/>
      <x:c r="M130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31">
      <x:c r="A131" s="56" t="str">
        <x:v>P011</x:v>
      </x:c>
      <x:c r="B131" s="56" t="str">
        <x:v>P011</x:v>
      </x:c>
      <x:c r="C131" s="56" t="str">
        <x:v>menstrualHistory</x:v>
      </x:c>
      <x:c r="D131" s="56" t="str">
        <x:v>{"status":"absent","patientAnswerZh":"月经情况正常，这次尿色异常不是在月经期。","patientAnswerEn":"My periods are regular, and this episode did not occur during menstruation.","provenance":"author_added_for_simulation","teacherReviewRequired":true}</x:v>
      </x:c>
      <x:c r="E131" s="56" t="str">
        <x:v>author_added_for_simulation</x:v>
      </x:c>
      <x:c r="F131" s="56" t="str">
        <x:v>是</x:v>
      </x:c>
      <x:c r="G131" s="56" t="str">
        <x:v>程序未检出确定性冲突；仍待语义复核</x:v>
      </x:c>
      <x:c r="H131" s="56" t="str">
        <x:v>可能</x:v>
      </x:c>
      <x:c r="I131" s="56" t="str">
        <x:v>待确认</x:v>
      </x:c>
      <x:c r="J131" s="59" t="str">
        <x:v>待确认</x:v>
      </x:c>
      <x:c r="K131" s="56" t="str"/>
      <x:c r="L131" s="56" t="str"/>
      <x:c r="M131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32">
      <x:c r="A132" s="56" t="str">
        <x:v>P011</x:v>
      </x:c>
      <x:c r="B132" s="56" t="str">
        <x:v>P011</x:v>
      </x:c>
      <x:c r="C132" s="56" t="str">
        <x:v>pregnancyHistory</x:v>
      </x:c>
      <x:c r="D132" s="56" t="str">
        <x:v>{"status":"absent","patientAnswerZh":"目前没有怀孕。","patientAnswerEn":"I am not currently pregnant.","provenance":"author_added_for_simulation","teacherReviewRequired":true}</x:v>
      </x:c>
      <x:c r="E132" s="56" t="str">
        <x:v>author_added_for_simulation</x:v>
      </x:c>
      <x:c r="F132" s="56" t="str">
        <x:v>是</x:v>
      </x:c>
      <x:c r="G132" s="56" t="str">
        <x:v>程序未检出确定性冲突；仍待语义复核</x:v>
      </x:c>
      <x:c r="H132" s="56" t="str">
        <x:v>可能</x:v>
      </x:c>
      <x:c r="I132" s="56" t="str">
        <x:v>待确认</x:v>
      </x:c>
      <x:c r="J132" s="59" t="str">
        <x:v>待确认</x:v>
      </x:c>
      <x:c r="K132" s="56" t="str"/>
      <x:c r="L132" s="56" t="str"/>
      <x:c r="M132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33">
      <x:c r="A133" s="56" t="str">
        <x:v>P012</x:v>
      </x:c>
      <x:c r="B133" s="56" t="str">
        <x:v>P012</x:v>
      </x:c>
      <x:c r="C133" s="56" t="str">
        <x:v>smokingHistory</x:v>
      </x:c>
      <x:c r="D133" s="56" t="str">
        <x:v>{"status":"never","cigarettesPerDay":0,"years":0,"quitYears":0,"packYears":0,"patientAnswerZh":"我不吸烟。","patientAnswerEn":"I do not smoke.","provenance":"author_added_for_simulation","teacherReviewRequired":true}</x:v>
      </x:c>
      <x:c r="E133" s="56" t="str">
        <x:v>author_added_for_simulation</x:v>
      </x:c>
      <x:c r="F133" s="56" t="str">
        <x:v>是</x:v>
      </x:c>
      <x:c r="G133" s="56" t="str">
        <x:v>程序未检出确定性冲突；仍待语义复核</x:v>
      </x:c>
      <x:c r="H133" s="56" t="str">
        <x:v>可能</x:v>
      </x:c>
      <x:c r="I133" s="56" t="str">
        <x:v>是</x:v>
      </x:c>
      <x:c r="J133" s="59" t="str">
        <x:v>待确认</x:v>
      </x:c>
      <x:c r="K133" s="56" t="str"/>
      <x:c r="L133" s="56" t="str"/>
      <x:c r="M133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34">
      <x:c r="A134" s="56" t="str">
        <x:v>P012</x:v>
      </x:c>
      <x:c r="B134" s="56" t="str">
        <x:v>P012</x:v>
      </x:c>
      <x:c r="C134" s="56" t="str">
        <x:v>alcoholHistory</x:v>
      </x:c>
      <x:c r="D134" s="56" t="str">
        <x:v>{"status":"never","type":"","amount":"0","frequency":"never","years":0,"patientAnswerZh":"我平时不喝酒。","patientAnswerEn":"I do not drink alcohol.","provenance":"author_added_for_simulation","teacherReviewRequired":true}</x:v>
      </x:c>
      <x:c r="E134" s="56" t="str">
        <x:v>author_added_for_simulation</x:v>
      </x:c>
      <x:c r="F134" s="56" t="str">
        <x:v>是</x:v>
      </x:c>
      <x:c r="G134" s="56" t="str">
        <x:v>程序未检出确定性冲突；仍待语义复核</x:v>
      </x:c>
      <x:c r="H134" s="56" t="str">
        <x:v>待确认</x:v>
      </x:c>
      <x:c r="I134" s="56" t="str">
        <x:v>待确认</x:v>
      </x:c>
      <x:c r="J134" s="59" t="str">
        <x:v>待确认</x:v>
      </x:c>
      <x:c r="K134" s="56" t="str"/>
      <x:c r="L134" s="56" t="str"/>
      <x:c r="M134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35">
      <x:c r="A135" s="56" t="str">
        <x:v>P012</x:v>
      </x:c>
      <x:c r="B135" s="56" t="str">
        <x:v>P012</x:v>
      </x:c>
      <x:c r="C135" s="56" t="str">
        <x:v>occupation</x:v>
      </x:c>
      <x:c r="D135" s="56" t="str">
        <x:v>{"status":"absent","patientAnswerZh":"我做普通工作。","patientAnswerEn":"I have a regular job.","provenance":"author_added_for_simulation","teacherReviewRequired":true}</x:v>
      </x:c>
      <x:c r="E135" s="56" t="str">
        <x:v>author_added_for_simulation</x:v>
      </x:c>
      <x:c r="F135" s="56" t="str">
        <x:v>是</x:v>
      </x:c>
      <x:c r="G135" s="56" t="str">
        <x:v>程序未检出确定性冲突；仍待语义复核</x:v>
      </x:c>
      <x:c r="H135" s="56" t="str">
        <x:v>可能</x:v>
      </x:c>
      <x:c r="I135" s="56" t="str">
        <x:v>是</x:v>
      </x:c>
      <x:c r="J135" s="59" t="str">
        <x:v>待确认</x:v>
      </x:c>
      <x:c r="K135" s="56" t="str"/>
      <x:c r="L135" s="56" t="str"/>
      <x:c r="M135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36">
      <x:c r="A136" s="56" t="str">
        <x:v>P012</x:v>
      </x:c>
      <x:c r="B136" s="56" t="str">
        <x:v>P012</x:v>
      </x:c>
      <x:c r="C136" s="56" t="str">
        <x:v>occupationalExposure</x:v>
      </x:c>
      <x:c r="D136" s="56" t="str">
        <x:v>{"status":"absent","patientAnswerZh":"工作中没有接触染料、橡胶、皮革、化工或重金属。","patientAnswerEn":"I have not worked with dyes, rubber, leather, industrial chemicals, or heavy metals.","provenance":"author_added_for_simulation","teacherReviewRequired":true}</x:v>
      </x:c>
      <x:c r="E136" s="56" t="str">
        <x:v>author_added_for_simulation</x:v>
      </x:c>
      <x:c r="F136" s="56" t="str">
        <x:v>是</x:v>
      </x:c>
      <x:c r="G136" s="56" t="str">
        <x:v>程序未检出确定性冲突；仍待语义复核</x:v>
      </x:c>
      <x:c r="H136" s="56" t="str">
        <x:v>可能</x:v>
      </x:c>
      <x:c r="I136" s="56" t="str">
        <x:v>是</x:v>
      </x:c>
      <x:c r="J136" s="59" t="str">
        <x:v>待确认</x:v>
      </x:c>
      <x:c r="K136" s="56" t="str"/>
      <x:c r="L136" s="56" t="str"/>
      <x:c r="M136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37">
      <x:c r="A137" s="56" t="str">
        <x:v>P012</x:v>
      </x:c>
      <x:c r="B137" s="56" t="str">
        <x:v>P012</x:v>
      </x:c>
      <x:c r="C137" s="56" t="str">
        <x:v>hypertension</x:v>
      </x:c>
      <x:c r="D137" s="56" t="str">
        <x:v>{"status":"absent","patientAnswerZh":"没有高血压。","patientAnswerEn":"I do not have hypertension.","provenance":"author_added_for_simulation","teacherReviewRequired":true}</x:v>
      </x:c>
      <x:c r="E137" s="56" t="str">
        <x:v>author_added_for_simulation</x:v>
      </x:c>
      <x:c r="F137" s="56" t="str">
        <x:v>是</x:v>
      </x:c>
      <x:c r="G137" s="56" t="str">
        <x:v>程序未检出确定性冲突；仍待语义复核</x:v>
      </x:c>
      <x:c r="H137" s="56" t="str">
        <x:v>待确认</x:v>
      </x:c>
      <x:c r="I137" s="56" t="str">
        <x:v>是</x:v>
      </x:c>
      <x:c r="J137" s="59" t="str">
        <x:v>待确认</x:v>
      </x:c>
      <x:c r="K137" s="56" t="str"/>
      <x:c r="L137" s="56" t="str"/>
      <x:c r="M137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38">
      <x:c r="A138" s="56" t="str">
        <x:v>P012</x:v>
      </x:c>
      <x:c r="B138" s="56" t="str">
        <x:v>P012</x:v>
      </x:c>
      <x:c r="C138" s="56" t="str">
        <x:v>diabetes</x:v>
      </x:c>
      <x:c r="D138" s="56" t="str">
        <x:v>{"status":"absent","patientAnswerZh":"没有糖尿病。","patientAnswerEn":"I do not have diabetes.","provenance":"author_added_for_simulation","teacherReviewRequired":true}</x:v>
      </x:c>
      <x:c r="E138" s="56" t="str">
        <x:v>author_added_for_simulation</x:v>
      </x:c>
      <x:c r="F138" s="56" t="str">
        <x:v>是</x:v>
      </x:c>
      <x:c r="G138" s="56" t="str">
        <x:v>程序未检出确定性冲突；仍待语义复核</x:v>
      </x:c>
      <x:c r="H138" s="56" t="str">
        <x:v>待确认</x:v>
      </x:c>
      <x:c r="I138" s="56" t="str">
        <x:v>待确认</x:v>
      </x:c>
      <x:c r="J138" s="59" t="str">
        <x:v>待确认</x:v>
      </x:c>
      <x:c r="K138" s="56" t="str"/>
      <x:c r="L138" s="56" t="str"/>
      <x:c r="M138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39">
      <x:c r="A139" s="56" t="str">
        <x:v>P012</x:v>
      </x:c>
      <x:c r="B139" s="56" t="str">
        <x:v>P012</x:v>
      </x:c>
      <x:c r="C139" s="56" t="str">
        <x:v>coronaryDisease</x:v>
      </x:c>
      <x:c r="D139" s="56" t="str">
        <x:v>{"status":"absent","patientAnswerZh":"没有冠心病。","patientAnswerEn":"I do not have coronary heart disease.","provenance":"author_added_for_simulation","teacherReviewRequired":true}</x:v>
      </x:c>
      <x:c r="E139" s="56" t="str">
        <x:v>author_added_for_simulation</x:v>
      </x:c>
      <x:c r="F139" s="56" t="str">
        <x:v>是</x:v>
      </x:c>
      <x:c r="G139" s="56" t="str">
        <x:v>程序未检出确定性冲突；仍待语义复核</x:v>
      </x:c>
      <x:c r="H139" s="56" t="str">
        <x:v>待确认</x:v>
      </x:c>
      <x:c r="I139" s="56" t="str">
        <x:v>待确认</x:v>
      </x:c>
      <x:c r="J139" s="59" t="str">
        <x:v>待确认</x:v>
      </x:c>
      <x:c r="K139" s="56" t="str"/>
      <x:c r="L139" s="56" t="str"/>
      <x:c r="M139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40">
      <x:c r="A140" s="56" t="str">
        <x:v>P012</x:v>
      </x:c>
      <x:c r="B140" s="56" t="str">
        <x:v>P012</x:v>
      </x:c>
      <x:c r="C140" s="56" t="str">
        <x:v>stroke</x:v>
      </x:c>
      <x:c r="D140" s="56" t="str">
        <x:v>{"status":"absent","patientAnswerZh":"没有脑卒中。","patientAnswerEn":"I do not have stroke.","provenance":"author_added_for_simulation","teacherReviewRequired":true}</x:v>
      </x:c>
      <x:c r="E140" s="56" t="str">
        <x:v>author_added_for_simulation</x:v>
      </x:c>
      <x:c r="F140" s="56" t="str">
        <x:v>是</x:v>
      </x:c>
      <x:c r="G140" s="56" t="str">
        <x:v>程序未检出确定性冲突；仍待语义复核</x:v>
      </x:c>
      <x:c r="H140" s="56" t="str">
        <x:v>待确认</x:v>
      </x:c>
      <x:c r="I140" s="56" t="str">
        <x:v>待确认</x:v>
      </x:c>
      <x:c r="J140" s="59" t="str">
        <x:v>待确认</x:v>
      </x:c>
      <x:c r="K140" s="56" t="str"/>
      <x:c r="L140" s="56" t="str"/>
      <x:c r="M140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41">
      <x:c r="A141" s="56" t="str">
        <x:v>P012</x:v>
      </x:c>
      <x:c r="B141" s="56" t="str">
        <x:v>P012</x:v>
      </x:c>
      <x:c r="C141" s="56" t="str">
        <x:v>liverDisease</x:v>
      </x:c>
      <x:c r="D141" s="56" t="str">
        <x:v>{"status":"absent","patientAnswerZh":"没有肝病。","patientAnswerEn":"I do not have liver disease.","provenance":"author_added_for_simulation","teacherReviewRequired":true}</x:v>
      </x:c>
      <x:c r="E141" s="56" t="str">
        <x:v>author_added_for_simulation</x:v>
      </x:c>
      <x:c r="F141" s="56" t="str">
        <x:v>是</x:v>
      </x:c>
      <x:c r="G141" s="56" t="str">
        <x:v>程序未检出确定性冲突；仍待语义复核</x:v>
      </x:c>
      <x:c r="H141" s="56" t="str">
        <x:v>待确认</x:v>
      </x:c>
      <x:c r="I141" s="56" t="str">
        <x:v>待确认</x:v>
      </x:c>
      <x:c r="J141" s="59" t="str">
        <x:v>待确认</x:v>
      </x:c>
      <x:c r="K141" s="56" t="str"/>
      <x:c r="L141" s="56" t="str"/>
      <x:c r="M141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42">
      <x:c r="A142" s="56" t="str">
        <x:v>P012</x:v>
      </x:c>
      <x:c r="B142" s="56" t="str">
        <x:v>P012</x:v>
      </x:c>
      <x:c r="C142" s="56" t="str">
        <x:v>tuberculosis</x:v>
      </x:c>
      <x:c r="D142" s="56" t="str">
        <x:v>{"status":"absent","patientAnswerZh":"没有结核病。","patientAnswerEn":"I do not have tuberculosis.","provenance":"author_added_for_simulation","teacherReviewRequired":true}</x:v>
      </x:c>
      <x:c r="E142" s="56" t="str">
        <x:v>author_added_for_simulation</x:v>
      </x:c>
      <x:c r="F142" s="56" t="str">
        <x:v>是</x:v>
      </x:c>
      <x:c r="G142" s="56" t="str">
        <x:v>程序未检出确定性冲突；仍待语义复核</x:v>
      </x:c>
      <x:c r="H142" s="56" t="str">
        <x:v>待确认</x:v>
      </x:c>
      <x:c r="I142" s="56" t="str">
        <x:v>待确认</x:v>
      </x:c>
      <x:c r="J142" s="59" t="str">
        <x:v>待确认</x:v>
      </x:c>
      <x:c r="K142" s="56" t="str"/>
      <x:c r="L142" s="56" t="str"/>
      <x:c r="M142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43">
      <x:c r="A143" s="56" t="str">
        <x:v>P012</x:v>
      </x:c>
      <x:c r="B143" s="56" t="str">
        <x:v>P012</x:v>
      </x:c>
      <x:c r="C143" s="56" t="str">
        <x:v>stoneHistory</x:v>
      </x:c>
      <x:c r="D143" s="56" t="str">
        <x:v>{"status":"absent","patientAnswerZh":"以前没有得过泌尿系结石。","patientAnswerEn":"I have never had urinary stones.","provenance":"author_added_for_simulation","teacherReviewRequired":true}</x:v>
      </x:c>
      <x:c r="E143" s="56" t="str">
        <x:v>author_added_for_simulation</x:v>
      </x:c>
      <x:c r="F143" s="56" t="str">
        <x:v>是</x:v>
      </x:c>
      <x:c r="G143" s="56" t="str">
        <x:v>程序未检出确定性冲突；仍待语义复核</x:v>
      </x:c>
      <x:c r="H143" s="56" t="str">
        <x:v>可能</x:v>
      </x:c>
      <x:c r="I143" s="56" t="str">
        <x:v>是</x:v>
      </x:c>
      <x:c r="J143" s="59" t="str">
        <x:v>待确认</x:v>
      </x:c>
      <x:c r="K143" s="56" t="str"/>
      <x:c r="L143" s="56" t="str"/>
      <x:c r="M143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44">
      <x:c r="A144" s="56" t="str">
        <x:v>P012</x:v>
      </x:c>
      <x:c r="B144" s="56" t="str">
        <x:v>P012</x:v>
      </x:c>
      <x:c r="C144" s="56" t="str">
        <x:v>malignancyHistory</x:v>
      </x:c>
      <x:c r="D144" s="56" t="str">
        <x:v>{"status":"absent","patientAnswerZh":"以前没有得过肿瘤。","patientAnswerEn":"I have no previous history of cancer.","provenance":"author_added_for_simulation","teacherReviewRequired":true}</x:v>
      </x:c>
      <x:c r="E144" s="56" t="str">
        <x:v>author_added_for_simulation</x:v>
      </x:c>
      <x:c r="F144" s="56" t="str">
        <x:v>是</x:v>
      </x:c>
      <x:c r="G144" s="56" t="str">
        <x:v>程序未检出确定性冲突；仍待语义复核</x:v>
      </x:c>
      <x:c r="H144" s="56" t="str">
        <x:v>可能</x:v>
      </x:c>
      <x:c r="I144" s="56" t="str">
        <x:v>待确认</x:v>
      </x:c>
      <x:c r="J144" s="59" t="str">
        <x:v>待确认</x:v>
      </x:c>
      <x:c r="K144" s="56" t="str"/>
      <x:c r="L144" s="56" t="str"/>
      <x:c r="M144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45">
      <x:c r="A145" s="56" t="str">
        <x:v>P012</x:v>
      </x:c>
      <x:c r="B145" s="56" t="str">
        <x:v>P012</x:v>
      </x:c>
      <x:c r="C145" s="56" t="str">
        <x:v>traumaHistory</x:v>
      </x:c>
      <x:c r="D145" s="56" t="str">
        <x:v>{"status":"absent","patientAnswerZh":"近期没有相关外伤。","patientAnswerEn":"I have not had relevant trauma.","provenance":"author_added_for_simulation","teacherReviewRequired":true}</x:v>
      </x:c>
      <x:c r="E145" s="56" t="str">
        <x:v>author_added_for_simulation</x:v>
      </x:c>
      <x:c r="F145" s="56" t="str">
        <x:v>是</x:v>
      </x:c>
      <x:c r="G145" s="56" t="str">
        <x:v>程序未检出确定性冲突；仍待语义复核</x:v>
      </x:c>
      <x:c r="H145" s="56" t="str">
        <x:v>可能</x:v>
      </x:c>
      <x:c r="I145" s="56" t="str">
        <x:v>是</x:v>
      </x:c>
      <x:c r="J145" s="59" t="str">
        <x:v>待确认</x:v>
      </x:c>
      <x:c r="K145" s="56" t="str"/>
      <x:c r="L145" s="56" t="str"/>
      <x:c r="M145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46">
      <x:c r="A146" s="56" t="str">
        <x:v>P012</x:v>
      </x:c>
      <x:c r="B146" s="56" t="str">
        <x:v>P012</x:v>
      </x:c>
      <x:c r="C146" s="56" t="str">
        <x:v>urinaryProcedureHistory</x:v>
      </x:c>
      <x:c r="D146" s="56" t="str">
        <x:v>{"status":"absent","patientAnswerZh":"以前没有做过导尿、膀胱镜等泌尿操作。","patientAnswerEn":"I have not had catheterization, cystoscopy, or other urinary procedures.","provenance":"author_added_for_simulation","teacherReviewRequired":true}</x:v>
      </x:c>
      <x:c r="E146" s="56" t="str">
        <x:v>author_added_for_simulation</x:v>
      </x:c>
      <x:c r="F146" s="56" t="str">
        <x:v>是</x:v>
      </x:c>
      <x:c r="G146" s="56" t="str">
        <x:v>程序未检出确定性冲突；仍待语义复核</x:v>
      </x:c>
      <x:c r="H146" s="56" t="str">
        <x:v>待确认</x:v>
      </x:c>
      <x:c r="I146" s="56" t="str">
        <x:v>待确认</x:v>
      </x:c>
      <x:c r="J146" s="59" t="str">
        <x:v>待确认</x:v>
      </x:c>
      <x:c r="K146" s="56" t="str"/>
      <x:c r="L146" s="56" t="str"/>
      <x:c r="M146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47">
      <x:c r="A147" s="56" t="str">
        <x:v>P012</x:v>
      </x:c>
      <x:c r="B147" s="56" t="str">
        <x:v>P012</x:v>
      </x:c>
      <x:c r="C147" s="56" t="str">
        <x:v>surgeryHistory</x:v>
      </x:c>
      <x:c r="D147" s="56" t="str">
        <x:v>{"status":"absent","patientAnswerZh":"我以前没有做过手术。","patientAnswerEn":"I have never had surgery.","provenance":"author_added_for_simulation","teacherReviewRequired":true}</x:v>
      </x:c>
      <x:c r="E147" s="56" t="str">
        <x:v>author_added_for_simulation</x:v>
      </x:c>
      <x:c r="F147" s="56" t="str">
        <x:v>是</x:v>
      </x:c>
      <x:c r="G147" s="56" t="str">
        <x:v>程序未检出确定性冲突；仍待语义复核</x:v>
      </x:c>
      <x:c r="H147" s="56" t="str">
        <x:v>待确认</x:v>
      </x:c>
      <x:c r="I147" s="56" t="str">
        <x:v>是</x:v>
      </x:c>
      <x:c r="J147" s="59" t="str">
        <x:v>待确认</x:v>
      </x:c>
      <x:c r="K147" s="56" t="str"/>
      <x:c r="L147" s="56" t="str"/>
      <x:c r="M147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48">
      <x:c r="A148" s="56" t="str">
        <x:v>P012</x:v>
      </x:c>
      <x:c r="B148" s="56" t="str">
        <x:v>P012</x:v>
      </x:c>
      <x:c r="C148" s="56" t="str">
        <x:v>transfusionHistory</x:v>
      </x:c>
      <x:c r="D148" s="56" t="str">
        <x:v>{"status":"absent","patientAnswerZh":"我以前没有输过血。","patientAnswerEn":"I have never had a blood transfusion.","provenance":"author_added_for_simulation","teacherReviewRequired":true}</x:v>
      </x:c>
      <x:c r="E148" s="56" t="str">
        <x:v>author_added_for_simulation</x:v>
      </x:c>
      <x:c r="F148" s="56" t="str">
        <x:v>是</x:v>
      </x:c>
      <x:c r="G148" s="56" t="str">
        <x:v>程序未检出确定性冲突；仍待语义复核</x:v>
      </x:c>
      <x:c r="H148" s="56" t="str">
        <x:v>待确认</x:v>
      </x:c>
      <x:c r="I148" s="56" t="str">
        <x:v>待确认</x:v>
      </x:c>
      <x:c r="J148" s="59" t="str">
        <x:v>待确认</x:v>
      </x:c>
      <x:c r="K148" s="56" t="str"/>
      <x:c r="L148" s="56" t="str"/>
      <x:c r="M148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49">
      <x:c r="A149" s="56" t="str">
        <x:v>P012</x:v>
      </x:c>
      <x:c r="B149" s="56" t="str">
        <x:v>P012</x:v>
      </x:c>
      <x:c r="C149" s="56" t="str">
        <x:v>allergyHistory</x:v>
      </x:c>
      <x:c r="D149" s="56" t="str">
        <x:v>{"status":"absent","patientAnswerZh":"我没有已知药物或食物过敏。","patientAnswerEn":"I have no known drug or food allergies.","provenance":"author_added_for_simulation","teacherReviewRequired":true}</x:v>
      </x:c>
      <x:c r="E149" s="56" t="str">
        <x:v>author_added_for_simulation</x:v>
      </x:c>
      <x:c r="F149" s="56" t="str">
        <x:v>是</x:v>
      </x:c>
      <x:c r="G149" s="56" t="str">
        <x:v>程序未检出确定性冲突；仍待语义复核</x:v>
      </x:c>
      <x:c r="H149" s="56" t="str">
        <x:v>待确认</x:v>
      </x:c>
      <x:c r="I149" s="56" t="str">
        <x:v>是</x:v>
      </x:c>
      <x:c r="J149" s="59" t="str">
        <x:v>待确认</x:v>
      </x:c>
      <x:c r="K149" s="56" t="str"/>
      <x:c r="L149" s="56" t="str"/>
      <x:c r="M149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50">
      <x:c r="A150" s="56" t="str">
        <x:v>P012</x:v>
      </x:c>
      <x:c r="B150" s="56" t="str">
        <x:v>P012</x:v>
      </x:c>
      <x:c r="C150" s="56" t="str">
        <x:v>anticoagulantUse</x:v>
      </x:c>
      <x:c r="D150" s="56" t="str">
        <x:v>{"status":"absent","patientAnswerZh":"我没有服用华法林、利伐沙班等抗凝药。","patientAnswerEn":"I do not take anticoagulants.","provenance":"author_added_for_simulation","teacherReviewRequired":true}</x:v>
      </x:c>
      <x:c r="E150" s="56" t="str">
        <x:v>author_added_for_simulation</x:v>
      </x:c>
      <x:c r="F150" s="56" t="str">
        <x:v>是</x:v>
      </x:c>
      <x:c r="G150" s="56" t="str">
        <x:v>程序未检出确定性冲突；仍待语义复核</x:v>
      </x:c>
      <x:c r="H150" s="56" t="str">
        <x:v>可能</x:v>
      </x:c>
      <x:c r="I150" s="56" t="str">
        <x:v>是</x:v>
      </x:c>
      <x:c r="J150" s="59" t="str">
        <x:v>待确认</x:v>
      </x:c>
      <x:c r="K150" s="56" t="str"/>
      <x:c r="L150" s="56" t="str"/>
      <x:c r="M150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51">
      <x:c r="A151" s="56" t="str">
        <x:v>P012</x:v>
      </x:c>
      <x:c r="B151" s="56" t="str">
        <x:v>P012</x:v>
      </x:c>
      <x:c r="C151" s="56" t="str">
        <x:v>antiplateletUse</x:v>
      </x:c>
      <x:c r="D151" s="56" t="str">
        <x:v>{"status":"absent","patientAnswerZh":"我没有服用阿司匹林或氯吡格雷。","patientAnswerEn":"I do not take antiplatelet medication.","provenance":"author_added_for_simulation","teacherReviewRequired":true}</x:v>
      </x:c>
      <x:c r="E151" s="56" t="str">
        <x:v>author_added_for_simulation</x:v>
      </x:c>
      <x:c r="F151" s="56" t="str">
        <x:v>是</x:v>
      </x:c>
      <x:c r="G151" s="56" t="str">
        <x:v>程序未检出确定性冲突；仍待语义复核</x:v>
      </x:c>
      <x:c r="H151" s="56" t="str">
        <x:v>可能</x:v>
      </x:c>
      <x:c r="I151" s="56" t="str">
        <x:v>是</x:v>
      </x:c>
      <x:c r="J151" s="59" t="str">
        <x:v>待确认</x:v>
      </x:c>
      <x:c r="K151" s="56" t="str"/>
      <x:c r="L151" s="56" t="str"/>
      <x:c r="M151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52">
      <x:c r="A152" s="56" t="str">
        <x:v>P013</x:v>
      </x:c>
      <x:c r="B152" s="56" t="str">
        <x:v>HX-ADD-001</x:v>
      </x:c>
      <x:c r="C152" s="56" t="str">
        <x:v>alcoholHistory</x:v>
      </x:c>
      <x:c r="D152" s="56" t="str">
        <x:v>{"status":"never","type":"","amount":"0","frequency":"never","years":0,"patientAnswerZh":"我平时不喝酒。","patientAnswerEn":"I do not drink alcohol.","provenance":"author_added_for_simulation","teacherReviewRequired":true}</x:v>
      </x:c>
      <x:c r="E152" s="56" t="str">
        <x:v>author_added_for_simulation</x:v>
      </x:c>
      <x:c r="F152" s="56" t="str">
        <x:v>是</x:v>
      </x:c>
      <x:c r="G152" s="56" t="str">
        <x:v>程序未检出确定性冲突；仍待语义复核</x:v>
      </x:c>
      <x:c r="H152" s="56" t="str">
        <x:v>待确认</x:v>
      </x:c>
      <x:c r="I152" s="56" t="str">
        <x:v>待确认</x:v>
      </x:c>
      <x:c r="J152" s="59" t="str">
        <x:v>待确认</x:v>
      </x:c>
      <x:c r="K152" s="56" t="str"/>
      <x:c r="L152" s="56" t="str"/>
      <x:c r="M152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53">
      <x:c r="A153" s="56" t="str">
        <x:v>P013</x:v>
      </x:c>
      <x:c r="B153" s="56" t="str">
        <x:v>HX-ADD-001</x:v>
      </x:c>
      <x:c r="C153" s="56" t="str">
        <x:v>diabetes</x:v>
      </x:c>
      <x:c r="D153" s="56" t="str">
        <x:v>{"status":"absent","patientAnswerZh":"没有糖尿病。","patientAnswerEn":"I do not have diabetes.","provenance":"source","teacherReviewRequired":false}</x:v>
      </x:c>
      <x:c r="E153" s="56" t="str">
        <x:v>source</x:v>
      </x:c>
      <x:c r="F153" s="56" t="str">
        <x:v>是</x:v>
      </x:c>
      <x:c r="G153" s="56" t="str">
        <x:v>程序未检出确定性冲突；仍待语义复核</x:v>
      </x:c>
      <x:c r="H153" s="56" t="str">
        <x:v>待确认</x:v>
      </x:c>
      <x:c r="I153" s="56" t="str">
        <x:v>待确认</x:v>
      </x:c>
      <x:c r="J153" s="59" t="str">
        <x:v>待确认</x:v>
      </x:c>
      <x:c r="K153" s="56" t="str"/>
      <x:c r="L153" s="56" t="str"/>
      <x:c r="M153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54">
      <x:c r="A154" s="56" t="str">
        <x:v>P013</x:v>
      </x:c>
      <x:c r="B154" s="56" t="str">
        <x:v>HX-ADD-001</x:v>
      </x:c>
      <x:c r="C154" s="56" t="str">
        <x:v>coronaryDisease</x:v>
      </x:c>
      <x:c r="D154" s="56" t="str">
        <x:v>{"status":"absent","patientAnswerZh":"没有冠心病。","patientAnswerEn":"I do not have coronary heart disease.","provenance":"source","teacherReviewRequired":false}</x:v>
      </x:c>
      <x:c r="E154" s="56" t="str">
        <x:v>source</x:v>
      </x:c>
      <x:c r="F154" s="56" t="str">
        <x:v>是</x:v>
      </x:c>
      <x:c r="G154" s="56" t="str">
        <x:v>程序未检出确定性冲突；仍待语义复核</x:v>
      </x:c>
      <x:c r="H154" s="56" t="str">
        <x:v>待确认</x:v>
      </x:c>
      <x:c r="I154" s="56" t="str">
        <x:v>待确认</x:v>
      </x:c>
      <x:c r="J154" s="59" t="str">
        <x:v>待确认</x:v>
      </x:c>
      <x:c r="K154" s="56" t="str"/>
      <x:c r="L154" s="56" t="str"/>
      <x:c r="M154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55">
      <x:c r="A155" s="56" t="str">
        <x:v>P013</x:v>
      </x:c>
      <x:c r="B155" s="56" t="str">
        <x:v>HX-ADD-001</x:v>
      </x:c>
      <x:c r="C155" s="56" t="str">
        <x:v>stroke</x:v>
      </x:c>
      <x:c r="D155" s="56" t="str">
        <x:v>{"status":"absent","patientAnswerZh":"没有脑卒中。","patientAnswerEn":"I do not have stroke.","provenance":"source","teacherReviewRequired":false}</x:v>
      </x:c>
      <x:c r="E155" s="56" t="str">
        <x:v>source</x:v>
      </x:c>
      <x:c r="F155" s="56" t="str">
        <x:v>是</x:v>
      </x:c>
      <x:c r="G155" s="56" t="str">
        <x:v>程序未检出确定性冲突；仍待语义复核</x:v>
      </x:c>
      <x:c r="H155" s="56" t="str">
        <x:v>待确认</x:v>
      </x:c>
      <x:c r="I155" s="56" t="str">
        <x:v>待确认</x:v>
      </x:c>
      <x:c r="J155" s="59" t="str">
        <x:v>待确认</x:v>
      </x:c>
      <x:c r="K155" s="56" t="str"/>
      <x:c r="L155" s="56" t="str"/>
      <x:c r="M155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56">
      <x:c r="A156" s="56" t="str">
        <x:v>P013</x:v>
      </x:c>
      <x:c r="B156" s="56" t="str">
        <x:v>HX-ADD-001</x:v>
      </x:c>
      <x:c r="C156" s="56" t="str">
        <x:v>liverDisease</x:v>
      </x:c>
      <x:c r="D156" s="56" t="str">
        <x:v>{"status":"absent","patientAnswerZh":"没有肝病。","patientAnswerEn":"I do not have liver disease.","provenance":"source","teacherReviewRequired":false}</x:v>
      </x:c>
      <x:c r="E156" s="56" t="str">
        <x:v>source</x:v>
      </x:c>
      <x:c r="F156" s="56" t="str">
        <x:v>是</x:v>
      </x:c>
      <x:c r="G156" s="56" t="str">
        <x:v>程序未检出确定性冲突；仍待语义复核</x:v>
      </x:c>
      <x:c r="H156" s="56" t="str">
        <x:v>待确认</x:v>
      </x:c>
      <x:c r="I156" s="56" t="str">
        <x:v>待确认</x:v>
      </x:c>
      <x:c r="J156" s="59" t="str">
        <x:v>待确认</x:v>
      </x:c>
      <x:c r="K156" s="56" t="str"/>
      <x:c r="L156" s="56" t="str"/>
      <x:c r="M156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57">
      <x:c r="A157" s="56" t="str">
        <x:v>P013</x:v>
      </x:c>
      <x:c r="B157" s="56" t="str">
        <x:v>HX-ADD-001</x:v>
      </x:c>
      <x:c r="C157" s="56" t="str">
        <x:v>tuberculosis</x:v>
      </x:c>
      <x:c r="D157" s="56" t="str">
        <x:v>{"status":"present","patientAnswerZh":"有结核病。","patientAnswerEn":"I have tuberculosis.","provenance":"source","teacherReviewRequired":false}</x:v>
      </x:c>
      <x:c r="E157" s="56" t="str">
        <x:v>source</x:v>
      </x:c>
      <x:c r="F157" s="56" t="str">
        <x:v>是</x:v>
      </x:c>
      <x:c r="G157" s="56" t="str">
        <x:v>程序未检出确定性冲突；仍待语义复核</x:v>
      </x:c>
      <x:c r="H157" s="56" t="str">
        <x:v>待确认</x:v>
      </x:c>
      <x:c r="I157" s="56" t="str">
        <x:v>待确认</x:v>
      </x:c>
      <x:c r="J157" s="59" t="str">
        <x:v>待确认</x:v>
      </x:c>
      <x:c r="K157" s="56" t="str"/>
      <x:c r="L157" s="56" t="str"/>
      <x:c r="M157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58">
      <x:c r="A158" s="56" t="str">
        <x:v>P013</x:v>
      </x:c>
      <x:c r="B158" s="56" t="str">
        <x:v>HX-ADD-001</x:v>
      </x:c>
      <x:c r="C158" s="56" t="str">
        <x:v>urinaryProcedureHistory</x:v>
      </x:c>
      <x:c r="D158" s="56" t="str">
        <x:v>{"status":"absent","patientAnswerZh":"以前没有做过导尿、膀胱镜等泌尿操作。","patientAnswerEn":"I have not had catheterization, cystoscopy, or other urinary procedures.","provenance":"author_added_for_simulation","teacherReviewRequired":true}</x:v>
      </x:c>
      <x:c r="E158" s="56" t="str">
        <x:v>author_added_for_simulation</x:v>
      </x:c>
      <x:c r="F158" s="56" t="str">
        <x:v>是</x:v>
      </x:c>
      <x:c r="G158" s="56" t="str">
        <x:v>程序未检出确定性冲突；仍待语义复核</x:v>
      </x:c>
      <x:c r="H158" s="56" t="str">
        <x:v>待确认</x:v>
      </x:c>
      <x:c r="I158" s="56" t="str">
        <x:v>待确认</x:v>
      </x:c>
      <x:c r="J158" s="59" t="str">
        <x:v>待确认</x:v>
      </x:c>
      <x:c r="K158" s="56" t="str"/>
      <x:c r="L158" s="56" t="str"/>
      <x:c r="M158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59">
      <x:c r="A159" s="56" t="str">
        <x:v>P013</x:v>
      </x:c>
      <x:c r="B159" s="56" t="str">
        <x:v>HX-ADD-001</x:v>
      </x:c>
      <x:c r="C159" s="56" t="str">
        <x:v>surgeryHistory</x:v>
      </x:c>
      <x:c r="D159" s="56" t="str">
        <x:v>{"status":"absent","patientAnswerZh":"我以前没有做过手术。","patientAnswerEn":"I have never had surgery.","provenance":"author_added_for_simulation","teacherReviewRequired":true}</x:v>
      </x:c>
      <x:c r="E159" s="56" t="str">
        <x:v>author_added_for_simulation</x:v>
      </x:c>
      <x:c r="F159" s="56" t="str">
        <x:v>是</x:v>
      </x:c>
      <x:c r="G159" s="56" t="str">
        <x:v>程序未检出确定性冲突；仍待语义复核</x:v>
      </x:c>
      <x:c r="H159" s="56" t="str">
        <x:v>待确认</x:v>
      </x:c>
      <x:c r="I159" s="56" t="str">
        <x:v>是</x:v>
      </x:c>
      <x:c r="J159" s="59" t="str">
        <x:v>待确认</x:v>
      </x:c>
      <x:c r="K159" s="56" t="str"/>
      <x:c r="L159" s="56" t="str"/>
      <x:c r="M159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60">
      <x:c r="A160" s="56" t="str">
        <x:v>P013</x:v>
      </x:c>
      <x:c r="B160" s="56" t="str">
        <x:v>HX-ADD-001</x:v>
      </x:c>
      <x:c r="C160" s="56" t="str">
        <x:v>transfusionHistory</x:v>
      </x:c>
      <x:c r="D160" s="56" t="str">
        <x:v>{"status":"absent","patientAnswerZh":"我以前没有输过血。","patientAnswerEn":"I have never had a blood transfusion.","provenance":"author_added_for_simulation","teacherReviewRequired":true}</x:v>
      </x:c>
      <x:c r="E160" s="56" t="str">
        <x:v>author_added_for_simulation</x:v>
      </x:c>
      <x:c r="F160" s="56" t="str">
        <x:v>是</x:v>
      </x:c>
      <x:c r="G160" s="56" t="str">
        <x:v>程序未检出确定性冲突；仍待语义复核</x:v>
      </x:c>
      <x:c r="H160" s="56" t="str">
        <x:v>待确认</x:v>
      </x:c>
      <x:c r="I160" s="56" t="str">
        <x:v>待确认</x:v>
      </x:c>
      <x:c r="J160" s="59" t="str">
        <x:v>待确认</x:v>
      </x:c>
      <x:c r="K160" s="56" t="str"/>
      <x:c r="L160" s="56" t="str"/>
      <x:c r="M160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61">
      <x:c r="A161" s="56" t="str">
        <x:v>P013</x:v>
      </x:c>
      <x:c r="B161" s="56" t="str">
        <x:v>HX-ADD-001</x:v>
      </x:c>
      <x:c r="C161" s="56" t="str">
        <x:v>allergyHistory</x:v>
      </x:c>
      <x:c r="D161" s="56" t="str">
        <x:v>{"status":"absent","patientAnswerZh":"我没有已知药物或食物过敏。","patientAnswerEn":"I have no known drug or food allergies.","provenance":"author_added_for_simulation","teacherReviewRequired":true}</x:v>
      </x:c>
      <x:c r="E161" s="56" t="str">
        <x:v>author_added_for_simulation</x:v>
      </x:c>
      <x:c r="F161" s="56" t="str">
        <x:v>是</x:v>
      </x:c>
      <x:c r="G161" s="56" t="str">
        <x:v>程序未检出确定性冲突；仍待语义复核</x:v>
      </x:c>
      <x:c r="H161" s="56" t="str">
        <x:v>待确认</x:v>
      </x:c>
      <x:c r="I161" s="56" t="str">
        <x:v>是</x:v>
      </x:c>
      <x:c r="J161" s="59" t="str">
        <x:v>待确认</x:v>
      </x:c>
      <x:c r="K161" s="56" t="str"/>
      <x:c r="L161" s="56" t="str"/>
      <x:c r="M161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62">
      <x:c r="A162" s="56" t="str">
        <x:v>P013</x:v>
      </x:c>
      <x:c r="B162" s="56" t="str">
        <x:v>HX-ADD-001</x:v>
      </x:c>
      <x:c r="C162" s="56" t="str">
        <x:v>anticoagulantUse</x:v>
      </x:c>
      <x:c r="D162" s="56" t="str">
        <x:v>{"status":"present","patientAnswerZh":"我在服用华法林、利伐沙班。","patientAnswerEn":"I take an anticoagulant.","provenance":"source","teacherReviewRequired":false}</x:v>
      </x:c>
      <x:c r="E162" s="56" t="str">
        <x:v>source</x:v>
      </x:c>
      <x:c r="F162" s="56" t="str">
        <x:v>是</x:v>
      </x:c>
      <x:c r="G162" s="56" t="str">
        <x:v>程序未检出确定性冲突；仍待语义复核</x:v>
      </x:c>
      <x:c r="H162" s="56" t="str">
        <x:v>可能</x:v>
      </x:c>
      <x:c r="I162" s="56" t="str">
        <x:v>是</x:v>
      </x:c>
      <x:c r="J162" s="59" t="str">
        <x:v>待确认</x:v>
      </x:c>
      <x:c r="K162" s="56" t="str"/>
      <x:c r="L162" s="56" t="str"/>
      <x:c r="M162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63">
      <x:c r="A163" s="56" t="str">
        <x:v>P013</x:v>
      </x:c>
      <x:c r="B163" s="56" t="str">
        <x:v>HX-ADD-001</x:v>
      </x:c>
      <x:c r="C163" s="56" t="str">
        <x:v>antiplateletUse</x:v>
      </x:c>
      <x:c r="D163" s="56" t="str">
        <x:v>{"status":"present","patientAnswerZh":"我在服用阿司匹林、氯吡格雷。","patientAnswerEn":"I take antiplatelet medication.","provenance":"source","teacherReviewRequired":false}</x:v>
      </x:c>
      <x:c r="E163" s="56" t="str">
        <x:v>source</x:v>
      </x:c>
      <x:c r="F163" s="56" t="str">
        <x:v>是</x:v>
      </x:c>
      <x:c r="G163" s="56" t="str">
        <x:v>程序未检出确定性冲突；仍待语义复核</x:v>
      </x:c>
      <x:c r="H163" s="56" t="str">
        <x:v>可能</x:v>
      </x:c>
      <x:c r="I163" s="56" t="str">
        <x:v>是</x:v>
      </x:c>
      <x:c r="J163" s="59" t="str">
        <x:v>待确认</x:v>
      </x:c>
      <x:c r="K163" s="56" t="str"/>
      <x:c r="L163" s="56" t="str"/>
      <x:c r="M163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64">
      <x:c r="A164" s="56" t="str">
        <x:v>P013</x:v>
      </x:c>
      <x:c r="B164" s="56" t="str">
        <x:v>HX-ADD-001</x:v>
      </x:c>
      <x:c r="C164" s="56" t="str">
        <x:v>familyHistory</x:v>
      </x:c>
      <x:c r="D164" s="56" t="str">
        <x:v>{"status":"absent","patientAnswerZh":"家里没有人得过类似血尿或遗传性肾病。","patientAnswerEn":"No one in my family has had similar hematuria or hereditary kidney disease.","provenance":"author_added_for_simulation","teacherReviewRequired":true}</x:v>
      </x:c>
      <x:c r="E164" s="56" t="str">
        <x:v>author_added_for_simulation</x:v>
      </x:c>
      <x:c r="F164" s="56" t="str">
        <x:v>是</x:v>
      </x:c>
      <x:c r="G164" s="56" t="str">
        <x:v>程序未检出确定性冲突；仍待语义复核</x:v>
      </x:c>
      <x:c r="H164" s="56" t="str">
        <x:v>可能</x:v>
      </x:c>
      <x:c r="I164" s="56" t="str">
        <x:v>是</x:v>
      </x:c>
      <x:c r="J164" s="59" t="str">
        <x:v>待确认</x:v>
      </x:c>
      <x:c r="K164" s="56" t="str"/>
      <x:c r="L164" s="56" t="str"/>
      <x:c r="M164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65">
      <x:c r="A165" s="56" t="str">
        <x:v>P014</x:v>
      </x:c>
      <x:c r="B165" s="56" t="str">
        <x:v>HX-ADD-002</x:v>
      </x:c>
      <x:c r="C165" s="56" t="str">
        <x:v>alcoholHistory</x:v>
      </x:c>
      <x:c r="D165" s="56" t="str">
        <x:v>{"status":"never","type":"","amount":"0","frequency":"never","years":0,"patientAnswerZh":"我平时不喝酒。","patientAnswerEn":"I do not drink alcohol.","provenance":"author_added_for_simulation","teacherReviewRequired":true}</x:v>
      </x:c>
      <x:c r="E165" s="56" t="str">
        <x:v>author_added_for_simulation</x:v>
      </x:c>
      <x:c r="F165" s="56" t="str">
        <x:v>是</x:v>
      </x:c>
      <x:c r="G165" s="56" t="str">
        <x:v>程序未检出确定性冲突；仍待语义复核</x:v>
      </x:c>
      <x:c r="H165" s="56" t="str">
        <x:v>待确认</x:v>
      </x:c>
      <x:c r="I165" s="56" t="str">
        <x:v>待确认</x:v>
      </x:c>
      <x:c r="J165" s="59" t="str">
        <x:v>待确认</x:v>
      </x:c>
      <x:c r="K165" s="56" t="str"/>
      <x:c r="L165" s="56" t="str"/>
      <x:c r="M165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66">
      <x:c r="A166" s="56" t="str">
        <x:v>P014</x:v>
      </x:c>
      <x:c r="B166" s="56" t="str">
        <x:v>HX-ADD-002</x:v>
      </x:c>
      <x:c r="C166" s="56" t="str">
        <x:v>hypertension</x:v>
      </x:c>
      <x:c r="D166" s="56" t="str">
        <x:v>{"status":"absent","patientAnswerZh":"没有高血压。","patientAnswerEn":"I do not have hypertension.","provenance":"source","teacherReviewRequired":false}</x:v>
      </x:c>
      <x:c r="E166" s="56" t="str">
        <x:v>source</x:v>
      </x:c>
      <x:c r="F166" s="56" t="str">
        <x:v>是</x:v>
      </x:c>
      <x:c r="G166" s="56" t="str">
        <x:v>程序未检出确定性冲突；仍待语义复核</x:v>
      </x:c>
      <x:c r="H166" s="56" t="str">
        <x:v>待确认</x:v>
      </x:c>
      <x:c r="I166" s="56" t="str">
        <x:v>是</x:v>
      </x:c>
      <x:c r="J166" s="59" t="str">
        <x:v>待确认</x:v>
      </x:c>
      <x:c r="K166" s="56" t="str"/>
      <x:c r="L166" s="56" t="str"/>
      <x:c r="M166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67">
      <x:c r="A167" s="56" t="str">
        <x:v>P014</x:v>
      </x:c>
      <x:c r="B167" s="56" t="str">
        <x:v>HX-ADD-002</x:v>
      </x:c>
      <x:c r="C167" s="56" t="str">
        <x:v>coronaryDisease</x:v>
      </x:c>
      <x:c r="D167" s="56" t="str">
        <x:v>{"status":"absent","patientAnswerZh":"没有冠心病。","patientAnswerEn":"I do not have coronary heart disease.","provenance":"source","teacherReviewRequired":false}</x:v>
      </x:c>
      <x:c r="E167" s="56" t="str">
        <x:v>source</x:v>
      </x:c>
      <x:c r="F167" s="56" t="str">
        <x:v>是</x:v>
      </x:c>
      <x:c r="G167" s="56" t="str">
        <x:v>程序未检出确定性冲突；仍待语义复核</x:v>
      </x:c>
      <x:c r="H167" s="56" t="str">
        <x:v>待确认</x:v>
      </x:c>
      <x:c r="I167" s="56" t="str">
        <x:v>待确认</x:v>
      </x:c>
      <x:c r="J167" s="59" t="str">
        <x:v>待确认</x:v>
      </x:c>
      <x:c r="K167" s="56" t="str"/>
      <x:c r="L167" s="56" t="str"/>
      <x:c r="M167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68">
      <x:c r="A168" s="56" t="str">
        <x:v>P014</x:v>
      </x:c>
      <x:c r="B168" s="56" t="str">
        <x:v>HX-ADD-002</x:v>
      </x:c>
      <x:c r="C168" s="56" t="str">
        <x:v>stroke</x:v>
      </x:c>
      <x:c r="D168" s="56" t="str">
        <x:v>{"status":"absent","patientAnswerZh":"没有脑卒中。","patientAnswerEn":"I do not have stroke.","provenance":"source","teacherReviewRequired":false}</x:v>
      </x:c>
      <x:c r="E168" s="56" t="str">
        <x:v>source</x:v>
      </x:c>
      <x:c r="F168" s="56" t="str">
        <x:v>是</x:v>
      </x:c>
      <x:c r="G168" s="56" t="str">
        <x:v>程序未检出确定性冲突；仍待语义复核</x:v>
      </x:c>
      <x:c r="H168" s="56" t="str">
        <x:v>待确认</x:v>
      </x:c>
      <x:c r="I168" s="56" t="str">
        <x:v>待确认</x:v>
      </x:c>
      <x:c r="J168" s="59" t="str">
        <x:v>待确认</x:v>
      </x:c>
      <x:c r="K168" s="56" t="str"/>
      <x:c r="L168" s="56" t="str"/>
      <x:c r="M168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69">
      <x:c r="A169" s="56" t="str">
        <x:v>P014</x:v>
      </x:c>
      <x:c r="B169" s="56" t="str">
        <x:v>HX-ADD-002</x:v>
      </x:c>
      <x:c r="C169" s="56" t="str">
        <x:v>liverDisease</x:v>
      </x:c>
      <x:c r="D169" s="56" t="str">
        <x:v>{"status":"absent","patientAnswerZh":"没有肝病。","patientAnswerEn":"I do not have liver disease.","provenance":"source","teacherReviewRequired":false}</x:v>
      </x:c>
      <x:c r="E169" s="56" t="str">
        <x:v>source</x:v>
      </x:c>
      <x:c r="F169" s="56" t="str">
        <x:v>是</x:v>
      </x:c>
      <x:c r="G169" s="56" t="str">
        <x:v>程序未检出确定性冲突；仍待语义复核</x:v>
      </x:c>
      <x:c r="H169" s="56" t="str">
        <x:v>待确认</x:v>
      </x:c>
      <x:c r="I169" s="56" t="str">
        <x:v>待确认</x:v>
      </x:c>
      <x:c r="J169" s="59" t="str">
        <x:v>待确认</x:v>
      </x:c>
      <x:c r="K169" s="56" t="str"/>
      <x:c r="L169" s="56" t="str"/>
      <x:c r="M169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70">
      <x:c r="A170" s="56" t="str">
        <x:v>P014</x:v>
      </x:c>
      <x:c r="B170" s="56" t="str">
        <x:v>HX-ADD-002</x:v>
      </x:c>
      <x:c r="C170" s="56" t="str">
        <x:v>tuberculosis</x:v>
      </x:c>
      <x:c r="D170" s="56" t="str">
        <x:v>{"status":"absent","patientAnswerZh":"没有结核病。","patientAnswerEn":"I do not have tuberculosis.","provenance":"source","teacherReviewRequired":false}</x:v>
      </x:c>
      <x:c r="E170" s="56" t="str">
        <x:v>source</x:v>
      </x:c>
      <x:c r="F170" s="56" t="str">
        <x:v>是</x:v>
      </x:c>
      <x:c r="G170" s="56" t="str">
        <x:v>程序未检出确定性冲突；仍待语义复核</x:v>
      </x:c>
      <x:c r="H170" s="56" t="str">
        <x:v>待确认</x:v>
      </x:c>
      <x:c r="I170" s="56" t="str">
        <x:v>待确认</x:v>
      </x:c>
      <x:c r="J170" s="59" t="str">
        <x:v>待确认</x:v>
      </x:c>
      <x:c r="K170" s="56" t="str"/>
      <x:c r="L170" s="56" t="str"/>
      <x:c r="M170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71">
      <x:c r="A171" s="56" t="str">
        <x:v>P014</x:v>
      </x:c>
      <x:c r="B171" s="56" t="str">
        <x:v>HX-ADD-002</x:v>
      </x:c>
      <x:c r="C171" s="56" t="str">
        <x:v>urinaryProcedureHistory</x:v>
      </x:c>
      <x:c r="D171" s="56" t="str">
        <x:v>{"status":"absent","patientAnswerZh":"以前没有做过导尿、膀胱镜等泌尿操作。","patientAnswerEn":"I have not had catheterization, cystoscopy, or other urinary procedures.","provenance":"author_added_for_simulation","teacherReviewRequired":true}</x:v>
      </x:c>
      <x:c r="E171" s="56" t="str">
        <x:v>author_added_for_simulation</x:v>
      </x:c>
      <x:c r="F171" s="56" t="str">
        <x:v>是</x:v>
      </x:c>
      <x:c r="G171" s="56" t="str">
        <x:v>程序未检出确定性冲突；仍待语义复核</x:v>
      </x:c>
      <x:c r="H171" s="56" t="str">
        <x:v>待确认</x:v>
      </x:c>
      <x:c r="I171" s="56" t="str">
        <x:v>待确认</x:v>
      </x:c>
      <x:c r="J171" s="59" t="str">
        <x:v>待确认</x:v>
      </x:c>
      <x:c r="K171" s="56" t="str"/>
      <x:c r="L171" s="56" t="str"/>
      <x:c r="M171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72">
      <x:c r="A172" s="56" t="str">
        <x:v>P014</x:v>
      </x:c>
      <x:c r="B172" s="56" t="str">
        <x:v>HX-ADD-002</x:v>
      </x:c>
      <x:c r="C172" s="56" t="str">
        <x:v>surgeryHistory</x:v>
      </x:c>
      <x:c r="D172" s="56" t="str">
        <x:v>{"status":"absent","patientAnswerZh":"我以前没有做过手术。","patientAnswerEn":"I have never had surgery.","provenance":"author_added_for_simulation","teacherReviewRequired":true}</x:v>
      </x:c>
      <x:c r="E172" s="56" t="str">
        <x:v>author_added_for_simulation</x:v>
      </x:c>
      <x:c r="F172" s="56" t="str">
        <x:v>是</x:v>
      </x:c>
      <x:c r="G172" s="56" t="str">
        <x:v>程序未检出确定性冲突；仍待语义复核</x:v>
      </x:c>
      <x:c r="H172" s="56" t="str">
        <x:v>待确认</x:v>
      </x:c>
      <x:c r="I172" s="56" t="str">
        <x:v>是</x:v>
      </x:c>
      <x:c r="J172" s="59" t="str">
        <x:v>待确认</x:v>
      </x:c>
      <x:c r="K172" s="56" t="str"/>
      <x:c r="L172" s="56" t="str"/>
      <x:c r="M172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73">
      <x:c r="A173" s="56" t="str">
        <x:v>P014</x:v>
      </x:c>
      <x:c r="B173" s="56" t="str">
        <x:v>HX-ADD-002</x:v>
      </x:c>
      <x:c r="C173" s="56" t="str">
        <x:v>transfusionHistory</x:v>
      </x:c>
      <x:c r="D173" s="56" t="str">
        <x:v>{"status":"absent","patientAnswerZh":"我以前没有输过血。","patientAnswerEn":"I have never had a blood transfusion.","provenance":"author_added_for_simulation","teacherReviewRequired":true}</x:v>
      </x:c>
      <x:c r="E173" s="56" t="str">
        <x:v>author_added_for_simulation</x:v>
      </x:c>
      <x:c r="F173" s="56" t="str">
        <x:v>是</x:v>
      </x:c>
      <x:c r="G173" s="56" t="str">
        <x:v>程序未检出确定性冲突；仍待语义复核</x:v>
      </x:c>
      <x:c r="H173" s="56" t="str">
        <x:v>待确认</x:v>
      </x:c>
      <x:c r="I173" s="56" t="str">
        <x:v>待确认</x:v>
      </x:c>
      <x:c r="J173" s="59" t="str">
        <x:v>待确认</x:v>
      </x:c>
      <x:c r="K173" s="56" t="str"/>
      <x:c r="L173" s="56" t="str"/>
      <x:c r="M173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74">
      <x:c r="A174" s="56" t="str">
        <x:v>P014</x:v>
      </x:c>
      <x:c r="B174" s="56" t="str">
        <x:v>HX-ADD-002</x:v>
      </x:c>
      <x:c r="C174" s="56" t="str">
        <x:v>allergyHistory</x:v>
      </x:c>
      <x:c r="D174" s="56" t="str">
        <x:v>{"status":"absent","patientAnswerZh":"我没有已知药物或食物过敏。","patientAnswerEn":"I have no known drug or food allergies.","provenance":"author_added_for_simulation","teacherReviewRequired":true}</x:v>
      </x:c>
      <x:c r="E174" s="56" t="str">
        <x:v>author_added_for_simulation</x:v>
      </x:c>
      <x:c r="F174" s="56" t="str">
        <x:v>是</x:v>
      </x:c>
      <x:c r="G174" s="56" t="str">
        <x:v>程序未检出确定性冲突；仍待语义复核</x:v>
      </x:c>
      <x:c r="H174" s="56" t="str">
        <x:v>待确认</x:v>
      </x:c>
      <x:c r="I174" s="56" t="str">
        <x:v>是</x:v>
      </x:c>
      <x:c r="J174" s="59" t="str">
        <x:v>待确认</x:v>
      </x:c>
      <x:c r="K174" s="56" t="str"/>
      <x:c r="L174" s="56" t="str"/>
      <x:c r="M174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75">
      <x:c r="A175" s="56" t="str">
        <x:v>P014</x:v>
      </x:c>
      <x:c r="B175" s="56" t="str">
        <x:v>HX-ADD-002</x:v>
      </x:c>
      <x:c r="C175" s="56" t="str">
        <x:v>anticoagulantUse</x:v>
      </x:c>
      <x:c r="D175" s="56" t="str">
        <x:v>{"status":"absent","patientAnswerZh":"我没有服用华法林、利伐沙班等抗凝药。","patientAnswerEn":"I do not take anticoagulants.","provenance":"author_added_for_simulation","teacherReviewRequired":true}</x:v>
      </x:c>
      <x:c r="E175" s="56" t="str">
        <x:v>author_added_for_simulation</x:v>
      </x:c>
      <x:c r="F175" s="56" t="str">
        <x:v>是</x:v>
      </x:c>
      <x:c r="G175" s="56" t="str">
        <x:v>程序未检出确定性冲突；仍待语义复核</x:v>
      </x:c>
      <x:c r="H175" s="56" t="str">
        <x:v>可能</x:v>
      </x:c>
      <x:c r="I175" s="56" t="str">
        <x:v>是</x:v>
      </x:c>
      <x:c r="J175" s="59" t="str">
        <x:v>待确认</x:v>
      </x:c>
      <x:c r="K175" s="56" t="str"/>
      <x:c r="L175" s="56" t="str"/>
      <x:c r="M175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76">
      <x:c r="A176" s="56" t="str">
        <x:v>P014</x:v>
      </x:c>
      <x:c r="B176" s="56" t="str">
        <x:v>HX-ADD-002</x:v>
      </x:c>
      <x:c r="C176" s="56" t="str">
        <x:v>antiplateletUse</x:v>
      </x:c>
      <x:c r="D176" s="56" t="str">
        <x:v>{"status":"absent","patientAnswerZh":"我没有服用阿司匹林或氯吡格雷。","patientAnswerEn":"I do not take antiplatelet medication.","provenance":"author_added_for_simulation","teacherReviewRequired":true}</x:v>
      </x:c>
      <x:c r="E176" s="56" t="str">
        <x:v>author_added_for_simulation</x:v>
      </x:c>
      <x:c r="F176" s="56" t="str">
        <x:v>是</x:v>
      </x:c>
      <x:c r="G176" s="56" t="str">
        <x:v>程序未检出确定性冲突；仍待语义复核</x:v>
      </x:c>
      <x:c r="H176" s="56" t="str">
        <x:v>可能</x:v>
      </x:c>
      <x:c r="I176" s="56" t="str">
        <x:v>是</x:v>
      </x:c>
      <x:c r="J176" s="59" t="str">
        <x:v>待确认</x:v>
      </x:c>
      <x:c r="K176" s="56" t="str"/>
      <x:c r="L176" s="56" t="str"/>
      <x:c r="M176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77">
      <x:c r="A177" s="56" t="str">
        <x:v>P014</x:v>
      </x:c>
      <x:c r="B177" s="56" t="str">
        <x:v>HX-ADD-002</x:v>
      </x:c>
      <x:c r="C177" s="56" t="str">
        <x:v>familyHistory</x:v>
      </x:c>
      <x:c r="D177" s="56" t="str">
        <x:v>{"status":"absent","patientAnswerZh":"家里没有人得过类似血尿或遗传性肾病。","patientAnswerEn":"No one in my family has had similar hematuria or hereditary kidney disease.","provenance":"author_added_for_simulation","teacherReviewRequired":true}</x:v>
      </x:c>
      <x:c r="E177" s="56" t="str">
        <x:v>author_added_for_simulation</x:v>
      </x:c>
      <x:c r="F177" s="56" t="str">
        <x:v>是</x:v>
      </x:c>
      <x:c r="G177" s="56" t="str">
        <x:v>程序未检出确定性冲突；仍待语义复核</x:v>
      </x:c>
      <x:c r="H177" s="56" t="str">
        <x:v>可能</x:v>
      </x:c>
      <x:c r="I177" s="56" t="str">
        <x:v>是</x:v>
      </x:c>
      <x:c r="J177" s="59" t="str">
        <x:v>待确认</x:v>
      </x:c>
      <x:c r="K177" s="56" t="str"/>
      <x:c r="L177" s="56" t="str"/>
      <x:c r="M177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78">
      <x:c r="A178" s="56" t="str">
        <x:v>P014</x:v>
      </x:c>
      <x:c r="B178" s="56" t="str">
        <x:v>HX-ADD-002</x:v>
      </x:c>
      <x:c r="C178" s="56" t="str">
        <x:v>menstrualHistory</x:v>
      </x:c>
      <x:c r="D178" s="56" t="str">
        <x:v>{"status":"absent","patientAnswerZh":"月经情况正常，这次尿色异常不是在月经期。","patientAnswerEn":"My periods are regular, and this episode did not occur during menstruation.","provenance":"author_added_for_simulation","teacherReviewRequired":true}</x:v>
      </x:c>
      <x:c r="E178" s="56" t="str">
        <x:v>author_added_for_simulation</x:v>
      </x:c>
      <x:c r="F178" s="56" t="str">
        <x:v>是</x:v>
      </x:c>
      <x:c r="G178" s="56" t="str">
        <x:v>程序未检出确定性冲突；仍待语义复核</x:v>
      </x:c>
      <x:c r="H178" s="56" t="str">
        <x:v>可能</x:v>
      </x:c>
      <x:c r="I178" s="56" t="str">
        <x:v>待确认</x:v>
      </x:c>
      <x:c r="J178" s="59" t="str">
        <x:v>待确认</x:v>
      </x:c>
      <x:c r="K178" s="56" t="str"/>
      <x:c r="L178" s="56" t="str"/>
      <x:c r="M178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79">
      <x:c r="A179" s="56" t="str">
        <x:v>P014</x:v>
      </x:c>
      <x:c r="B179" s="56" t="str">
        <x:v>HX-ADD-002</x:v>
      </x:c>
      <x:c r="C179" s="56" t="str">
        <x:v>pregnancyHistory</x:v>
      </x:c>
      <x:c r="D179" s="56" t="str">
        <x:v>{"status":"absent","patientAnswerZh":"目前没有怀孕。","patientAnswerEn":"I am not currently pregnant.","provenance":"author_added_for_simulation","teacherReviewRequired":true}</x:v>
      </x:c>
      <x:c r="E179" s="56" t="str">
        <x:v>author_added_for_simulation</x:v>
      </x:c>
      <x:c r="F179" s="56" t="str">
        <x:v>是</x:v>
      </x:c>
      <x:c r="G179" s="56" t="str">
        <x:v>程序未检出确定性冲突；仍待语义复核</x:v>
      </x:c>
      <x:c r="H179" s="56" t="str">
        <x:v>可能</x:v>
      </x:c>
      <x:c r="I179" s="56" t="str">
        <x:v>待确认</x:v>
      </x:c>
      <x:c r="J179" s="59" t="str">
        <x:v>待确认</x:v>
      </x:c>
      <x:c r="K179" s="56" t="str"/>
      <x:c r="L179" s="56" t="str"/>
      <x:c r="M179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80">
      <x:c r="A180" s="56" t="str">
        <x:v>P015</x:v>
      </x:c>
      <x:c r="B180" s="56" t="str">
        <x:v>HX-ADD-003</x:v>
      </x:c>
      <x:c r="C180" s="56" t="str">
        <x:v>alcoholHistory</x:v>
      </x:c>
      <x:c r="D180" s="56" t="str">
        <x:v>{"status":"never","type":"","amount":"0","frequency":"never","years":0,"patientAnswerZh":"我平时不喝酒。","patientAnswerEn":"I do not drink alcohol.","provenance":"author_added_for_simulation","teacherReviewRequired":true}</x:v>
      </x:c>
      <x:c r="E180" s="56" t="str">
        <x:v>author_added_for_simulation</x:v>
      </x:c>
      <x:c r="F180" s="56" t="str">
        <x:v>是</x:v>
      </x:c>
      <x:c r="G180" s="56" t="str">
        <x:v>程序未检出确定性冲突；仍待语义复核</x:v>
      </x:c>
      <x:c r="H180" s="56" t="str">
        <x:v>待确认</x:v>
      </x:c>
      <x:c r="I180" s="56" t="str">
        <x:v>待确认</x:v>
      </x:c>
      <x:c r="J180" s="59" t="str">
        <x:v>待确认</x:v>
      </x:c>
      <x:c r="K180" s="56" t="str"/>
      <x:c r="L180" s="56" t="str"/>
      <x:c r="M180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81">
      <x:c r="A181" s="56" t="str">
        <x:v>P015</x:v>
      </x:c>
      <x:c r="B181" s="56" t="str">
        <x:v>HX-ADD-003</x:v>
      </x:c>
      <x:c r="C181" s="56" t="str">
        <x:v>diabetes</x:v>
      </x:c>
      <x:c r="D181" s="56" t="str">
        <x:v>{"status":"absent","patientAnswerZh":"没有糖尿病。","patientAnswerEn":"I do not have diabetes.","provenance":"source","teacherReviewRequired":false}</x:v>
      </x:c>
      <x:c r="E181" s="56" t="str">
        <x:v>source</x:v>
      </x:c>
      <x:c r="F181" s="56" t="str">
        <x:v>是</x:v>
      </x:c>
      <x:c r="G181" s="56" t="str">
        <x:v>程序未检出确定性冲突；仍待语义复核</x:v>
      </x:c>
      <x:c r="H181" s="56" t="str">
        <x:v>待确认</x:v>
      </x:c>
      <x:c r="I181" s="56" t="str">
        <x:v>待确认</x:v>
      </x:c>
      <x:c r="J181" s="59" t="str">
        <x:v>待确认</x:v>
      </x:c>
      <x:c r="K181" s="56" t="str"/>
      <x:c r="L181" s="56" t="str"/>
      <x:c r="M181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82">
      <x:c r="A182" s="56" t="str">
        <x:v>P015</x:v>
      </x:c>
      <x:c r="B182" s="56" t="str">
        <x:v>HX-ADD-003</x:v>
      </x:c>
      <x:c r="C182" s="56" t="str">
        <x:v>coronaryDisease</x:v>
      </x:c>
      <x:c r="D182" s="56" t="str">
        <x:v>{"status":"absent","patientAnswerZh":"没有冠心病。","patientAnswerEn":"I do not have coronary heart disease.","provenance":"source","teacherReviewRequired":false}</x:v>
      </x:c>
      <x:c r="E182" s="56" t="str">
        <x:v>source</x:v>
      </x:c>
      <x:c r="F182" s="56" t="str">
        <x:v>是</x:v>
      </x:c>
      <x:c r="G182" s="56" t="str">
        <x:v>程序未检出确定性冲突；仍待语义复核</x:v>
      </x:c>
      <x:c r="H182" s="56" t="str">
        <x:v>待确认</x:v>
      </x:c>
      <x:c r="I182" s="56" t="str">
        <x:v>待确认</x:v>
      </x:c>
      <x:c r="J182" s="59" t="str">
        <x:v>待确认</x:v>
      </x:c>
      <x:c r="K182" s="56" t="str"/>
      <x:c r="L182" s="56" t="str"/>
      <x:c r="M182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83">
      <x:c r="A183" s="56" t="str">
        <x:v>P015</x:v>
      </x:c>
      <x:c r="B183" s="56" t="str">
        <x:v>HX-ADD-003</x:v>
      </x:c>
      <x:c r="C183" s="56" t="str">
        <x:v>stroke</x:v>
      </x:c>
      <x:c r="D183" s="56" t="str">
        <x:v>{"status":"absent","patientAnswerZh":"没有脑卒中。","patientAnswerEn":"I do not have stroke.","provenance":"source","teacherReviewRequired":false}</x:v>
      </x:c>
      <x:c r="E183" s="56" t="str">
        <x:v>source</x:v>
      </x:c>
      <x:c r="F183" s="56" t="str">
        <x:v>是</x:v>
      </x:c>
      <x:c r="G183" s="56" t="str">
        <x:v>程序未检出确定性冲突；仍待语义复核</x:v>
      </x:c>
      <x:c r="H183" s="56" t="str">
        <x:v>待确认</x:v>
      </x:c>
      <x:c r="I183" s="56" t="str">
        <x:v>待确认</x:v>
      </x:c>
      <x:c r="J183" s="59" t="str">
        <x:v>待确认</x:v>
      </x:c>
      <x:c r="K183" s="56" t="str"/>
      <x:c r="L183" s="56" t="str"/>
      <x:c r="M183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84">
      <x:c r="A184" s="56" t="str">
        <x:v>P015</x:v>
      </x:c>
      <x:c r="B184" s="56" t="str">
        <x:v>HX-ADD-003</x:v>
      </x:c>
      <x:c r="C184" s="56" t="str">
        <x:v>liverDisease</x:v>
      </x:c>
      <x:c r="D184" s="56" t="str">
        <x:v>{"status":"absent","patientAnswerZh":"没有肝病。","patientAnswerEn":"I do not have liver disease.","provenance":"source","teacherReviewRequired":false}</x:v>
      </x:c>
      <x:c r="E184" s="56" t="str">
        <x:v>source</x:v>
      </x:c>
      <x:c r="F184" s="56" t="str">
        <x:v>是</x:v>
      </x:c>
      <x:c r="G184" s="56" t="str">
        <x:v>程序未检出确定性冲突；仍待语义复核</x:v>
      </x:c>
      <x:c r="H184" s="56" t="str">
        <x:v>待确认</x:v>
      </x:c>
      <x:c r="I184" s="56" t="str">
        <x:v>待确认</x:v>
      </x:c>
      <x:c r="J184" s="59" t="str">
        <x:v>待确认</x:v>
      </x:c>
      <x:c r="K184" s="56" t="str"/>
      <x:c r="L184" s="56" t="str"/>
      <x:c r="M184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85">
      <x:c r="A185" s="56" t="str">
        <x:v>P015</x:v>
      </x:c>
      <x:c r="B185" s="56" t="str">
        <x:v>HX-ADD-003</x:v>
      </x:c>
      <x:c r="C185" s="56" t="str">
        <x:v>tuberculosis</x:v>
      </x:c>
      <x:c r="D185" s="56" t="str">
        <x:v>{"status":"absent","patientAnswerZh":"没有结核病。","patientAnswerEn":"I do not have tuberculosis.","provenance":"source","teacherReviewRequired":false}</x:v>
      </x:c>
      <x:c r="E185" s="56" t="str">
        <x:v>source</x:v>
      </x:c>
      <x:c r="F185" s="56" t="str">
        <x:v>是</x:v>
      </x:c>
      <x:c r="G185" s="56" t="str">
        <x:v>程序未检出确定性冲突；仍待语义复核</x:v>
      </x:c>
      <x:c r="H185" s="56" t="str">
        <x:v>待确认</x:v>
      </x:c>
      <x:c r="I185" s="56" t="str">
        <x:v>待确认</x:v>
      </x:c>
      <x:c r="J185" s="59" t="str">
        <x:v>待确认</x:v>
      </x:c>
      <x:c r="K185" s="56" t="str"/>
      <x:c r="L185" s="56" t="str"/>
      <x:c r="M185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86">
      <x:c r="A186" s="56" t="str">
        <x:v>P015</x:v>
      </x:c>
      <x:c r="B186" s="56" t="str">
        <x:v>HX-ADD-003</x:v>
      </x:c>
      <x:c r="C186" s="56" t="str">
        <x:v>urinaryProcedureHistory</x:v>
      </x:c>
      <x:c r="D186" s="56" t="str">
        <x:v>{"status":"absent","patientAnswerZh":"以前没有做过导尿、膀胱镜等泌尿操作。","patientAnswerEn":"I have not had catheterization, cystoscopy, or other urinary procedures.","provenance":"author_added_for_simulation","teacherReviewRequired":true}</x:v>
      </x:c>
      <x:c r="E186" s="56" t="str">
        <x:v>author_added_for_simulation</x:v>
      </x:c>
      <x:c r="F186" s="56" t="str">
        <x:v>是</x:v>
      </x:c>
      <x:c r="G186" s="56" t="str">
        <x:v>程序未检出确定性冲突；仍待语义复核</x:v>
      </x:c>
      <x:c r="H186" s="56" t="str">
        <x:v>待确认</x:v>
      </x:c>
      <x:c r="I186" s="56" t="str">
        <x:v>待确认</x:v>
      </x:c>
      <x:c r="J186" s="59" t="str">
        <x:v>待确认</x:v>
      </x:c>
      <x:c r="K186" s="56" t="str"/>
      <x:c r="L186" s="56" t="str"/>
      <x:c r="M186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87">
      <x:c r="A187" s="56" t="str">
        <x:v>P015</x:v>
      </x:c>
      <x:c r="B187" s="56" t="str">
        <x:v>HX-ADD-003</x:v>
      </x:c>
      <x:c r="C187" s="56" t="str">
        <x:v>surgeryHistory</x:v>
      </x:c>
      <x:c r="D187" s="56" t="str">
        <x:v>{"status":"absent","patientAnswerZh":"我以前没有做过手术。","patientAnswerEn":"I have never had surgery.","provenance":"author_added_for_simulation","teacherReviewRequired":true}</x:v>
      </x:c>
      <x:c r="E187" s="56" t="str">
        <x:v>author_added_for_simulation</x:v>
      </x:c>
      <x:c r="F187" s="56" t="str">
        <x:v>是</x:v>
      </x:c>
      <x:c r="G187" s="56" t="str">
        <x:v>程序未检出确定性冲突；仍待语义复核</x:v>
      </x:c>
      <x:c r="H187" s="56" t="str">
        <x:v>待确认</x:v>
      </x:c>
      <x:c r="I187" s="56" t="str">
        <x:v>是</x:v>
      </x:c>
      <x:c r="J187" s="59" t="str">
        <x:v>待确认</x:v>
      </x:c>
      <x:c r="K187" s="56" t="str"/>
      <x:c r="L187" s="56" t="str"/>
      <x:c r="M187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88">
      <x:c r="A188" s="56" t="str">
        <x:v>P015</x:v>
      </x:c>
      <x:c r="B188" s="56" t="str">
        <x:v>HX-ADD-003</x:v>
      </x:c>
      <x:c r="C188" s="56" t="str">
        <x:v>transfusionHistory</x:v>
      </x:c>
      <x:c r="D188" s="56" t="str">
        <x:v>{"status":"absent","patientAnswerZh":"我以前没有输过血。","patientAnswerEn":"I have never had a blood transfusion.","provenance":"author_added_for_simulation","teacherReviewRequired":true}</x:v>
      </x:c>
      <x:c r="E188" s="56" t="str">
        <x:v>author_added_for_simulation</x:v>
      </x:c>
      <x:c r="F188" s="56" t="str">
        <x:v>是</x:v>
      </x:c>
      <x:c r="G188" s="56" t="str">
        <x:v>程序未检出确定性冲突；仍待语义复核</x:v>
      </x:c>
      <x:c r="H188" s="56" t="str">
        <x:v>待确认</x:v>
      </x:c>
      <x:c r="I188" s="56" t="str">
        <x:v>待确认</x:v>
      </x:c>
      <x:c r="J188" s="59" t="str">
        <x:v>待确认</x:v>
      </x:c>
      <x:c r="K188" s="56" t="str"/>
      <x:c r="L188" s="56" t="str"/>
      <x:c r="M188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89">
      <x:c r="A189" s="56" t="str">
        <x:v>P015</x:v>
      </x:c>
      <x:c r="B189" s="56" t="str">
        <x:v>HX-ADD-003</x:v>
      </x:c>
      <x:c r="C189" s="56" t="str">
        <x:v>allergyHistory</x:v>
      </x:c>
      <x:c r="D189" s="56" t="str">
        <x:v>{"status":"absent","patientAnswerZh":"我没有已知药物或食物过敏。","patientAnswerEn":"I have no known drug or food allergies.","provenance":"author_added_for_simulation","teacherReviewRequired":true}</x:v>
      </x:c>
      <x:c r="E189" s="56" t="str">
        <x:v>author_added_for_simulation</x:v>
      </x:c>
      <x:c r="F189" s="56" t="str">
        <x:v>是</x:v>
      </x:c>
      <x:c r="G189" s="56" t="str">
        <x:v>程序未检出确定性冲突；仍待语义复核</x:v>
      </x:c>
      <x:c r="H189" s="56" t="str">
        <x:v>待确认</x:v>
      </x:c>
      <x:c r="I189" s="56" t="str">
        <x:v>是</x:v>
      </x:c>
      <x:c r="J189" s="59" t="str">
        <x:v>待确认</x:v>
      </x:c>
      <x:c r="K189" s="56" t="str"/>
      <x:c r="L189" s="56" t="str"/>
      <x:c r="M189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90">
      <x:c r="A190" s="56" t="str">
        <x:v>P015</x:v>
      </x:c>
      <x:c r="B190" s="56" t="str">
        <x:v>HX-ADD-003</x:v>
      </x:c>
      <x:c r="C190" s="56" t="str">
        <x:v>anticoagulantUse</x:v>
      </x:c>
      <x:c r="D190" s="56" t="str">
        <x:v>{"status":"absent","patientAnswerZh":"我没有服用华法林、利伐沙班等抗凝药。","patientAnswerEn":"I do not take anticoagulants.","provenance":"author_added_for_simulation","teacherReviewRequired":true}</x:v>
      </x:c>
      <x:c r="E190" s="56" t="str">
        <x:v>author_added_for_simulation</x:v>
      </x:c>
      <x:c r="F190" s="56" t="str">
        <x:v>是</x:v>
      </x:c>
      <x:c r="G190" s="56" t="str">
        <x:v>程序未检出确定性冲突；仍待语义复核</x:v>
      </x:c>
      <x:c r="H190" s="56" t="str">
        <x:v>可能</x:v>
      </x:c>
      <x:c r="I190" s="56" t="str">
        <x:v>是</x:v>
      </x:c>
      <x:c r="J190" s="59" t="str">
        <x:v>待确认</x:v>
      </x:c>
      <x:c r="K190" s="56" t="str"/>
      <x:c r="L190" s="56" t="str"/>
      <x:c r="M190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91">
      <x:c r="A191" s="56" t="str">
        <x:v>P015</x:v>
      </x:c>
      <x:c r="B191" s="56" t="str">
        <x:v>HX-ADD-003</x:v>
      </x:c>
      <x:c r="C191" s="56" t="str">
        <x:v>antiplateletUse</x:v>
      </x:c>
      <x:c r="D191" s="56" t="str">
        <x:v>{"status":"absent","patientAnswerZh":"我没有服用阿司匹林或氯吡格雷。","patientAnswerEn":"I do not take antiplatelet medication.","provenance":"author_added_for_simulation","teacherReviewRequired":true}</x:v>
      </x:c>
      <x:c r="E191" s="56" t="str">
        <x:v>author_added_for_simulation</x:v>
      </x:c>
      <x:c r="F191" s="56" t="str">
        <x:v>是</x:v>
      </x:c>
      <x:c r="G191" s="56" t="str">
        <x:v>程序未检出确定性冲突；仍待语义复核</x:v>
      </x:c>
      <x:c r="H191" s="56" t="str">
        <x:v>可能</x:v>
      </x:c>
      <x:c r="I191" s="56" t="str">
        <x:v>是</x:v>
      </x:c>
      <x:c r="J191" s="59" t="str">
        <x:v>待确认</x:v>
      </x:c>
      <x:c r="K191" s="56" t="str"/>
      <x:c r="L191" s="56" t="str"/>
      <x:c r="M191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92">
      <x:c r="A192" s="56" t="str">
        <x:v>P015</x:v>
      </x:c>
      <x:c r="B192" s="56" t="str">
        <x:v>HX-ADD-003</x:v>
      </x:c>
      <x:c r="C192" s="56" t="str">
        <x:v>familyHistory</x:v>
      </x:c>
      <x:c r="D192" s="56" t="str">
        <x:v>{"status":"absent","patientAnswerZh":"家里没有人得过类似血尿或遗传性肾病。","patientAnswerEn":"No one in my family has had similar hematuria or hereditary kidney disease.","provenance":"author_added_for_simulation","teacherReviewRequired":true}</x:v>
      </x:c>
      <x:c r="E192" s="56" t="str">
        <x:v>author_added_for_simulation</x:v>
      </x:c>
      <x:c r="F192" s="56" t="str">
        <x:v>是</x:v>
      </x:c>
      <x:c r="G192" s="56" t="str">
        <x:v>程序未检出确定性冲突；仍待语义复核</x:v>
      </x:c>
      <x:c r="H192" s="56" t="str">
        <x:v>可能</x:v>
      </x:c>
      <x:c r="I192" s="56" t="str">
        <x:v>是</x:v>
      </x:c>
      <x:c r="J192" s="59" t="str">
        <x:v>待确认</x:v>
      </x:c>
      <x:c r="K192" s="56" t="str"/>
      <x:c r="L192" s="56" t="str"/>
      <x:c r="M192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93">
      <x:c r="A193" s="56" t="str">
        <x:v>P016</x:v>
      </x:c>
      <x:c r="B193" s="56" t="str">
        <x:v>HX-ADD-004</x:v>
      </x:c>
      <x:c r="C193" s="56" t="str">
        <x:v>alcoholHistory</x:v>
      </x:c>
      <x:c r="D193" s="56" t="str">
        <x:v>{"status":"never","type":"","amount":"0","frequency":"never","years":0,"patientAnswerZh":"我平时不喝酒。","patientAnswerEn":"I do not drink alcohol.","provenance":"author_added_for_simulation","teacherReviewRequired":true}</x:v>
      </x:c>
      <x:c r="E193" s="56" t="str">
        <x:v>author_added_for_simulation</x:v>
      </x:c>
      <x:c r="F193" s="56" t="str">
        <x:v>是</x:v>
      </x:c>
      <x:c r="G193" s="56" t="str">
        <x:v>程序未检出确定性冲突；仍待语义复核</x:v>
      </x:c>
      <x:c r="H193" s="56" t="str">
        <x:v>待确认</x:v>
      </x:c>
      <x:c r="I193" s="56" t="str">
        <x:v>待确认</x:v>
      </x:c>
      <x:c r="J193" s="59" t="str">
        <x:v>待确认</x:v>
      </x:c>
      <x:c r="K193" s="56" t="str"/>
      <x:c r="L193" s="56" t="str"/>
      <x:c r="M193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94">
      <x:c r="A194" s="56" t="str">
        <x:v>P016</x:v>
      </x:c>
      <x:c r="B194" s="56" t="str">
        <x:v>HX-ADD-004</x:v>
      </x:c>
      <x:c r="C194" s="56" t="str">
        <x:v>diabetes</x:v>
      </x:c>
      <x:c r="D194" s="56" t="str">
        <x:v>{"status":"absent","patientAnswerZh":"没有糖尿病。","patientAnswerEn":"I do not have diabetes.","provenance":"source","teacherReviewRequired":false}</x:v>
      </x:c>
      <x:c r="E194" s="56" t="str">
        <x:v>source</x:v>
      </x:c>
      <x:c r="F194" s="56" t="str">
        <x:v>是</x:v>
      </x:c>
      <x:c r="G194" s="56" t="str">
        <x:v>程序未检出确定性冲突；仍待语义复核</x:v>
      </x:c>
      <x:c r="H194" s="56" t="str">
        <x:v>待确认</x:v>
      </x:c>
      <x:c r="I194" s="56" t="str">
        <x:v>待确认</x:v>
      </x:c>
      <x:c r="J194" s="59" t="str">
        <x:v>待确认</x:v>
      </x:c>
      <x:c r="K194" s="56" t="str"/>
      <x:c r="L194" s="56" t="str"/>
      <x:c r="M194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95">
      <x:c r="A195" s="56" t="str">
        <x:v>P016</x:v>
      </x:c>
      <x:c r="B195" s="56" t="str">
        <x:v>HX-ADD-004</x:v>
      </x:c>
      <x:c r="C195" s="56" t="str">
        <x:v>coronaryDisease</x:v>
      </x:c>
      <x:c r="D195" s="56" t="str">
        <x:v>{"status":"absent","patientAnswerZh":"没有冠心病。","patientAnswerEn":"I do not have coronary heart disease.","provenance":"source","teacherReviewRequired":false}</x:v>
      </x:c>
      <x:c r="E195" s="56" t="str">
        <x:v>source</x:v>
      </x:c>
      <x:c r="F195" s="56" t="str">
        <x:v>是</x:v>
      </x:c>
      <x:c r="G195" s="56" t="str">
        <x:v>程序未检出确定性冲突；仍待语义复核</x:v>
      </x:c>
      <x:c r="H195" s="56" t="str">
        <x:v>待确认</x:v>
      </x:c>
      <x:c r="I195" s="56" t="str">
        <x:v>待确认</x:v>
      </x:c>
      <x:c r="J195" s="59" t="str">
        <x:v>待确认</x:v>
      </x:c>
      <x:c r="K195" s="56" t="str"/>
      <x:c r="L195" s="56" t="str"/>
      <x:c r="M195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96">
      <x:c r="A196" s="56" t="str">
        <x:v>P016</x:v>
      </x:c>
      <x:c r="B196" s="56" t="str">
        <x:v>HX-ADD-004</x:v>
      </x:c>
      <x:c r="C196" s="56" t="str">
        <x:v>stroke</x:v>
      </x:c>
      <x:c r="D196" s="56" t="str">
        <x:v>{"status":"absent","patientAnswerZh":"没有脑卒中。","patientAnswerEn":"I do not have stroke.","provenance":"source","teacherReviewRequired":false}</x:v>
      </x:c>
      <x:c r="E196" s="56" t="str">
        <x:v>source</x:v>
      </x:c>
      <x:c r="F196" s="56" t="str">
        <x:v>是</x:v>
      </x:c>
      <x:c r="G196" s="56" t="str">
        <x:v>程序未检出确定性冲突；仍待语义复核</x:v>
      </x:c>
      <x:c r="H196" s="56" t="str">
        <x:v>待确认</x:v>
      </x:c>
      <x:c r="I196" s="56" t="str">
        <x:v>待确认</x:v>
      </x:c>
      <x:c r="J196" s="59" t="str">
        <x:v>待确认</x:v>
      </x:c>
      <x:c r="K196" s="56" t="str"/>
      <x:c r="L196" s="56" t="str"/>
      <x:c r="M196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97">
      <x:c r="A197" s="56" t="str">
        <x:v>P016</x:v>
      </x:c>
      <x:c r="B197" s="56" t="str">
        <x:v>HX-ADD-004</x:v>
      </x:c>
      <x:c r="C197" s="56" t="str">
        <x:v>liverDisease</x:v>
      </x:c>
      <x:c r="D197" s="56" t="str">
        <x:v>{"status":"absent","patientAnswerZh":"没有肝病。","patientAnswerEn":"I do not have liver disease.","provenance":"source","teacherReviewRequired":false}</x:v>
      </x:c>
      <x:c r="E197" s="56" t="str">
        <x:v>source</x:v>
      </x:c>
      <x:c r="F197" s="56" t="str">
        <x:v>是</x:v>
      </x:c>
      <x:c r="G197" s="56" t="str">
        <x:v>程序未检出确定性冲突；仍待语义复核</x:v>
      </x:c>
      <x:c r="H197" s="56" t="str">
        <x:v>待确认</x:v>
      </x:c>
      <x:c r="I197" s="56" t="str">
        <x:v>待确认</x:v>
      </x:c>
      <x:c r="J197" s="59" t="str">
        <x:v>待确认</x:v>
      </x:c>
      <x:c r="K197" s="56" t="str"/>
      <x:c r="L197" s="56" t="str"/>
      <x:c r="M197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98">
      <x:c r="A198" s="56" t="str">
        <x:v>P016</x:v>
      </x:c>
      <x:c r="B198" s="56" t="str">
        <x:v>HX-ADD-004</x:v>
      </x:c>
      <x:c r="C198" s="56" t="str">
        <x:v>tuberculosis</x:v>
      </x:c>
      <x:c r="D198" s="56" t="str">
        <x:v>{"status":"absent","patientAnswerZh":"没有结核病。","patientAnswerEn":"I do not have tuberculosis.","provenance":"source","teacherReviewRequired":false}</x:v>
      </x:c>
      <x:c r="E198" s="56" t="str">
        <x:v>source</x:v>
      </x:c>
      <x:c r="F198" s="56" t="str">
        <x:v>是</x:v>
      </x:c>
      <x:c r="G198" s="56" t="str">
        <x:v>程序未检出确定性冲突；仍待语义复核</x:v>
      </x:c>
      <x:c r="H198" s="56" t="str">
        <x:v>待确认</x:v>
      </x:c>
      <x:c r="I198" s="56" t="str">
        <x:v>待确认</x:v>
      </x:c>
      <x:c r="J198" s="59" t="str">
        <x:v>待确认</x:v>
      </x:c>
      <x:c r="K198" s="56" t="str"/>
      <x:c r="L198" s="56" t="str"/>
      <x:c r="M198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199">
      <x:c r="A199" s="56" t="str">
        <x:v>P016</x:v>
      </x:c>
      <x:c r="B199" s="56" t="str">
        <x:v>HX-ADD-004</x:v>
      </x:c>
      <x:c r="C199" s="56" t="str">
        <x:v>urinaryProcedureHistory</x:v>
      </x:c>
      <x:c r="D199" s="56" t="str">
        <x:v>{"status":"absent","patientAnswerZh":"以前没有做过导尿、膀胱镜等泌尿操作。","patientAnswerEn":"I have not had catheterization, cystoscopy, or other urinary procedures.","provenance":"author_added_for_simulation","teacherReviewRequired":true}</x:v>
      </x:c>
      <x:c r="E199" s="56" t="str">
        <x:v>author_added_for_simulation</x:v>
      </x:c>
      <x:c r="F199" s="56" t="str">
        <x:v>是</x:v>
      </x:c>
      <x:c r="G199" s="56" t="str">
        <x:v>程序未检出确定性冲突；仍待语义复核</x:v>
      </x:c>
      <x:c r="H199" s="56" t="str">
        <x:v>待确认</x:v>
      </x:c>
      <x:c r="I199" s="56" t="str">
        <x:v>待确认</x:v>
      </x:c>
      <x:c r="J199" s="59" t="str">
        <x:v>待确认</x:v>
      </x:c>
      <x:c r="K199" s="56" t="str"/>
      <x:c r="L199" s="56" t="str"/>
      <x:c r="M199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00">
      <x:c r="A200" s="56" t="str">
        <x:v>P016</x:v>
      </x:c>
      <x:c r="B200" s="56" t="str">
        <x:v>HX-ADD-004</x:v>
      </x:c>
      <x:c r="C200" s="56" t="str">
        <x:v>surgeryHistory</x:v>
      </x:c>
      <x:c r="D200" s="56" t="str">
        <x:v>{"status":"absent","patientAnswerZh":"我以前没有做过手术。","patientAnswerEn":"I have never had surgery.","provenance":"author_added_for_simulation","teacherReviewRequired":true}</x:v>
      </x:c>
      <x:c r="E200" s="56" t="str">
        <x:v>author_added_for_simulation</x:v>
      </x:c>
      <x:c r="F200" s="56" t="str">
        <x:v>是</x:v>
      </x:c>
      <x:c r="G200" s="56" t="str">
        <x:v>程序未检出确定性冲突；仍待语义复核</x:v>
      </x:c>
      <x:c r="H200" s="56" t="str">
        <x:v>待确认</x:v>
      </x:c>
      <x:c r="I200" s="56" t="str">
        <x:v>是</x:v>
      </x:c>
      <x:c r="J200" s="59" t="str">
        <x:v>待确认</x:v>
      </x:c>
      <x:c r="K200" s="56" t="str"/>
      <x:c r="L200" s="56" t="str"/>
      <x:c r="M200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01">
      <x:c r="A201" s="56" t="str">
        <x:v>P016</x:v>
      </x:c>
      <x:c r="B201" s="56" t="str">
        <x:v>HX-ADD-004</x:v>
      </x:c>
      <x:c r="C201" s="56" t="str">
        <x:v>transfusionHistory</x:v>
      </x:c>
      <x:c r="D201" s="56" t="str">
        <x:v>{"status":"absent","patientAnswerZh":"我以前没有输过血。","patientAnswerEn":"I have never had a blood transfusion.","provenance":"author_added_for_simulation","teacherReviewRequired":true}</x:v>
      </x:c>
      <x:c r="E201" s="56" t="str">
        <x:v>author_added_for_simulation</x:v>
      </x:c>
      <x:c r="F201" s="56" t="str">
        <x:v>是</x:v>
      </x:c>
      <x:c r="G201" s="56" t="str">
        <x:v>程序未检出确定性冲突；仍待语义复核</x:v>
      </x:c>
      <x:c r="H201" s="56" t="str">
        <x:v>待确认</x:v>
      </x:c>
      <x:c r="I201" s="56" t="str">
        <x:v>待确认</x:v>
      </x:c>
      <x:c r="J201" s="59" t="str">
        <x:v>待确认</x:v>
      </x:c>
      <x:c r="K201" s="56" t="str"/>
      <x:c r="L201" s="56" t="str"/>
      <x:c r="M201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02">
      <x:c r="A202" s="56" t="str">
        <x:v>P016</x:v>
      </x:c>
      <x:c r="B202" s="56" t="str">
        <x:v>HX-ADD-004</x:v>
      </x:c>
      <x:c r="C202" s="56" t="str">
        <x:v>allergyHistory</x:v>
      </x:c>
      <x:c r="D202" s="56" t="str">
        <x:v>{"status":"absent","patientAnswerZh":"我没有已知药物或食物过敏。","patientAnswerEn":"I have no known drug or food allergies.","provenance":"author_added_for_simulation","teacherReviewRequired":true}</x:v>
      </x:c>
      <x:c r="E202" s="56" t="str">
        <x:v>author_added_for_simulation</x:v>
      </x:c>
      <x:c r="F202" s="56" t="str">
        <x:v>是</x:v>
      </x:c>
      <x:c r="G202" s="56" t="str">
        <x:v>程序未检出确定性冲突；仍待语义复核</x:v>
      </x:c>
      <x:c r="H202" s="56" t="str">
        <x:v>待确认</x:v>
      </x:c>
      <x:c r="I202" s="56" t="str">
        <x:v>是</x:v>
      </x:c>
      <x:c r="J202" s="59" t="str">
        <x:v>待确认</x:v>
      </x:c>
      <x:c r="K202" s="56" t="str"/>
      <x:c r="L202" s="56" t="str"/>
      <x:c r="M202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03">
      <x:c r="A203" s="56" t="str">
        <x:v>P016</x:v>
      </x:c>
      <x:c r="B203" s="56" t="str">
        <x:v>HX-ADD-004</x:v>
      </x:c>
      <x:c r="C203" s="56" t="str">
        <x:v>anticoagulantUse</x:v>
      </x:c>
      <x:c r="D203" s="56" t="str">
        <x:v>{"status":"absent","patientAnswerZh":"我没有服用华法林、利伐沙班等抗凝药。","patientAnswerEn":"I do not take anticoagulants.","provenance":"author_added_for_simulation","teacherReviewRequired":true}</x:v>
      </x:c>
      <x:c r="E203" s="56" t="str">
        <x:v>author_added_for_simulation</x:v>
      </x:c>
      <x:c r="F203" s="56" t="str">
        <x:v>是</x:v>
      </x:c>
      <x:c r="G203" s="56" t="str">
        <x:v>程序未检出确定性冲突；仍待语义复核</x:v>
      </x:c>
      <x:c r="H203" s="56" t="str">
        <x:v>可能</x:v>
      </x:c>
      <x:c r="I203" s="56" t="str">
        <x:v>是</x:v>
      </x:c>
      <x:c r="J203" s="59" t="str">
        <x:v>待确认</x:v>
      </x:c>
      <x:c r="K203" s="56" t="str"/>
      <x:c r="L203" s="56" t="str"/>
      <x:c r="M203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04">
      <x:c r="A204" s="56" t="str">
        <x:v>P016</x:v>
      </x:c>
      <x:c r="B204" s="56" t="str">
        <x:v>HX-ADD-004</x:v>
      </x:c>
      <x:c r="C204" s="56" t="str">
        <x:v>antiplateletUse</x:v>
      </x:c>
      <x:c r="D204" s="56" t="str">
        <x:v>{"status":"absent","patientAnswerZh":"我没有服用阿司匹林或氯吡格雷。","patientAnswerEn":"I do not take antiplatelet medication.","provenance":"author_added_for_simulation","teacherReviewRequired":true}</x:v>
      </x:c>
      <x:c r="E204" s="56" t="str">
        <x:v>author_added_for_simulation</x:v>
      </x:c>
      <x:c r="F204" s="56" t="str">
        <x:v>是</x:v>
      </x:c>
      <x:c r="G204" s="56" t="str">
        <x:v>程序未检出确定性冲突；仍待语义复核</x:v>
      </x:c>
      <x:c r="H204" s="56" t="str">
        <x:v>可能</x:v>
      </x:c>
      <x:c r="I204" s="56" t="str">
        <x:v>是</x:v>
      </x:c>
      <x:c r="J204" s="59" t="str">
        <x:v>待确认</x:v>
      </x:c>
      <x:c r="K204" s="56" t="str"/>
      <x:c r="L204" s="56" t="str"/>
      <x:c r="M204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05">
      <x:c r="A205" s="56" t="str">
        <x:v>P016</x:v>
      </x:c>
      <x:c r="B205" s="56" t="str">
        <x:v>HX-ADD-004</x:v>
      </x:c>
      <x:c r="C205" s="56" t="str">
        <x:v>familyHistory</x:v>
      </x:c>
      <x:c r="D205" s="56" t="str">
        <x:v>{"status":"absent","patientAnswerZh":"家里没有人得过类似血尿或遗传性肾病。","patientAnswerEn":"No one in my family has had similar hematuria or hereditary kidney disease.","provenance":"author_added_for_simulation","teacherReviewRequired":true}</x:v>
      </x:c>
      <x:c r="E205" s="56" t="str">
        <x:v>author_added_for_simulation</x:v>
      </x:c>
      <x:c r="F205" s="56" t="str">
        <x:v>是</x:v>
      </x:c>
      <x:c r="G205" s="56" t="str">
        <x:v>程序未检出确定性冲突；仍待语义复核</x:v>
      </x:c>
      <x:c r="H205" s="56" t="str">
        <x:v>可能</x:v>
      </x:c>
      <x:c r="I205" s="56" t="str">
        <x:v>是</x:v>
      </x:c>
      <x:c r="J205" s="59" t="str">
        <x:v>待确认</x:v>
      </x:c>
      <x:c r="K205" s="56" t="str"/>
      <x:c r="L205" s="56" t="str"/>
      <x:c r="M205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06">
      <x:c r="A206" s="56" t="str">
        <x:v>P017</x:v>
      </x:c>
      <x:c r="B206" s="56" t="str">
        <x:v>HX-ADD-005</x:v>
      </x:c>
      <x:c r="C206" s="56" t="str">
        <x:v>alcoholHistory</x:v>
      </x:c>
      <x:c r="D206" s="56" t="str">
        <x:v>{"status":"never","type":"","amount":"0","frequency":"never","years":0,"patientAnswerZh":"我平时不喝酒。","patientAnswerEn":"I do not drink alcohol.","provenance":"author_added_for_simulation","teacherReviewRequired":true}</x:v>
      </x:c>
      <x:c r="E206" s="56" t="str">
        <x:v>author_added_for_simulation</x:v>
      </x:c>
      <x:c r="F206" s="56" t="str">
        <x:v>是</x:v>
      </x:c>
      <x:c r="G206" s="56" t="str">
        <x:v>程序未检出确定性冲突；仍待语义复核</x:v>
      </x:c>
      <x:c r="H206" s="56" t="str">
        <x:v>待确认</x:v>
      </x:c>
      <x:c r="I206" s="56" t="str">
        <x:v>待确认</x:v>
      </x:c>
      <x:c r="J206" s="59" t="str">
        <x:v>待确认</x:v>
      </x:c>
      <x:c r="K206" s="56" t="str"/>
      <x:c r="L206" s="56" t="str"/>
      <x:c r="M206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07">
      <x:c r="A207" s="56" t="str">
        <x:v>P017</x:v>
      </x:c>
      <x:c r="B207" s="56" t="str">
        <x:v>HX-ADD-005</x:v>
      </x:c>
      <x:c r="C207" s="56" t="str">
        <x:v>diabetes</x:v>
      </x:c>
      <x:c r="D207" s="56" t="str">
        <x:v>{"status":"absent","patientAnswerZh":"没有糖尿病。","patientAnswerEn":"I do not have diabetes.","provenance":"source","teacherReviewRequired":false}</x:v>
      </x:c>
      <x:c r="E207" s="56" t="str">
        <x:v>source</x:v>
      </x:c>
      <x:c r="F207" s="56" t="str">
        <x:v>是</x:v>
      </x:c>
      <x:c r="G207" s="56" t="str">
        <x:v>程序未检出确定性冲突；仍待语义复核</x:v>
      </x:c>
      <x:c r="H207" s="56" t="str">
        <x:v>待确认</x:v>
      </x:c>
      <x:c r="I207" s="56" t="str">
        <x:v>待确认</x:v>
      </x:c>
      <x:c r="J207" s="59" t="str">
        <x:v>待确认</x:v>
      </x:c>
      <x:c r="K207" s="56" t="str"/>
      <x:c r="L207" s="56" t="str"/>
      <x:c r="M207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08">
      <x:c r="A208" s="56" t="str">
        <x:v>P017</x:v>
      </x:c>
      <x:c r="B208" s="56" t="str">
        <x:v>HX-ADD-005</x:v>
      </x:c>
      <x:c r="C208" s="56" t="str">
        <x:v>stroke</x:v>
      </x:c>
      <x:c r="D208" s="56" t="str">
        <x:v>{"status":"absent","patientAnswerZh":"没有脑卒中。","patientAnswerEn":"I do not have stroke.","provenance":"source","teacherReviewRequired":false}</x:v>
      </x:c>
      <x:c r="E208" s="56" t="str">
        <x:v>source</x:v>
      </x:c>
      <x:c r="F208" s="56" t="str">
        <x:v>是</x:v>
      </x:c>
      <x:c r="G208" s="56" t="str">
        <x:v>程序未检出确定性冲突；仍待语义复核</x:v>
      </x:c>
      <x:c r="H208" s="56" t="str">
        <x:v>待确认</x:v>
      </x:c>
      <x:c r="I208" s="56" t="str">
        <x:v>待确认</x:v>
      </x:c>
      <x:c r="J208" s="59" t="str">
        <x:v>待确认</x:v>
      </x:c>
      <x:c r="K208" s="56" t="str"/>
      <x:c r="L208" s="56" t="str"/>
      <x:c r="M208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09">
      <x:c r="A209" s="56" t="str">
        <x:v>P017</x:v>
      </x:c>
      <x:c r="B209" s="56" t="str">
        <x:v>HX-ADD-005</x:v>
      </x:c>
      <x:c r="C209" s="56" t="str">
        <x:v>liverDisease</x:v>
      </x:c>
      <x:c r="D209" s="56" t="str">
        <x:v>{"status":"absent","patientAnswerZh":"没有肝病。","patientAnswerEn":"I do not have liver disease.","provenance":"source","teacherReviewRequired":false}</x:v>
      </x:c>
      <x:c r="E209" s="56" t="str">
        <x:v>source</x:v>
      </x:c>
      <x:c r="F209" s="56" t="str">
        <x:v>是</x:v>
      </x:c>
      <x:c r="G209" s="56" t="str">
        <x:v>程序未检出确定性冲突；仍待语义复核</x:v>
      </x:c>
      <x:c r="H209" s="56" t="str">
        <x:v>待确认</x:v>
      </x:c>
      <x:c r="I209" s="56" t="str">
        <x:v>待确认</x:v>
      </x:c>
      <x:c r="J209" s="59" t="str">
        <x:v>待确认</x:v>
      </x:c>
      <x:c r="K209" s="56" t="str"/>
      <x:c r="L209" s="56" t="str"/>
      <x:c r="M209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10">
      <x:c r="A210" s="56" t="str">
        <x:v>P017</x:v>
      </x:c>
      <x:c r="B210" s="56" t="str">
        <x:v>HX-ADD-005</x:v>
      </x:c>
      <x:c r="C210" s="56" t="str">
        <x:v>tuberculosis</x:v>
      </x:c>
      <x:c r="D210" s="56" t="str">
        <x:v>{"status":"absent","patientAnswerZh":"没有结核病。","patientAnswerEn":"I do not have tuberculosis.","provenance":"source","teacherReviewRequired":false}</x:v>
      </x:c>
      <x:c r="E210" s="56" t="str">
        <x:v>source</x:v>
      </x:c>
      <x:c r="F210" s="56" t="str">
        <x:v>是</x:v>
      </x:c>
      <x:c r="G210" s="56" t="str">
        <x:v>程序未检出确定性冲突；仍待语义复核</x:v>
      </x:c>
      <x:c r="H210" s="56" t="str">
        <x:v>待确认</x:v>
      </x:c>
      <x:c r="I210" s="56" t="str">
        <x:v>待确认</x:v>
      </x:c>
      <x:c r="J210" s="59" t="str">
        <x:v>待确认</x:v>
      </x:c>
      <x:c r="K210" s="56" t="str"/>
      <x:c r="L210" s="56" t="str"/>
      <x:c r="M210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11">
      <x:c r="A211" s="56" t="str">
        <x:v>P017</x:v>
      </x:c>
      <x:c r="B211" s="56" t="str">
        <x:v>HX-ADD-005</x:v>
      </x:c>
      <x:c r="C211" s="56" t="str">
        <x:v>urinaryProcedureHistory</x:v>
      </x:c>
      <x:c r="D211" s="56" t="str">
        <x:v>{"status":"absent","patientAnswerZh":"以前没有做过导尿、膀胱镜等泌尿操作。","patientAnswerEn":"I have not had catheterization, cystoscopy, or other urinary procedures.","provenance":"author_added_for_simulation","teacherReviewRequired":true}</x:v>
      </x:c>
      <x:c r="E211" s="56" t="str">
        <x:v>author_added_for_simulation</x:v>
      </x:c>
      <x:c r="F211" s="56" t="str">
        <x:v>是</x:v>
      </x:c>
      <x:c r="G211" s="56" t="str">
        <x:v>程序未检出确定性冲突；仍待语义复核</x:v>
      </x:c>
      <x:c r="H211" s="56" t="str">
        <x:v>待确认</x:v>
      </x:c>
      <x:c r="I211" s="56" t="str">
        <x:v>待确认</x:v>
      </x:c>
      <x:c r="J211" s="59" t="str">
        <x:v>待确认</x:v>
      </x:c>
      <x:c r="K211" s="56" t="str"/>
      <x:c r="L211" s="56" t="str"/>
      <x:c r="M211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12">
      <x:c r="A212" s="56" t="str">
        <x:v>P017</x:v>
      </x:c>
      <x:c r="B212" s="56" t="str">
        <x:v>HX-ADD-005</x:v>
      </x:c>
      <x:c r="C212" s="56" t="str">
        <x:v>surgeryHistory</x:v>
      </x:c>
      <x:c r="D212" s="56" t="str">
        <x:v>{"status":"absent","patientAnswerZh":"我以前没有做过手术。","patientAnswerEn":"I have never had surgery.","provenance":"author_added_for_simulation","teacherReviewRequired":true}</x:v>
      </x:c>
      <x:c r="E212" s="56" t="str">
        <x:v>author_added_for_simulation</x:v>
      </x:c>
      <x:c r="F212" s="56" t="str">
        <x:v>是</x:v>
      </x:c>
      <x:c r="G212" s="56" t="str">
        <x:v>程序未检出确定性冲突；仍待语义复核</x:v>
      </x:c>
      <x:c r="H212" s="56" t="str">
        <x:v>待确认</x:v>
      </x:c>
      <x:c r="I212" s="56" t="str">
        <x:v>是</x:v>
      </x:c>
      <x:c r="J212" s="59" t="str">
        <x:v>待确认</x:v>
      </x:c>
      <x:c r="K212" s="56" t="str"/>
      <x:c r="L212" s="56" t="str"/>
      <x:c r="M212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13">
      <x:c r="A213" s="56" t="str">
        <x:v>P017</x:v>
      </x:c>
      <x:c r="B213" s="56" t="str">
        <x:v>HX-ADD-005</x:v>
      </x:c>
      <x:c r="C213" s="56" t="str">
        <x:v>transfusionHistory</x:v>
      </x:c>
      <x:c r="D213" s="56" t="str">
        <x:v>{"status":"absent","patientAnswerZh":"我以前没有输过血。","patientAnswerEn":"I have never had a blood transfusion.","provenance":"author_added_for_simulation","teacherReviewRequired":true}</x:v>
      </x:c>
      <x:c r="E213" s="56" t="str">
        <x:v>author_added_for_simulation</x:v>
      </x:c>
      <x:c r="F213" s="56" t="str">
        <x:v>是</x:v>
      </x:c>
      <x:c r="G213" s="56" t="str">
        <x:v>程序未检出确定性冲突；仍待语义复核</x:v>
      </x:c>
      <x:c r="H213" s="56" t="str">
        <x:v>待确认</x:v>
      </x:c>
      <x:c r="I213" s="56" t="str">
        <x:v>待确认</x:v>
      </x:c>
      <x:c r="J213" s="59" t="str">
        <x:v>待确认</x:v>
      </x:c>
      <x:c r="K213" s="56" t="str"/>
      <x:c r="L213" s="56" t="str"/>
      <x:c r="M213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14">
      <x:c r="A214" s="56" t="str">
        <x:v>P017</x:v>
      </x:c>
      <x:c r="B214" s="56" t="str">
        <x:v>HX-ADD-005</x:v>
      </x:c>
      <x:c r="C214" s="56" t="str">
        <x:v>allergyHistory</x:v>
      </x:c>
      <x:c r="D214" s="56" t="str">
        <x:v>{"status":"absent","patientAnswerZh":"我没有已知药物或食物过敏。","patientAnswerEn":"I have no known drug or food allergies.","provenance":"author_added_for_simulation","teacherReviewRequired":true}</x:v>
      </x:c>
      <x:c r="E214" s="56" t="str">
        <x:v>author_added_for_simulation</x:v>
      </x:c>
      <x:c r="F214" s="56" t="str">
        <x:v>是</x:v>
      </x:c>
      <x:c r="G214" s="56" t="str">
        <x:v>程序未检出确定性冲突；仍待语义复核</x:v>
      </x:c>
      <x:c r="H214" s="56" t="str">
        <x:v>待确认</x:v>
      </x:c>
      <x:c r="I214" s="56" t="str">
        <x:v>是</x:v>
      </x:c>
      <x:c r="J214" s="59" t="str">
        <x:v>待确认</x:v>
      </x:c>
      <x:c r="K214" s="56" t="str"/>
      <x:c r="L214" s="56" t="str"/>
      <x:c r="M214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15">
      <x:c r="A215" s="56" t="str">
        <x:v>P017</x:v>
      </x:c>
      <x:c r="B215" s="56" t="str">
        <x:v>HX-ADD-005</x:v>
      </x:c>
      <x:c r="C215" s="56" t="str">
        <x:v>antiplateletUse</x:v>
      </x:c>
      <x:c r="D215" s="56" t="str">
        <x:v>{"status":"present","patientAnswerZh":"我在服用阿司匹林、氯吡格雷。","patientAnswerEn":"I take antiplatelet medication.","provenance":"source","teacherReviewRequired":false}</x:v>
      </x:c>
      <x:c r="E215" s="56" t="str">
        <x:v>source</x:v>
      </x:c>
      <x:c r="F215" s="56" t="str">
        <x:v>是</x:v>
      </x:c>
      <x:c r="G215" s="56" t="str">
        <x:v>程序未检出确定性冲突；仍待语义复核</x:v>
      </x:c>
      <x:c r="H215" s="56" t="str">
        <x:v>可能</x:v>
      </x:c>
      <x:c r="I215" s="56" t="str">
        <x:v>是</x:v>
      </x:c>
      <x:c r="J215" s="59" t="str">
        <x:v>待确认</x:v>
      </x:c>
      <x:c r="K215" s="56" t="str"/>
      <x:c r="L215" s="56" t="str"/>
      <x:c r="M215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16">
      <x:c r="A216" s="56" t="str">
        <x:v>P017</x:v>
      </x:c>
      <x:c r="B216" s="56" t="str">
        <x:v>HX-ADD-005</x:v>
      </x:c>
      <x:c r="C216" s="56" t="str">
        <x:v>familyHistory</x:v>
      </x:c>
      <x:c r="D216" s="56" t="str">
        <x:v>{"status":"absent","patientAnswerZh":"家里没有人得过类似血尿或遗传性肾病。","patientAnswerEn":"No one in my family has had similar hematuria or hereditary kidney disease.","provenance":"author_added_for_simulation","teacherReviewRequired":true}</x:v>
      </x:c>
      <x:c r="E216" s="56" t="str">
        <x:v>author_added_for_simulation</x:v>
      </x:c>
      <x:c r="F216" s="56" t="str">
        <x:v>是</x:v>
      </x:c>
      <x:c r="G216" s="56" t="str">
        <x:v>程序未检出确定性冲突；仍待语义复核</x:v>
      </x:c>
      <x:c r="H216" s="56" t="str">
        <x:v>可能</x:v>
      </x:c>
      <x:c r="I216" s="56" t="str">
        <x:v>是</x:v>
      </x:c>
      <x:c r="J216" s="59" t="str">
        <x:v>待确认</x:v>
      </x:c>
      <x:c r="K216" s="56" t="str"/>
      <x:c r="L216" s="56" t="str"/>
      <x:c r="M216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17">
      <x:c r="A217" s="56" t="str">
        <x:v>P018</x:v>
      </x:c>
      <x:c r="B217" s="56" t="str">
        <x:v>HX-ADD-006</x:v>
      </x:c>
      <x:c r="C217" s="56" t="str">
        <x:v>alcoholHistory</x:v>
      </x:c>
      <x:c r="D217" s="56" t="str">
        <x:v>{"status":"never","type":"","amount":"0","frequency":"never","years":0,"patientAnswerZh":"我平时不喝酒。","patientAnswerEn":"I do not drink alcohol.","provenance":"author_added_for_simulation","teacherReviewRequired":true}</x:v>
      </x:c>
      <x:c r="E217" s="56" t="str">
        <x:v>author_added_for_simulation</x:v>
      </x:c>
      <x:c r="F217" s="56" t="str">
        <x:v>是</x:v>
      </x:c>
      <x:c r="G217" s="56" t="str">
        <x:v>程序未检出确定性冲突；仍待语义复核</x:v>
      </x:c>
      <x:c r="H217" s="56" t="str">
        <x:v>待确认</x:v>
      </x:c>
      <x:c r="I217" s="56" t="str">
        <x:v>待确认</x:v>
      </x:c>
      <x:c r="J217" s="59" t="str">
        <x:v>待确认</x:v>
      </x:c>
      <x:c r="K217" s="56" t="str"/>
      <x:c r="L217" s="56" t="str"/>
      <x:c r="M217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18">
      <x:c r="A218" s="56" t="str">
        <x:v>P018</x:v>
      </x:c>
      <x:c r="B218" s="56" t="str">
        <x:v>HX-ADD-006</x:v>
      </x:c>
      <x:c r="C218" s="56" t="str">
        <x:v>hypertension</x:v>
      </x:c>
      <x:c r="D218" s="56" t="str">
        <x:v>{"status":"absent","patientAnswerZh":"没有高血压。","patientAnswerEn":"I do not have hypertension.","provenance":"source","teacherReviewRequired":false}</x:v>
      </x:c>
      <x:c r="E218" s="56" t="str">
        <x:v>source</x:v>
      </x:c>
      <x:c r="F218" s="56" t="str">
        <x:v>是</x:v>
      </x:c>
      <x:c r="G218" s="56" t="str">
        <x:v>程序未检出确定性冲突；仍待语义复核</x:v>
      </x:c>
      <x:c r="H218" s="56" t="str">
        <x:v>待确认</x:v>
      </x:c>
      <x:c r="I218" s="56" t="str">
        <x:v>是</x:v>
      </x:c>
      <x:c r="J218" s="59" t="str">
        <x:v>待确认</x:v>
      </x:c>
      <x:c r="K218" s="56" t="str"/>
      <x:c r="L218" s="56" t="str"/>
      <x:c r="M218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19">
      <x:c r="A219" s="56" t="str">
        <x:v>P018</x:v>
      </x:c>
      <x:c r="B219" s="56" t="str">
        <x:v>HX-ADD-006</x:v>
      </x:c>
      <x:c r="C219" s="56" t="str">
        <x:v>diabetes</x:v>
      </x:c>
      <x:c r="D219" s="56" t="str">
        <x:v>{"status":"absent","patientAnswerZh":"没有糖尿病。","patientAnswerEn":"I do not have diabetes.","provenance":"source","teacherReviewRequired":false}</x:v>
      </x:c>
      <x:c r="E219" s="56" t="str">
        <x:v>source</x:v>
      </x:c>
      <x:c r="F219" s="56" t="str">
        <x:v>是</x:v>
      </x:c>
      <x:c r="G219" s="56" t="str">
        <x:v>程序未检出确定性冲突；仍待语义复核</x:v>
      </x:c>
      <x:c r="H219" s="56" t="str">
        <x:v>待确认</x:v>
      </x:c>
      <x:c r="I219" s="56" t="str">
        <x:v>待确认</x:v>
      </x:c>
      <x:c r="J219" s="59" t="str">
        <x:v>待确认</x:v>
      </x:c>
      <x:c r="K219" s="56" t="str"/>
      <x:c r="L219" s="56" t="str"/>
      <x:c r="M219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20">
      <x:c r="A220" s="56" t="str">
        <x:v>P018</x:v>
      </x:c>
      <x:c r="B220" s="56" t="str">
        <x:v>HX-ADD-006</x:v>
      </x:c>
      <x:c r="C220" s="56" t="str">
        <x:v>coronaryDisease</x:v>
      </x:c>
      <x:c r="D220" s="56" t="str">
        <x:v>{"status":"absent","patientAnswerZh":"没有冠心病。","patientAnswerEn":"I do not have coronary heart disease.","provenance":"author_added_for_simulation","teacherReviewRequired":true}</x:v>
      </x:c>
      <x:c r="E220" s="56" t="str">
        <x:v>author_added_for_simulation</x:v>
      </x:c>
      <x:c r="F220" s="56" t="str">
        <x:v>是</x:v>
      </x:c>
      <x:c r="G220" s="56" t="str">
        <x:v>程序未检出确定性冲突；仍待语义复核</x:v>
      </x:c>
      <x:c r="H220" s="56" t="str">
        <x:v>待确认</x:v>
      </x:c>
      <x:c r="I220" s="56" t="str">
        <x:v>待确认</x:v>
      </x:c>
      <x:c r="J220" s="59" t="str">
        <x:v>待确认</x:v>
      </x:c>
      <x:c r="K220" s="56" t="str"/>
      <x:c r="L220" s="56" t="str"/>
      <x:c r="M220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21">
      <x:c r="A221" s="56" t="str">
        <x:v>P018</x:v>
      </x:c>
      <x:c r="B221" s="56" t="str">
        <x:v>HX-ADD-006</x:v>
      </x:c>
      <x:c r="C221" s="56" t="str">
        <x:v>stroke</x:v>
      </x:c>
      <x:c r="D221" s="56" t="str">
        <x:v>{"status":"absent","patientAnswerZh":"没有脑卒中。","patientAnswerEn":"I do not have stroke.","provenance":"author_added_for_simulation","teacherReviewRequired":true}</x:v>
      </x:c>
      <x:c r="E221" s="56" t="str">
        <x:v>author_added_for_simulation</x:v>
      </x:c>
      <x:c r="F221" s="56" t="str">
        <x:v>是</x:v>
      </x:c>
      <x:c r="G221" s="56" t="str">
        <x:v>程序未检出确定性冲突；仍待语义复核</x:v>
      </x:c>
      <x:c r="H221" s="56" t="str">
        <x:v>待确认</x:v>
      </x:c>
      <x:c r="I221" s="56" t="str">
        <x:v>待确认</x:v>
      </x:c>
      <x:c r="J221" s="59" t="str">
        <x:v>待确认</x:v>
      </x:c>
      <x:c r="K221" s="56" t="str"/>
      <x:c r="L221" s="56" t="str"/>
      <x:c r="M221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22">
      <x:c r="A222" s="56" t="str">
        <x:v>P018</x:v>
      </x:c>
      <x:c r="B222" s="56" t="str">
        <x:v>HX-ADD-006</x:v>
      </x:c>
      <x:c r="C222" s="56" t="str">
        <x:v>liverDisease</x:v>
      </x:c>
      <x:c r="D222" s="56" t="str">
        <x:v>{"status":"absent","patientAnswerZh":"没有肝病。","patientAnswerEn":"I do not have liver disease.","provenance":"source","teacherReviewRequired":false}</x:v>
      </x:c>
      <x:c r="E222" s="56" t="str">
        <x:v>source</x:v>
      </x:c>
      <x:c r="F222" s="56" t="str">
        <x:v>是</x:v>
      </x:c>
      <x:c r="G222" s="56" t="str">
        <x:v>程序未检出确定性冲突；仍待语义复核</x:v>
      </x:c>
      <x:c r="H222" s="56" t="str">
        <x:v>待确认</x:v>
      </x:c>
      <x:c r="I222" s="56" t="str">
        <x:v>待确认</x:v>
      </x:c>
      <x:c r="J222" s="59" t="str">
        <x:v>待确认</x:v>
      </x:c>
      <x:c r="K222" s="56" t="str"/>
      <x:c r="L222" s="56" t="str"/>
      <x:c r="M222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23">
      <x:c r="A223" s="56" t="str">
        <x:v>P018</x:v>
      </x:c>
      <x:c r="B223" s="56" t="str">
        <x:v>HX-ADD-006</x:v>
      </x:c>
      <x:c r="C223" s="56" t="str">
        <x:v>tuberculosis</x:v>
      </x:c>
      <x:c r="D223" s="56" t="str">
        <x:v>{"status":"absent","patientAnswerZh":"没有结核病。","patientAnswerEn":"I do not have tuberculosis.","provenance":"source","teacherReviewRequired":false}</x:v>
      </x:c>
      <x:c r="E223" s="56" t="str">
        <x:v>source</x:v>
      </x:c>
      <x:c r="F223" s="56" t="str">
        <x:v>是</x:v>
      </x:c>
      <x:c r="G223" s="56" t="str">
        <x:v>程序未检出确定性冲突；仍待语义复核</x:v>
      </x:c>
      <x:c r="H223" s="56" t="str">
        <x:v>待确认</x:v>
      </x:c>
      <x:c r="I223" s="56" t="str">
        <x:v>待确认</x:v>
      </x:c>
      <x:c r="J223" s="59" t="str">
        <x:v>待确认</x:v>
      </x:c>
      <x:c r="K223" s="56" t="str"/>
      <x:c r="L223" s="56" t="str"/>
      <x:c r="M223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24">
      <x:c r="A224" s="56" t="str">
        <x:v>P018</x:v>
      </x:c>
      <x:c r="B224" s="56" t="str">
        <x:v>HX-ADD-006</x:v>
      </x:c>
      <x:c r="C224" s="56" t="str">
        <x:v>urinaryProcedureHistory</x:v>
      </x:c>
      <x:c r="D224" s="56" t="str">
        <x:v>{"status":"absent","patientAnswerZh":"以前没有做过导尿、膀胱镜等泌尿操作。","patientAnswerEn":"I have not had catheterization, cystoscopy, or other urinary procedures.","provenance":"author_added_for_simulation","teacherReviewRequired":true}</x:v>
      </x:c>
      <x:c r="E224" s="56" t="str">
        <x:v>author_added_for_simulation</x:v>
      </x:c>
      <x:c r="F224" s="56" t="str">
        <x:v>是</x:v>
      </x:c>
      <x:c r="G224" s="56" t="str">
        <x:v>程序未检出确定性冲突；仍待语义复核</x:v>
      </x:c>
      <x:c r="H224" s="56" t="str">
        <x:v>待确认</x:v>
      </x:c>
      <x:c r="I224" s="56" t="str">
        <x:v>待确认</x:v>
      </x:c>
      <x:c r="J224" s="59" t="str">
        <x:v>待确认</x:v>
      </x:c>
      <x:c r="K224" s="56" t="str"/>
      <x:c r="L224" s="56" t="str"/>
      <x:c r="M224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25">
      <x:c r="A225" s="56" t="str">
        <x:v>P018</x:v>
      </x:c>
      <x:c r="B225" s="56" t="str">
        <x:v>HX-ADD-006</x:v>
      </x:c>
      <x:c r="C225" s="56" t="str">
        <x:v>surgeryHistory</x:v>
      </x:c>
      <x:c r="D225" s="56" t="str">
        <x:v>{"status":"absent","patientAnswerZh":"我以前没有做过手术。","patientAnswerEn":"I have never had surgery.","provenance":"author_added_for_simulation","teacherReviewRequired":true}</x:v>
      </x:c>
      <x:c r="E225" s="56" t="str">
        <x:v>author_added_for_simulation</x:v>
      </x:c>
      <x:c r="F225" s="56" t="str">
        <x:v>是</x:v>
      </x:c>
      <x:c r="G225" s="56" t="str">
        <x:v>程序未检出确定性冲突；仍待语义复核</x:v>
      </x:c>
      <x:c r="H225" s="56" t="str">
        <x:v>待确认</x:v>
      </x:c>
      <x:c r="I225" s="56" t="str">
        <x:v>是</x:v>
      </x:c>
      <x:c r="J225" s="59" t="str">
        <x:v>待确认</x:v>
      </x:c>
      <x:c r="K225" s="56" t="str"/>
      <x:c r="L225" s="56" t="str"/>
      <x:c r="M225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26">
      <x:c r="A226" s="56" t="str">
        <x:v>P018</x:v>
      </x:c>
      <x:c r="B226" s="56" t="str">
        <x:v>HX-ADD-006</x:v>
      </x:c>
      <x:c r="C226" s="56" t="str">
        <x:v>transfusionHistory</x:v>
      </x:c>
      <x:c r="D226" s="56" t="str">
        <x:v>{"status":"absent","patientAnswerZh":"我以前没有输过血。","patientAnswerEn":"I have never had a blood transfusion.","provenance":"author_added_for_simulation","teacherReviewRequired":true}</x:v>
      </x:c>
      <x:c r="E226" s="56" t="str">
        <x:v>author_added_for_simulation</x:v>
      </x:c>
      <x:c r="F226" s="56" t="str">
        <x:v>是</x:v>
      </x:c>
      <x:c r="G226" s="56" t="str">
        <x:v>程序未检出确定性冲突；仍待语义复核</x:v>
      </x:c>
      <x:c r="H226" s="56" t="str">
        <x:v>待确认</x:v>
      </x:c>
      <x:c r="I226" s="56" t="str">
        <x:v>待确认</x:v>
      </x:c>
      <x:c r="J226" s="59" t="str">
        <x:v>待确认</x:v>
      </x:c>
      <x:c r="K226" s="56" t="str"/>
      <x:c r="L226" s="56" t="str"/>
      <x:c r="M226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27">
      <x:c r="A227" s="56" t="str">
        <x:v>P018</x:v>
      </x:c>
      <x:c r="B227" s="56" t="str">
        <x:v>HX-ADD-006</x:v>
      </x:c>
      <x:c r="C227" s="56" t="str">
        <x:v>allergyHistory</x:v>
      </x:c>
      <x:c r="D227" s="56" t="str">
        <x:v>{"status":"absent","patientAnswerZh":"我没有已知药物或食物过敏。","patientAnswerEn":"I have no known drug or food allergies.","provenance":"author_added_for_simulation","teacherReviewRequired":true}</x:v>
      </x:c>
      <x:c r="E227" s="56" t="str">
        <x:v>author_added_for_simulation</x:v>
      </x:c>
      <x:c r="F227" s="56" t="str">
        <x:v>是</x:v>
      </x:c>
      <x:c r="G227" s="56" t="str">
        <x:v>程序未检出确定性冲突；仍待语义复核</x:v>
      </x:c>
      <x:c r="H227" s="56" t="str">
        <x:v>待确认</x:v>
      </x:c>
      <x:c r="I227" s="56" t="str">
        <x:v>是</x:v>
      </x:c>
      <x:c r="J227" s="59" t="str">
        <x:v>待确认</x:v>
      </x:c>
      <x:c r="K227" s="56" t="str"/>
      <x:c r="L227" s="56" t="str"/>
      <x:c r="M227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28">
      <x:c r="A228" s="56" t="str">
        <x:v>P018</x:v>
      </x:c>
      <x:c r="B228" s="56" t="str">
        <x:v>HX-ADD-006</x:v>
      </x:c>
      <x:c r="C228" s="56" t="str">
        <x:v>anticoagulantUse</x:v>
      </x:c>
      <x:c r="D228" s="56" t="str">
        <x:v>{"status":"absent","patientAnswerZh":"我没有服用华法林、利伐沙班等抗凝药。","patientAnswerEn":"I do not take anticoagulants.","provenance":"author_added_for_simulation","teacherReviewRequired":true}</x:v>
      </x:c>
      <x:c r="E228" s="56" t="str">
        <x:v>author_added_for_simulation</x:v>
      </x:c>
      <x:c r="F228" s="56" t="str">
        <x:v>是</x:v>
      </x:c>
      <x:c r="G228" s="56" t="str">
        <x:v>程序未检出确定性冲突；仍待语义复核</x:v>
      </x:c>
      <x:c r="H228" s="56" t="str">
        <x:v>可能</x:v>
      </x:c>
      <x:c r="I228" s="56" t="str">
        <x:v>是</x:v>
      </x:c>
      <x:c r="J228" s="59" t="str">
        <x:v>待确认</x:v>
      </x:c>
      <x:c r="K228" s="56" t="str"/>
      <x:c r="L228" s="56" t="str"/>
      <x:c r="M228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29">
      <x:c r="A229" s="56" t="str">
        <x:v>P018</x:v>
      </x:c>
      <x:c r="B229" s="56" t="str">
        <x:v>HX-ADD-006</x:v>
      </x:c>
      <x:c r="C229" s="56" t="str">
        <x:v>antiplateletUse</x:v>
      </x:c>
      <x:c r="D229" s="56" t="str">
        <x:v>{"status":"absent","patientAnswerZh":"我没有服用阿司匹林或氯吡格雷。","patientAnswerEn":"I do not take antiplatelet medication.","provenance":"author_added_for_simulation","teacherReviewRequired":true}</x:v>
      </x:c>
      <x:c r="E229" s="56" t="str">
        <x:v>author_added_for_simulation</x:v>
      </x:c>
      <x:c r="F229" s="56" t="str">
        <x:v>是</x:v>
      </x:c>
      <x:c r="G229" s="56" t="str">
        <x:v>程序未检出确定性冲突；仍待语义复核</x:v>
      </x:c>
      <x:c r="H229" s="56" t="str">
        <x:v>可能</x:v>
      </x:c>
      <x:c r="I229" s="56" t="str">
        <x:v>是</x:v>
      </x:c>
      <x:c r="J229" s="59" t="str">
        <x:v>待确认</x:v>
      </x:c>
      <x:c r="K229" s="56" t="str"/>
      <x:c r="L229" s="56" t="str"/>
      <x:c r="M229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30">
      <x:c r="A230" s="56" t="str">
        <x:v>P018</x:v>
      </x:c>
      <x:c r="B230" s="56" t="str">
        <x:v>HX-ADD-006</x:v>
      </x:c>
      <x:c r="C230" s="56" t="str">
        <x:v>familyHistory</x:v>
      </x:c>
      <x:c r="D230" s="56" t="str">
        <x:v>{"status":"absent","patientAnswerZh":"家里没有人得过类似血尿或遗传性肾病。","patientAnswerEn":"No one in my family has had similar hematuria or hereditary kidney disease.","provenance":"author_added_for_simulation","teacherReviewRequired":true}</x:v>
      </x:c>
      <x:c r="E230" s="56" t="str">
        <x:v>author_added_for_simulation</x:v>
      </x:c>
      <x:c r="F230" s="56" t="str">
        <x:v>是</x:v>
      </x:c>
      <x:c r="G230" s="56" t="str">
        <x:v>程序未检出确定性冲突；仍待语义复核</x:v>
      </x:c>
      <x:c r="H230" s="56" t="str">
        <x:v>可能</x:v>
      </x:c>
      <x:c r="I230" s="56" t="str">
        <x:v>是</x:v>
      </x:c>
      <x:c r="J230" s="59" t="str">
        <x:v>待确认</x:v>
      </x:c>
      <x:c r="K230" s="56" t="str"/>
      <x:c r="L230" s="56" t="str"/>
      <x:c r="M230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31">
      <x:c r="A231" s="56" t="str">
        <x:v>P018</x:v>
      </x:c>
      <x:c r="B231" s="56" t="str">
        <x:v>HX-ADD-006</x:v>
      </x:c>
      <x:c r="C231" s="56" t="str">
        <x:v>menstrualHistory</x:v>
      </x:c>
      <x:c r="D231" s="56" t="str">
        <x:v>{"status":"absent","patientAnswerZh":"月经情况正常，这次尿色异常不是在月经期。","patientAnswerEn":"My periods are regular, and this episode did not occur during menstruation.","provenance":"author_added_for_simulation","teacherReviewRequired":true}</x:v>
      </x:c>
      <x:c r="E231" s="56" t="str">
        <x:v>author_added_for_simulation</x:v>
      </x:c>
      <x:c r="F231" s="56" t="str">
        <x:v>是</x:v>
      </x:c>
      <x:c r="G231" s="56" t="str">
        <x:v>程序未检出确定性冲突；仍待语义复核</x:v>
      </x:c>
      <x:c r="H231" s="56" t="str">
        <x:v>可能</x:v>
      </x:c>
      <x:c r="I231" s="56" t="str">
        <x:v>待确认</x:v>
      </x:c>
      <x:c r="J231" s="59" t="str">
        <x:v>待确认</x:v>
      </x:c>
      <x:c r="K231" s="56" t="str"/>
      <x:c r="L231" s="56" t="str"/>
      <x:c r="M231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32">
      <x:c r="A232" s="56" t="str">
        <x:v>P018</x:v>
      </x:c>
      <x:c r="B232" s="56" t="str">
        <x:v>HX-ADD-006</x:v>
      </x:c>
      <x:c r="C232" s="56" t="str">
        <x:v>pregnancyHistory</x:v>
      </x:c>
      <x:c r="D232" s="56" t="str">
        <x:v>{"status":"absent","patientAnswerZh":"目前没有怀孕。","patientAnswerEn":"I am not currently pregnant.","provenance":"author_added_for_simulation","teacherReviewRequired":true}</x:v>
      </x:c>
      <x:c r="E232" s="56" t="str">
        <x:v>author_added_for_simulation</x:v>
      </x:c>
      <x:c r="F232" s="56" t="str">
        <x:v>是</x:v>
      </x:c>
      <x:c r="G232" s="56" t="str">
        <x:v>程序未检出确定性冲突；仍待语义复核</x:v>
      </x:c>
      <x:c r="H232" s="56" t="str">
        <x:v>可能</x:v>
      </x:c>
      <x:c r="I232" s="56" t="str">
        <x:v>待确认</x:v>
      </x:c>
      <x:c r="J232" s="59" t="str">
        <x:v>待确认</x:v>
      </x:c>
      <x:c r="K232" s="56" t="str"/>
      <x:c r="L232" s="56" t="str"/>
      <x:c r="M232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33">
      <x:c r="A233" s="56" t="str">
        <x:v>P019</x:v>
      </x:c>
      <x:c r="B233" s="56" t="str">
        <x:v>HX-ADD-007</x:v>
      </x:c>
      <x:c r="C233" s="56" t="str">
        <x:v>alcoholHistory</x:v>
      </x:c>
      <x:c r="D233" s="56" t="str">
        <x:v>{"status":"never","type":"","amount":"0","frequency":"never","years":0,"patientAnswerZh":"我平时不喝酒。","patientAnswerEn":"I do not drink alcohol.","provenance":"author_added_for_simulation","teacherReviewRequired":true}</x:v>
      </x:c>
      <x:c r="E233" s="56" t="str">
        <x:v>author_added_for_simulation</x:v>
      </x:c>
      <x:c r="F233" s="56" t="str">
        <x:v>是</x:v>
      </x:c>
      <x:c r="G233" s="56" t="str">
        <x:v>程序未检出确定性冲突；仍待语义复核</x:v>
      </x:c>
      <x:c r="H233" s="56" t="str">
        <x:v>待确认</x:v>
      </x:c>
      <x:c r="I233" s="56" t="str">
        <x:v>待确认</x:v>
      </x:c>
      <x:c r="J233" s="59" t="str">
        <x:v>待确认</x:v>
      </x:c>
      <x:c r="K233" s="56" t="str"/>
      <x:c r="L233" s="56" t="str"/>
      <x:c r="M233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34">
      <x:c r="A234" s="56" t="str">
        <x:v>P019</x:v>
      </x:c>
      <x:c r="B234" s="56" t="str">
        <x:v>HX-ADD-007</x:v>
      </x:c>
      <x:c r="C234" s="56" t="str">
        <x:v>hypertension</x:v>
      </x:c>
      <x:c r="D234" s="56" t="str">
        <x:v>{"status":"absent","patientAnswerZh":"没有高血压。","patientAnswerEn":"I do not have hypertension.","provenance":"source","teacherReviewRequired":false}</x:v>
      </x:c>
      <x:c r="E234" s="56" t="str">
        <x:v>source</x:v>
      </x:c>
      <x:c r="F234" s="56" t="str">
        <x:v>是</x:v>
      </x:c>
      <x:c r="G234" s="56" t="str">
        <x:v>程序未检出确定性冲突；仍待语义复核</x:v>
      </x:c>
      <x:c r="H234" s="56" t="str">
        <x:v>待确认</x:v>
      </x:c>
      <x:c r="I234" s="56" t="str">
        <x:v>是</x:v>
      </x:c>
      <x:c r="J234" s="59" t="str">
        <x:v>待确认</x:v>
      </x:c>
      <x:c r="K234" s="56" t="str"/>
      <x:c r="L234" s="56" t="str"/>
      <x:c r="M234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35">
      <x:c r="A235" s="56" t="str">
        <x:v>P019</x:v>
      </x:c>
      <x:c r="B235" s="56" t="str">
        <x:v>HX-ADD-007</x:v>
      </x:c>
      <x:c r="C235" s="56" t="str">
        <x:v>diabetes</x:v>
      </x:c>
      <x:c r="D235" s="56" t="str">
        <x:v>{"status":"absent","patientAnswerZh":"没有糖尿病。","patientAnswerEn":"I do not have diabetes.","provenance":"source","teacherReviewRequired":false}</x:v>
      </x:c>
      <x:c r="E235" s="56" t="str">
        <x:v>source</x:v>
      </x:c>
      <x:c r="F235" s="56" t="str">
        <x:v>是</x:v>
      </x:c>
      <x:c r="G235" s="56" t="str">
        <x:v>程序未检出确定性冲突；仍待语义复核</x:v>
      </x:c>
      <x:c r="H235" s="56" t="str">
        <x:v>待确认</x:v>
      </x:c>
      <x:c r="I235" s="56" t="str">
        <x:v>待确认</x:v>
      </x:c>
      <x:c r="J235" s="59" t="str">
        <x:v>待确认</x:v>
      </x:c>
      <x:c r="K235" s="56" t="str"/>
      <x:c r="L235" s="56" t="str"/>
      <x:c r="M235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36">
      <x:c r="A236" s="56" t="str">
        <x:v>P019</x:v>
      </x:c>
      <x:c r="B236" s="56" t="str">
        <x:v>HX-ADD-007</x:v>
      </x:c>
      <x:c r="C236" s="56" t="str">
        <x:v>coronaryDisease</x:v>
      </x:c>
      <x:c r="D236" s="56" t="str">
        <x:v>{"status":"absent","patientAnswerZh":"没有冠心病。","patientAnswerEn":"I do not have coronary heart disease.","provenance":"source","teacherReviewRequired":false}</x:v>
      </x:c>
      <x:c r="E236" s="56" t="str">
        <x:v>source</x:v>
      </x:c>
      <x:c r="F236" s="56" t="str">
        <x:v>是</x:v>
      </x:c>
      <x:c r="G236" s="56" t="str">
        <x:v>程序未检出确定性冲突；仍待语义复核</x:v>
      </x:c>
      <x:c r="H236" s="56" t="str">
        <x:v>待确认</x:v>
      </x:c>
      <x:c r="I236" s="56" t="str">
        <x:v>待确认</x:v>
      </x:c>
      <x:c r="J236" s="59" t="str">
        <x:v>待确认</x:v>
      </x:c>
      <x:c r="K236" s="56" t="str"/>
      <x:c r="L236" s="56" t="str"/>
      <x:c r="M236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37">
      <x:c r="A237" s="56" t="str">
        <x:v>P019</x:v>
      </x:c>
      <x:c r="B237" s="56" t="str">
        <x:v>HX-ADD-007</x:v>
      </x:c>
      <x:c r="C237" s="56" t="str">
        <x:v>stroke</x:v>
      </x:c>
      <x:c r="D237" s="56" t="str">
        <x:v>{"status":"absent","patientAnswerZh":"没有脑卒中。","patientAnswerEn":"I do not have stroke.","provenance":"source","teacherReviewRequired":false}</x:v>
      </x:c>
      <x:c r="E237" s="56" t="str">
        <x:v>source</x:v>
      </x:c>
      <x:c r="F237" s="56" t="str">
        <x:v>是</x:v>
      </x:c>
      <x:c r="G237" s="56" t="str">
        <x:v>程序未检出确定性冲突；仍待语义复核</x:v>
      </x:c>
      <x:c r="H237" s="56" t="str">
        <x:v>待确认</x:v>
      </x:c>
      <x:c r="I237" s="56" t="str">
        <x:v>待确认</x:v>
      </x:c>
      <x:c r="J237" s="59" t="str">
        <x:v>待确认</x:v>
      </x:c>
      <x:c r="K237" s="56" t="str"/>
      <x:c r="L237" s="56" t="str"/>
      <x:c r="M237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38">
      <x:c r="A238" s="56" t="str">
        <x:v>P019</x:v>
      </x:c>
      <x:c r="B238" s="56" t="str">
        <x:v>HX-ADD-007</x:v>
      </x:c>
      <x:c r="C238" s="56" t="str">
        <x:v>liverDisease</x:v>
      </x:c>
      <x:c r="D238" s="56" t="str">
        <x:v>{"status":"absent","patientAnswerZh":"没有肝病。","patientAnswerEn":"I do not have liver disease.","provenance":"source","teacherReviewRequired":false}</x:v>
      </x:c>
      <x:c r="E238" s="56" t="str">
        <x:v>source</x:v>
      </x:c>
      <x:c r="F238" s="56" t="str">
        <x:v>是</x:v>
      </x:c>
      <x:c r="G238" s="56" t="str">
        <x:v>程序未检出确定性冲突；仍待语义复核</x:v>
      </x:c>
      <x:c r="H238" s="56" t="str">
        <x:v>待确认</x:v>
      </x:c>
      <x:c r="I238" s="56" t="str">
        <x:v>待确认</x:v>
      </x:c>
      <x:c r="J238" s="59" t="str">
        <x:v>待确认</x:v>
      </x:c>
      <x:c r="K238" s="56" t="str"/>
      <x:c r="L238" s="56" t="str"/>
      <x:c r="M238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39">
      <x:c r="A239" s="56" t="str">
        <x:v>P019</x:v>
      </x:c>
      <x:c r="B239" s="56" t="str">
        <x:v>HX-ADD-007</x:v>
      </x:c>
      <x:c r="C239" s="56" t="str">
        <x:v>tuberculosis</x:v>
      </x:c>
      <x:c r="D239" s="56" t="str">
        <x:v>{"status":"absent","patientAnswerZh":"没有结核病。","patientAnswerEn":"I do not have tuberculosis.","provenance":"source","teacherReviewRequired":false}</x:v>
      </x:c>
      <x:c r="E239" s="56" t="str">
        <x:v>source</x:v>
      </x:c>
      <x:c r="F239" s="56" t="str">
        <x:v>是</x:v>
      </x:c>
      <x:c r="G239" s="56" t="str">
        <x:v>程序未检出确定性冲突；仍待语义复核</x:v>
      </x:c>
      <x:c r="H239" s="56" t="str">
        <x:v>待确认</x:v>
      </x:c>
      <x:c r="I239" s="56" t="str">
        <x:v>待确认</x:v>
      </x:c>
      <x:c r="J239" s="59" t="str">
        <x:v>待确认</x:v>
      </x:c>
      <x:c r="K239" s="56" t="str"/>
      <x:c r="L239" s="56" t="str"/>
      <x:c r="M239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40">
      <x:c r="A240" s="56" t="str">
        <x:v>P019</x:v>
      </x:c>
      <x:c r="B240" s="56" t="str">
        <x:v>HX-ADD-007</x:v>
      </x:c>
      <x:c r="C240" s="56" t="str">
        <x:v>urinaryProcedureHistory</x:v>
      </x:c>
      <x:c r="D240" s="56" t="str">
        <x:v>{"status":"absent","patientAnswerZh":"以前没有做过导尿、膀胱镜等泌尿操作。","patientAnswerEn":"I have not had catheterization, cystoscopy, or other urinary procedures.","provenance":"author_added_for_simulation","teacherReviewRequired":true}</x:v>
      </x:c>
      <x:c r="E240" s="56" t="str">
        <x:v>author_added_for_simulation</x:v>
      </x:c>
      <x:c r="F240" s="56" t="str">
        <x:v>是</x:v>
      </x:c>
      <x:c r="G240" s="56" t="str">
        <x:v>程序未检出确定性冲突；仍待语义复核</x:v>
      </x:c>
      <x:c r="H240" s="56" t="str">
        <x:v>待确认</x:v>
      </x:c>
      <x:c r="I240" s="56" t="str">
        <x:v>待确认</x:v>
      </x:c>
      <x:c r="J240" s="59" t="str">
        <x:v>待确认</x:v>
      </x:c>
      <x:c r="K240" s="56" t="str"/>
      <x:c r="L240" s="56" t="str"/>
      <x:c r="M240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41">
      <x:c r="A241" s="56" t="str">
        <x:v>P019</x:v>
      </x:c>
      <x:c r="B241" s="56" t="str">
        <x:v>HX-ADD-007</x:v>
      </x:c>
      <x:c r="C241" s="56" t="str">
        <x:v>surgeryHistory</x:v>
      </x:c>
      <x:c r="D241" s="56" t="str">
        <x:v>{"status":"absent","patientAnswerZh":"我以前没有做过手术。","patientAnswerEn":"I have never had surgery.","provenance":"author_added_for_simulation","teacherReviewRequired":true}</x:v>
      </x:c>
      <x:c r="E241" s="56" t="str">
        <x:v>author_added_for_simulation</x:v>
      </x:c>
      <x:c r="F241" s="56" t="str">
        <x:v>是</x:v>
      </x:c>
      <x:c r="G241" s="56" t="str">
        <x:v>程序未检出确定性冲突；仍待语义复核</x:v>
      </x:c>
      <x:c r="H241" s="56" t="str">
        <x:v>待确认</x:v>
      </x:c>
      <x:c r="I241" s="56" t="str">
        <x:v>是</x:v>
      </x:c>
      <x:c r="J241" s="59" t="str">
        <x:v>待确认</x:v>
      </x:c>
      <x:c r="K241" s="56" t="str"/>
      <x:c r="L241" s="56" t="str"/>
      <x:c r="M241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42">
      <x:c r="A242" s="56" t="str">
        <x:v>P019</x:v>
      </x:c>
      <x:c r="B242" s="56" t="str">
        <x:v>HX-ADD-007</x:v>
      </x:c>
      <x:c r="C242" s="56" t="str">
        <x:v>transfusionHistory</x:v>
      </x:c>
      <x:c r="D242" s="56" t="str">
        <x:v>{"status":"absent","patientAnswerZh":"我以前没有输过血。","patientAnswerEn":"I have never had a blood transfusion.","provenance":"author_added_for_simulation","teacherReviewRequired":true}</x:v>
      </x:c>
      <x:c r="E242" s="56" t="str">
        <x:v>author_added_for_simulation</x:v>
      </x:c>
      <x:c r="F242" s="56" t="str">
        <x:v>是</x:v>
      </x:c>
      <x:c r="G242" s="56" t="str">
        <x:v>程序未检出确定性冲突；仍待语义复核</x:v>
      </x:c>
      <x:c r="H242" s="56" t="str">
        <x:v>待确认</x:v>
      </x:c>
      <x:c r="I242" s="56" t="str">
        <x:v>待确认</x:v>
      </x:c>
      <x:c r="J242" s="59" t="str">
        <x:v>待确认</x:v>
      </x:c>
      <x:c r="K242" s="56" t="str"/>
      <x:c r="L242" s="56" t="str"/>
      <x:c r="M242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43">
      <x:c r="A243" s="56" t="str">
        <x:v>P019</x:v>
      </x:c>
      <x:c r="B243" s="56" t="str">
        <x:v>HX-ADD-007</x:v>
      </x:c>
      <x:c r="C243" s="56" t="str">
        <x:v>allergyHistory</x:v>
      </x:c>
      <x:c r="D243" s="56" t="str">
        <x:v>{"status":"absent","patientAnswerZh":"我没有已知药物或食物过敏。","patientAnswerEn":"I have no known drug or food allergies.","provenance":"author_added_for_simulation","teacherReviewRequired":true}</x:v>
      </x:c>
      <x:c r="E243" s="56" t="str">
        <x:v>author_added_for_simulation</x:v>
      </x:c>
      <x:c r="F243" s="56" t="str">
        <x:v>是</x:v>
      </x:c>
      <x:c r="G243" s="56" t="str">
        <x:v>程序未检出确定性冲突；仍待语义复核</x:v>
      </x:c>
      <x:c r="H243" s="56" t="str">
        <x:v>待确认</x:v>
      </x:c>
      <x:c r="I243" s="56" t="str">
        <x:v>是</x:v>
      </x:c>
      <x:c r="J243" s="59" t="str">
        <x:v>待确认</x:v>
      </x:c>
      <x:c r="K243" s="56" t="str"/>
      <x:c r="L243" s="56" t="str"/>
      <x:c r="M243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44">
      <x:c r="A244" s="56" t="str">
        <x:v>P019</x:v>
      </x:c>
      <x:c r="B244" s="56" t="str">
        <x:v>HX-ADD-007</x:v>
      </x:c>
      <x:c r="C244" s="56" t="str">
        <x:v>anticoagulantUse</x:v>
      </x:c>
      <x:c r="D244" s="56" t="str">
        <x:v>{"status":"absent","patientAnswerZh":"我没有服用华法林、利伐沙班等抗凝药。","patientAnswerEn":"I do not take anticoagulants.","provenance":"author_added_for_simulation","teacherReviewRequired":true}</x:v>
      </x:c>
      <x:c r="E244" s="56" t="str">
        <x:v>author_added_for_simulation</x:v>
      </x:c>
      <x:c r="F244" s="56" t="str">
        <x:v>是</x:v>
      </x:c>
      <x:c r="G244" s="56" t="str">
        <x:v>程序未检出确定性冲突；仍待语义复核</x:v>
      </x:c>
      <x:c r="H244" s="56" t="str">
        <x:v>可能</x:v>
      </x:c>
      <x:c r="I244" s="56" t="str">
        <x:v>是</x:v>
      </x:c>
      <x:c r="J244" s="59" t="str">
        <x:v>待确认</x:v>
      </x:c>
      <x:c r="K244" s="56" t="str"/>
      <x:c r="L244" s="56" t="str"/>
      <x:c r="M244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45">
      <x:c r="A245" s="56" t="str">
        <x:v>P019</x:v>
      </x:c>
      <x:c r="B245" s="56" t="str">
        <x:v>HX-ADD-007</x:v>
      </x:c>
      <x:c r="C245" s="56" t="str">
        <x:v>antiplateletUse</x:v>
      </x:c>
      <x:c r="D245" s="56" t="str">
        <x:v>{"status":"absent","patientAnswerZh":"我没有服用阿司匹林或氯吡格雷。","patientAnswerEn":"I do not take antiplatelet medication.","provenance":"author_added_for_simulation","teacherReviewRequired":true}</x:v>
      </x:c>
      <x:c r="E245" s="56" t="str">
        <x:v>author_added_for_simulation</x:v>
      </x:c>
      <x:c r="F245" s="56" t="str">
        <x:v>是</x:v>
      </x:c>
      <x:c r="G245" s="56" t="str">
        <x:v>程序未检出确定性冲突；仍待语义复核</x:v>
      </x:c>
      <x:c r="H245" s="56" t="str">
        <x:v>可能</x:v>
      </x:c>
      <x:c r="I245" s="56" t="str">
        <x:v>是</x:v>
      </x:c>
      <x:c r="J245" s="59" t="str">
        <x:v>待确认</x:v>
      </x:c>
      <x:c r="K245" s="56" t="str"/>
      <x:c r="L245" s="56" t="str"/>
      <x:c r="M245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46">
      <x:c r="A246" s="56" t="str">
        <x:v>P019</x:v>
      </x:c>
      <x:c r="B246" s="56" t="str">
        <x:v>HX-ADD-007</x:v>
      </x:c>
      <x:c r="C246" s="56" t="str">
        <x:v>familyHistory</x:v>
      </x:c>
      <x:c r="D246" s="56" t="str">
        <x:v>{"status":"absent","patientAnswerZh":"家里没有人得过类似血尿或遗传性肾病。","patientAnswerEn":"No one in my family has had similar hematuria or hereditary kidney disease.","provenance":"author_added_for_simulation","teacherReviewRequired":true}</x:v>
      </x:c>
      <x:c r="E246" s="56" t="str">
        <x:v>author_added_for_simulation</x:v>
      </x:c>
      <x:c r="F246" s="56" t="str">
        <x:v>是</x:v>
      </x:c>
      <x:c r="G246" s="56" t="str">
        <x:v>程序未检出确定性冲突；仍待语义复核</x:v>
      </x:c>
      <x:c r="H246" s="56" t="str">
        <x:v>可能</x:v>
      </x:c>
      <x:c r="I246" s="56" t="str">
        <x:v>是</x:v>
      </x:c>
      <x:c r="J246" s="59" t="str">
        <x:v>待确认</x:v>
      </x:c>
      <x:c r="K246" s="56" t="str"/>
      <x:c r="L246" s="56" t="str"/>
      <x:c r="M246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47">
      <x:c r="A247" s="56" t="str">
        <x:v>P019</x:v>
      </x:c>
      <x:c r="B247" s="56" t="str">
        <x:v>HX-ADD-007</x:v>
      </x:c>
      <x:c r="C247" s="56" t="str">
        <x:v>menstrualHistory</x:v>
      </x:c>
      <x:c r="D247" s="56" t="str">
        <x:v>{"status":"absent","patientAnswerZh":"月经情况正常，这次尿色异常不是在月经期。","patientAnswerEn":"My periods are regular, and this episode did not occur during menstruation.","provenance":"author_added_for_simulation","teacherReviewRequired":true}</x:v>
      </x:c>
      <x:c r="E247" s="56" t="str">
        <x:v>author_added_for_simulation</x:v>
      </x:c>
      <x:c r="F247" s="56" t="str">
        <x:v>是</x:v>
      </x:c>
      <x:c r="G247" s="56" t="str">
        <x:v>程序未检出确定性冲突；仍待语义复核</x:v>
      </x:c>
      <x:c r="H247" s="56" t="str">
        <x:v>可能</x:v>
      </x:c>
      <x:c r="I247" s="56" t="str">
        <x:v>待确认</x:v>
      </x:c>
      <x:c r="J247" s="59" t="str">
        <x:v>待确认</x:v>
      </x:c>
      <x:c r="K247" s="56" t="str"/>
      <x:c r="L247" s="56" t="str"/>
      <x:c r="M247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48">
      <x:c r="A248" s="56" t="str">
        <x:v>P019</x:v>
      </x:c>
      <x:c r="B248" s="56" t="str">
        <x:v>HX-ADD-007</x:v>
      </x:c>
      <x:c r="C248" s="56" t="str">
        <x:v>pregnancyHistory</x:v>
      </x:c>
      <x:c r="D248" s="56" t="str">
        <x:v>{"status":"absent","patientAnswerZh":"目前没有怀孕。","patientAnswerEn":"I am not currently pregnant.","provenance":"author_added_for_simulation","teacherReviewRequired":true}</x:v>
      </x:c>
      <x:c r="E248" s="56" t="str">
        <x:v>author_added_for_simulation</x:v>
      </x:c>
      <x:c r="F248" s="56" t="str">
        <x:v>是</x:v>
      </x:c>
      <x:c r="G248" s="56" t="str">
        <x:v>程序未检出确定性冲突；仍待语义复核</x:v>
      </x:c>
      <x:c r="H248" s="56" t="str">
        <x:v>可能</x:v>
      </x:c>
      <x:c r="I248" s="56" t="str">
        <x:v>待确认</x:v>
      </x:c>
      <x:c r="J248" s="59" t="str">
        <x:v>待确认</x:v>
      </x:c>
      <x:c r="K248" s="56" t="str"/>
      <x:c r="L248" s="56" t="str"/>
      <x:c r="M248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49">
      <x:c r="A249" s="56" t="str">
        <x:v>P020</x:v>
      </x:c>
      <x:c r="B249" s="56" t="str">
        <x:v>HX-ADD-008</x:v>
      </x:c>
      <x:c r="C249" s="56" t="str">
        <x:v>alcoholHistory</x:v>
      </x:c>
      <x:c r="D249" s="56" t="str">
        <x:v>{"status":"never","type":"","amount":"0","frequency":"never","years":0,"patientAnswerZh":"我平时不喝酒。","patientAnswerEn":"I do not drink alcohol.","provenance":"author_added_for_simulation","teacherReviewRequired":true}</x:v>
      </x:c>
      <x:c r="E249" s="56" t="str">
        <x:v>author_added_for_simulation</x:v>
      </x:c>
      <x:c r="F249" s="56" t="str">
        <x:v>是</x:v>
      </x:c>
      <x:c r="G249" s="56" t="str">
        <x:v>程序未检出确定性冲突；仍待语义复核</x:v>
      </x:c>
      <x:c r="H249" s="56" t="str">
        <x:v>待确认</x:v>
      </x:c>
      <x:c r="I249" s="56" t="str">
        <x:v>待确认</x:v>
      </x:c>
      <x:c r="J249" s="59" t="str">
        <x:v>待确认</x:v>
      </x:c>
      <x:c r="K249" s="56" t="str"/>
      <x:c r="L249" s="56" t="str"/>
      <x:c r="M249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50">
      <x:c r="A250" s="56" t="str">
        <x:v>P020</x:v>
      </x:c>
      <x:c r="B250" s="56" t="str">
        <x:v>HX-ADD-008</x:v>
      </x:c>
      <x:c r="C250" s="56" t="str">
        <x:v>hypertension</x:v>
      </x:c>
      <x:c r="D250" s="56" t="str">
        <x:v>{"status":"absent","patientAnswerZh":"没有高血压。","patientAnswerEn":"I do not have hypertension.","provenance":"source","teacherReviewRequired":false}</x:v>
      </x:c>
      <x:c r="E250" s="56" t="str">
        <x:v>source</x:v>
      </x:c>
      <x:c r="F250" s="56" t="str">
        <x:v>是</x:v>
      </x:c>
      <x:c r="G250" s="56" t="str">
        <x:v>程序未检出确定性冲突；仍待语义复核</x:v>
      </x:c>
      <x:c r="H250" s="56" t="str">
        <x:v>待确认</x:v>
      </x:c>
      <x:c r="I250" s="56" t="str">
        <x:v>是</x:v>
      </x:c>
      <x:c r="J250" s="59" t="str">
        <x:v>待确认</x:v>
      </x:c>
      <x:c r="K250" s="56" t="str"/>
      <x:c r="L250" s="56" t="str"/>
      <x:c r="M250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51">
      <x:c r="A251" s="56" t="str">
        <x:v>P020</x:v>
      </x:c>
      <x:c r="B251" s="56" t="str">
        <x:v>HX-ADD-008</x:v>
      </x:c>
      <x:c r="C251" s="56" t="str">
        <x:v>diabetes</x:v>
      </x:c>
      <x:c r="D251" s="56" t="str">
        <x:v>{"status":"absent","patientAnswerZh":"没有糖尿病。","patientAnswerEn":"I do not have diabetes.","provenance":"source","teacherReviewRequired":false}</x:v>
      </x:c>
      <x:c r="E251" s="56" t="str">
        <x:v>source</x:v>
      </x:c>
      <x:c r="F251" s="56" t="str">
        <x:v>是</x:v>
      </x:c>
      <x:c r="G251" s="56" t="str">
        <x:v>程序未检出确定性冲突；仍待语义复核</x:v>
      </x:c>
      <x:c r="H251" s="56" t="str">
        <x:v>待确认</x:v>
      </x:c>
      <x:c r="I251" s="56" t="str">
        <x:v>待确认</x:v>
      </x:c>
      <x:c r="J251" s="59" t="str">
        <x:v>待确认</x:v>
      </x:c>
      <x:c r="K251" s="56" t="str"/>
      <x:c r="L251" s="56" t="str"/>
      <x:c r="M251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52">
      <x:c r="A252" s="56" t="str">
        <x:v>P020</x:v>
      </x:c>
      <x:c r="B252" s="56" t="str">
        <x:v>HX-ADD-008</x:v>
      </x:c>
      <x:c r="C252" s="56" t="str">
        <x:v>coronaryDisease</x:v>
      </x:c>
      <x:c r="D252" s="56" t="str">
        <x:v>{"status":"absent","patientAnswerZh":"没有冠心病。","patientAnswerEn":"I do not have coronary heart disease.","provenance":"source","teacherReviewRequired":false}</x:v>
      </x:c>
      <x:c r="E252" s="56" t="str">
        <x:v>source</x:v>
      </x:c>
      <x:c r="F252" s="56" t="str">
        <x:v>是</x:v>
      </x:c>
      <x:c r="G252" s="56" t="str">
        <x:v>程序未检出确定性冲突；仍待语义复核</x:v>
      </x:c>
      <x:c r="H252" s="56" t="str">
        <x:v>待确认</x:v>
      </x:c>
      <x:c r="I252" s="56" t="str">
        <x:v>待确认</x:v>
      </x:c>
      <x:c r="J252" s="59" t="str">
        <x:v>待确认</x:v>
      </x:c>
      <x:c r="K252" s="56" t="str"/>
      <x:c r="L252" s="56" t="str"/>
      <x:c r="M252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53">
      <x:c r="A253" s="56" t="str">
        <x:v>P020</x:v>
      </x:c>
      <x:c r="B253" s="56" t="str">
        <x:v>HX-ADD-008</x:v>
      </x:c>
      <x:c r="C253" s="56" t="str">
        <x:v>stroke</x:v>
      </x:c>
      <x:c r="D253" s="56" t="str">
        <x:v>{"status":"absent","patientAnswerZh":"没有脑卒中。","patientAnswerEn":"I do not have stroke.","provenance":"source","teacherReviewRequired":false}</x:v>
      </x:c>
      <x:c r="E253" s="56" t="str">
        <x:v>source</x:v>
      </x:c>
      <x:c r="F253" s="56" t="str">
        <x:v>是</x:v>
      </x:c>
      <x:c r="G253" s="56" t="str">
        <x:v>程序未检出确定性冲突；仍待语义复核</x:v>
      </x:c>
      <x:c r="H253" s="56" t="str">
        <x:v>待确认</x:v>
      </x:c>
      <x:c r="I253" s="56" t="str">
        <x:v>待确认</x:v>
      </x:c>
      <x:c r="J253" s="59" t="str">
        <x:v>待确认</x:v>
      </x:c>
      <x:c r="K253" s="56" t="str"/>
      <x:c r="L253" s="56" t="str"/>
      <x:c r="M253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54">
      <x:c r="A254" s="56" t="str">
        <x:v>P020</x:v>
      </x:c>
      <x:c r="B254" s="56" t="str">
        <x:v>HX-ADD-008</x:v>
      </x:c>
      <x:c r="C254" s="56" t="str">
        <x:v>liverDisease</x:v>
      </x:c>
      <x:c r="D254" s="56" t="str">
        <x:v>{"status":"absent","patientAnswerZh":"没有肝病。","patientAnswerEn":"I do not have liver disease.","provenance":"source","teacherReviewRequired":false}</x:v>
      </x:c>
      <x:c r="E254" s="56" t="str">
        <x:v>source</x:v>
      </x:c>
      <x:c r="F254" s="56" t="str">
        <x:v>是</x:v>
      </x:c>
      <x:c r="G254" s="56" t="str">
        <x:v>程序未检出确定性冲突；仍待语义复核</x:v>
      </x:c>
      <x:c r="H254" s="56" t="str">
        <x:v>待确认</x:v>
      </x:c>
      <x:c r="I254" s="56" t="str">
        <x:v>待确认</x:v>
      </x:c>
      <x:c r="J254" s="59" t="str">
        <x:v>待确认</x:v>
      </x:c>
      <x:c r="K254" s="56" t="str"/>
      <x:c r="L254" s="56" t="str"/>
      <x:c r="M254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55">
      <x:c r="A255" s="56" t="str">
        <x:v>P020</x:v>
      </x:c>
      <x:c r="B255" s="56" t="str">
        <x:v>HX-ADD-008</x:v>
      </x:c>
      <x:c r="C255" s="56" t="str">
        <x:v>tuberculosis</x:v>
      </x:c>
      <x:c r="D255" s="56" t="str">
        <x:v>{"status":"absent","patientAnswerZh":"没有结核病。","patientAnswerEn":"I do not have tuberculosis.","provenance":"source","teacherReviewRequired":false}</x:v>
      </x:c>
      <x:c r="E255" s="56" t="str">
        <x:v>source</x:v>
      </x:c>
      <x:c r="F255" s="56" t="str">
        <x:v>是</x:v>
      </x:c>
      <x:c r="G255" s="56" t="str">
        <x:v>程序未检出确定性冲突；仍待语义复核</x:v>
      </x:c>
      <x:c r="H255" s="56" t="str">
        <x:v>待确认</x:v>
      </x:c>
      <x:c r="I255" s="56" t="str">
        <x:v>待确认</x:v>
      </x:c>
      <x:c r="J255" s="59" t="str">
        <x:v>待确认</x:v>
      </x:c>
      <x:c r="K255" s="56" t="str"/>
      <x:c r="L255" s="56" t="str"/>
      <x:c r="M255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56">
      <x:c r="A256" s="56" t="str">
        <x:v>P020</x:v>
      </x:c>
      <x:c r="B256" s="56" t="str">
        <x:v>HX-ADD-008</x:v>
      </x:c>
      <x:c r="C256" s="56" t="str">
        <x:v>urinaryProcedureHistory</x:v>
      </x:c>
      <x:c r="D256" s="56" t="str">
        <x:v>{"status":"absent","patientAnswerZh":"以前没有做过导尿、膀胱镜等泌尿操作。","patientAnswerEn":"I have not had catheterization, cystoscopy, or other urinary procedures.","provenance":"author_added_for_simulation","teacherReviewRequired":true}</x:v>
      </x:c>
      <x:c r="E256" s="56" t="str">
        <x:v>author_added_for_simulation</x:v>
      </x:c>
      <x:c r="F256" s="56" t="str">
        <x:v>是</x:v>
      </x:c>
      <x:c r="G256" s="56" t="str">
        <x:v>程序未检出确定性冲突；仍待语义复核</x:v>
      </x:c>
      <x:c r="H256" s="56" t="str">
        <x:v>待确认</x:v>
      </x:c>
      <x:c r="I256" s="56" t="str">
        <x:v>待确认</x:v>
      </x:c>
      <x:c r="J256" s="59" t="str">
        <x:v>待确认</x:v>
      </x:c>
      <x:c r="K256" s="56" t="str"/>
      <x:c r="L256" s="56" t="str"/>
      <x:c r="M256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57">
      <x:c r="A257" s="56" t="str">
        <x:v>P020</x:v>
      </x:c>
      <x:c r="B257" s="56" t="str">
        <x:v>HX-ADD-008</x:v>
      </x:c>
      <x:c r="C257" s="56" t="str">
        <x:v>surgeryHistory</x:v>
      </x:c>
      <x:c r="D257" s="56" t="str">
        <x:v>{"status":"absent","patientAnswerZh":"我以前没有做过手术。","patientAnswerEn":"I have never had surgery.","provenance":"author_added_for_simulation","teacherReviewRequired":true}</x:v>
      </x:c>
      <x:c r="E257" s="56" t="str">
        <x:v>author_added_for_simulation</x:v>
      </x:c>
      <x:c r="F257" s="56" t="str">
        <x:v>是</x:v>
      </x:c>
      <x:c r="G257" s="56" t="str">
        <x:v>程序未检出确定性冲突；仍待语义复核</x:v>
      </x:c>
      <x:c r="H257" s="56" t="str">
        <x:v>待确认</x:v>
      </x:c>
      <x:c r="I257" s="56" t="str">
        <x:v>是</x:v>
      </x:c>
      <x:c r="J257" s="59" t="str">
        <x:v>待确认</x:v>
      </x:c>
      <x:c r="K257" s="56" t="str"/>
      <x:c r="L257" s="56" t="str"/>
      <x:c r="M257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58">
      <x:c r="A258" s="56" t="str">
        <x:v>P020</x:v>
      </x:c>
      <x:c r="B258" s="56" t="str">
        <x:v>HX-ADD-008</x:v>
      </x:c>
      <x:c r="C258" s="56" t="str">
        <x:v>transfusionHistory</x:v>
      </x:c>
      <x:c r="D258" s="56" t="str">
        <x:v>{"status":"absent","patientAnswerZh":"我以前没有输过血。","patientAnswerEn":"I have never had a blood transfusion.","provenance":"author_added_for_simulation","teacherReviewRequired":true}</x:v>
      </x:c>
      <x:c r="E258" s="56" t="str">
        <x:v>author_added_for_simulation</x:v>
      </x:c>
      <x:c r="F258" s="56" t="str">
        <x:v>是</x:v>
      </x:c>
      <x:c r="G258" s="56" t="str">
        <x:v>程序未检出确定性冲突；仍待语义复核</x:v>
      </x:c>
      <x:c r="H258" s="56" t="str">
        <x:v>待确认</x:v>
      </x:c>
      <x:c r="I258" s="56" t="str">
        <x:v>待确认</x:v>
      </x:c>
      <x:c r="J258" s="59" t="str">
        <x:v>待确认</x:v>
      </x:c>
      <x:c r="K258" s="56" t="str"/>
      <x:c r="L258" s="56" t="str"/>
      <x:c r="M258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59">
      <x:c r="A259" s="56" t="str">
        <x:v>P020</x:v>
      </x:c>
      <x:c r="B259" s="56" t="str">
        <x:v>HX-ADD-008</x:v>
      </x:c>
      <x:c r="C259" s="56" t="str">
        <x:v>allergyHistory</x:v>
      </x:c>
      <x:c r="D259" s="56" t="str">
        <x:v>{"status":"absent","patientAnswerZh":"我没有已知药物或食物过敏。","patientAnswerEn":"I have no known drug or food allergies.","provenance":"author_added_for_simulation","teacherReviewRequired":true}</x:v>
      </x:c>
      <x:c r="E259" s="56" t="str">
        <x:v>author_added_for_simulation</x:v>
      </x:c>
      <x:c r="F259" s="56" t="str">
        <x:v>是</x:v>
      </x:c>
      <x:c r="G259" s="56" t="str">
        <x:v>程序未检出确定性冲突；仍待语义复核</x:v>
      </x:c>
      <x:c r="H259" s="56" t="str">
        <x:v>待确认</x:v>
      </x:c>
      <x:c r="I259" s="56" t="str">
        <x:v>是</x:v>
      </x:c>
      <x:c r="J259" s="59" t="str">
        <x:v>待确认</x:v>
      </x:c>
      <x:c r="K259" s="56" t="str"/>
      <x:c r="L259" s="56" t="str"/>
      <x:c r="M259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60">
      <x:c r="A260" s="56" t="str">
        <x:v>P020</x:v>
      </x:c>
      <x:c r="B260" s="56" t="str">
        <x:v>HX-ADD-008</x:v>
      </x:c>
      <x:c r="C260" s="56" t="str">
        <x:v>anticoagulantUse</x:v>
      </x:c>
      <x:c r="D260" s="56" t="str">
        <x:v>{"status":"absent","patientAnswerZh":"我没有服用华法林、利伐沙班等抗凝药。","patientAnswerEn":"I do not take anticoagulants.","provenance":"author_added_for_simulation","teacherReviewRequired":true}</x:v>
      </x:c>
      <x:c r="E260" s="56" t="str">
        <x:v>author_added_for_simulation</x:v>
      </x:c>
      <x:c r="F260" s="56" t="str">
        <x:v>是</x:v>
      </x:c>
      <x:c r="G260" s="56" t="str">
        <x:v>程序未检出确定性冲突；仍待语义复核</x:v>
      </x:c>
      <x:c r="H260" s="56" t="str">
        <x:v>可能</x:v>
      </x:c>
      <x:c r="I260" s="56" t="str">
        <x:v>是</x:v>
      </x:c>
      <x:c r="J260" s="59" t="str">
        <x:v>待确认</x:v>
      </x:c>
      <x:c r="K260" s="56" t="str"/>
      <x:c r="L260" s="56" t="str"/>
      <x:c r="M260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61">
      <x:c r="A261" s="56" t="str">
        <x:v>P020</x:v>
      </x:c>
      <x:c r="B261" s="56" t="str">
        <x:v>HX-ADD-008</x:v>
      </x:c>
      <x:c r="C261" s="56" t="str">
        <x:v>antiplateletUse</x:v>
      </x:c>
      <x:c r="D261" s="56" t="str">
        <x:v>{"status":"absent","patientAnswerZh":"我没有服用阿司匹林或氯吡格雷。","patientAnswerEn":"I do not take antiplatelet medication.","provenance":"author_added_for_simulation","teacherReviewRequired":true}</x:v>
      </x:c>
      <x:c r="E261" s="56" t="str">
        <x:v>author_added_for_simulation</x:v>
      </x:c>
      <x:c r="F261" s="56" t="str">
        <x:v>是</x:v>
      </x:c>
      <x:c r="G261" s="56" t="str">
        <x:v>程序未检出确定性冲突；仍待语义复核</x:v>
      </x:c>
      <x:c r="H261" s="56" t="str">
        <x:v>可能</x:v>
      </x:c>
      <x:c r="I261" s="56" t="str">
        <x:v>是</x:v>
      </x:c>
      <x:c r="J261" s="59" t="str">
        <x:v>待确认</x:v>
      </x:c>
      <x:c r="K261" s="56" t="str"/>
      <x:c r="L261" s="56" t="str"/>
      <x:c r="M261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62">
      <x:c r="A262" s="56" t="str">
        <x:v>P020</x:v>
      </x:c>
      <x:c r="B262" s="56" t="str">
        <x:v>HX-ADD-008</x:v>
      </x:c>
      <x:c r="C262" s="56" t="str">
        <x:v>familyHistory</x:v>
      </x:c>
      <x:c r="D262" s="56" t="str">
        <x:v>{"status":"absent","patientAnswerZh":"家里没有人得过类似血尿或遗传性肾病。","patientAnswerEn":"No one in my family has had similar hematuria or hereditary kidney disease.","provenance":"author_added_for_simulation","teacherReviewRequired":true}</x:v>
      </x:c>
      <x:c r="E262" s="56" t="str">
        <x:v>author_added_for_simulation</x:v>
      </x:c>
      <x:c r="F262" s="56" t="str">
        <x:v>是</x:v>
      </x:c>
      <x:c r="G262" s="56" t="str">
        <x:v>程序未检出确定性冲突；仍待语义复核</x:v>
      </x:c>
      <x:c r="H262" s="56" t="str">
        <x:v>可能</x:v>
      </x:c>
      <x:c r="I262" s="56" t="str">
        <x:v>是</x:v>
      </x:c>
      <x:c r="J262" s="59" t="str">
        <x:v>待确认</x:v>
      </x:c>
      <x:c r="K262" s="56" t="str"/>
      <x:c r="L262" s="56" t="str"/>
      <x:c r="M262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63">
      <x:c r="A263" s="56" t="str">
        <x:v>P021</x:v>
      </x:c>
      <x:c r="B263" s="56" t="str">
        <x:v>HX-ADD-009</x:v>
      </x:c>
      <x:c r="C263" s="56" t="str">
        <x:v>alcoholHistory</x:v>
      </x:c>
      <x:c r="D263" s="56" t="str">
        <x:v>{"status":"never","type":"","amount":"0","frequency":"never","years":0,"patientAnswerZh":"我平时不喝酒。","patientAnswerEn":"I do not drink alcohol.","provenance":"author_added_for_simulation","teacherReviewRequired":true}</x:v>
      </x:c>
      <x:c r="E263" s="56" t="str">
        <x:v>author_added_for_simulation</x:v>
      </x:c>
      <x:c r="F263" s="56" t="str">
        <x:v>是</x:v>
      </x:c>
      <x:c r="G263" s="56" t="str">
        <x:v>程序未检出确定性冲突；仍待语义复核</x:v>
      </x:c>
      <x:c r="H263" s="56" t="str">
        <x:v>待确认</x:v>
      </x:c>
      <x:c r="I263" s="56" t="str">
        <x:v>待确认</x:v>
      </x:c>
      <x:c r="J263" s="59" t="str">
        <x:v>待确认</x:v>
      </x:c>
      <x:c r="K263" s="56" t="str"/>
      <x:c r="L263" s="56" t="str"/>
      <x:c r="M263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64">
      <x:c r="A264" s="56" t="str">
        <x:v>P021</x:v>
      </x:c>
      <x:c r="B264" s="56" t="str">
        <x:v>HX-ADD-009</x:v>
      </x:c>
      <x:c r="C264" s="56" t="str">
        <x:v>hypertension</x:v>
      </x:c>
      <x:c r="D264" s="56" t="str">
        <x:v>{"status":"absent","patientAnswerZh":"没有高血压。","patientAnswerEn":"I do not have hypertension.","provenance":"source","teacherReviewRequired":false}</x:v>
      </x:c>
      <x:c r="E264" s="56" t="str">
        <x:v>source</x:v>
      </x:c>
      <x:c r="F264" s="56" t="str">
        <x:v>是</x:v>
      </x:c>
      <x:c r="G264" s="56" t="str">
        <x:v>程序未检出确定性冲突；仍待语义复核</x:v>
      </x:c>
      <x:c r="H264" s="56" t="str">
        <x:v>待确认</x:v>
      </x:c>
      <x:c r="I264" s="56" t="str">
        <x:v>是</x:v>
      </x:c>
      <x:c r="J264" s="59" t="str">
        <x:v>待确认</x:v>
      </x:c>
      <x:c r="K264" s="56" t="str"/>
      <x:c r="L264" s="56" t="str"/>
      <x:c r="M264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65">
      <x:c r="A265" s="56" t="str">
        <x:v>P021</x:v>
      </x:c>
      <x:c r="B265" s="56" t="str">
        <x:v>HX-ADD-009</x:v>
      </x:c>
      <x:c r="C265" s="56" t="str">
        <x:v>coronaryDisease</x:v>
      </x:c>
      <x:c r="D265" s="56" t="str">
        <x:v>{"status":"absent","patientAnswerZh":"没有冠心病。","patientAnswerEn":"I do not have coronary heart disease.","provenance":"source","teacherReviewRequired":false}</x:v>
      </x:c>
      <x:c r="E265" s="56" t="str">
        <x:v>source</x:v>
      </x:c>
      <x:c r="F265" s="56" t="str">
        <x:v>是</x:v>
      </x:c>
      <x:c r="G265" s="56" t="str">
        <x:v>程序未检出确定性冲突；仍待语义复核</x:v>
      </x:c>
      <x:c r="H265" s="56" t="str">
        <x:v>待确认</x:v>
      </x:c>
      <x:c r="I265" s="56" t="str">
        <x:v>待确认</x:v>
      </x:c>
      <x:c r="J265" s="59" t="str">
        <x:v>待确认</x:v>
      </x:c>
      <x:c r="K265" s="56" t="str"/>
      <x:c r="L265" s="56" t="str"/>
      <x:c r="M265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66">
      <x:c r="A266" s="56" t="str">
        <x:v>P021</x:v>
      </x:c>
      <x:c r="B266" s="56" t="str">
        <x:v>HX-ADD-009</x:v>
      </x:c>
      <x:c r="C266" s="56" t="str">
        <x:v>stroke</x:v>
      </x:c>
      <x:c r="D266" s="56" t="str">
        <x:v>{"status":"absent","patientAnswerZh":"没有脑卒中。","patientAnswerEn":"I do not have stroke.","provenance":"source","teacherReviewRequired":false}</x:v>
      </x:c>
      <x:c r="E266" s="56" t="str">
        <x:v>source</x:v>
      </x:c>
      <x:c r="F266" s="56" t="str">
        <x:v>是</x:v>
      </x:c>
      <x:c r="G266" s="56" t="str">
        <x:v>程序未检出确定性冲突；仍待语义复核</x:v>
      </x:c>
      <x:c r="H266" s="56" t="str">
        <x:v>待确认</x:v>
      </x:c>
      <x:c r="I266" s="56" t="str">
        <x:v>待确认</x:v>
      </x:c>
      <x:c r="J266" s="59" t="str">
        <x:v>待确认</x:v>
      </x:c>
      <x:c r="K266" s="56" t="str"/>
      <x:c r="L266" s="56" t="str"/>
      <x:c r="M266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67">
      <x:c r="A267" s="56" t="str">
        <x:v>P021</x:v>
      </x:c>
      <x:c r="B267" s="56" t="str">
        <x:v>HX-ADD-009</x:v>
      </x:c>
      <x:c r="C267" s="56" t="str">
        <x:v>liverDisease</x:v>
      </x:c>
      <x:c r="D267" s="56" t="str">
        <x:v>{"status":"absent","patientAnswerZh":"没有肝病。","patientAnswerEn":"I do not have liver disease.","provenance":"source","teacherReviewRequired":false}</x:v>
      </x:c>
      <x:c r="E267" s="56" t="str">
        <x:v>source</x:v>
      </x:c>
      <x:c r="F267" s="56" t="str">
        <x:v>是</x:v>
      </x:c>
      <x:c r="G267" s="56" t="str">
        <x:v>程序未检出确定性冲突；仍待语义复核</x:v>
      </x:c>
      <x:c r="H267" s="56" t="str">
        <x:v>待确认</x:v>
      </x:c>
      <x:c r="I267" s="56" t="str">
        <x:v>待确认</x:v>
      </x:c>
      <x:c r="J267" s="59" t="str">
        <x:v>待确认</x:v>
      </x:c>
      <x:c r="K267" s="56" t="str"/>
      <x:c r="L267" s="56" t="str"/>
      <x:c r="M267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68">
      <x:c r="A268" s="56" t="str">
        <x:v>P021</x:v>
      </x:c>
      <x:c r="B268" s="56" t="str">
        <x:v>HX-ADD-009</x:v>
      </x:c>
      <x:c r="C268" s="56" t="str">
        <x:v>tuberculosis</x:v>
      </x:c>
      <x:c r="D268" s="56" t="str">
        <x:v>{"status":"absent","patientAnswerZh":"没有结核病。","patientAnswerEn":"I do not have tuberculosis.","provenance":"source","teacherReviewRequired":false}</x:v>
      </x:c>
      <x:c r="E268" s="56" t="str">
        <x:v>source</x:v>
      </x:c>
      <x:c r="F268" s="56" t="str">
        <x:v>是</x:v>
      </x:c>
      <x:c r="G268" s="56" t="str">
        <x:v>程序未检出确定性冲突；仍待语义复核</x:v>
      </x:c>
      <x:c r="H268" s="56" t="str">
        <x:v>待确认</x:v>
      </x:c>
      <x:c r="I268" s="56" t="str">
        <x:v>待确认</x:v>
      </x:c>
      <x:c r="J268" s="59" t="str">
        <x:v>待确认</x:v>
      </x:c>
      <x:c r="K268" s="56" t="str"/>
      <x:c r="L268" s="56" t="str"/>
      <x:c r="M268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69">
      <x:c r="A269" s="56" t="str">
        <x:v>P021</x:v>
      </x:c>
      <x:c r="B269" s="56" t="str">
        <x:v>HX-ADD-009</x:v>
      </x:c>
      <x:c r="C269" s="56" t="str">
        <x:v>urinaryProcedureHistory</x:v>
      </x:c>
      <x:c r="D269" s="56" t="str">
        <x:v>{"status":"absent","patientAnswerZh":"以前没有做过导尿、膀胱镜等泌尿操作。","patientAnswerEn":"I have not had catheterization, cystoscopy, or other urinary procedures.","provenance":"author_added_for_simulation","teacherReviewRequired":true}</x:v>
      </x:c>
      <x:c r="E269" s="56" t="str">
        <x:v>author_added_for_simulation</x:v>
      </x:c>
      <x:c r="F269" s="56" t="str">
        <x:v>是</x:v>
      </x:c>
      <x:c r="G269" s="56" t="str">
        <x:v>程序未检出确定性冲突；仍待语义复核</x:v>
      </x:c>
      <x:c r="H269" s="56" t="str">
        <x:v>待确认</x:v>
      </x:c>
      <x:c r="I269" s="56" t="str">
        <x:v>待确认</x:v>
      </x:c>
      <x:c r="J269" s="59" t="str">
        <x:v>待确认</x:v>
      </x:c>
      <x:c r="K269" s="56" t="str"/>
      <x:c r="L269" s="56" t="str"/>
      <x:c r="M269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70">
      <x:c r="A270" s="56" t="str">
        <x:v>P021</x:v>
      </x:c>
      <x:c r="B270" s="56" t="str">
        <x:v>HX-ADD-009</x:v>
      </x:c>
      <x:c r="C270" s="56" t="str">
        <x:v>surgeryHistory</x:v>
      </x:c>
      <x:c r="D270" s="56" t="str">
        <x:v>{"status":"absent","patientAnswerZh":"我以前没有做过手术。","patientAnswerEn":"I have never had surgery.","provenance":"author_added_for_simulation","teacherReviewRequired":true}</x:v>
      </x:c>
      <x:c r="E270" s="56" t="str">
        <x:v>author_added_for_simulation</x:v>
      </x:c>
      <x:c r="F270" s="56" t="str">
        <x:v>是</x:v>
      </x:c>
      <x:c r="G270" s="56" t="str">
        <x:v>程序未检出确定性冲突；仍待语义复核</x:v>
      </x:c>
      <x:c r="H270" s="56" t="str">
        <x:v>待确认</x:v>
      </x:c>
      <x:c r="I270" s="56" t="str">
        <x:v>是</x:v>
      </x:c>
      <x:c r="J270" s="59" t="str">
        <x:v>待确认</x:v>
      </x:c>
      <x:c r="K270" s="56" t="str"/>
      <x:c r="L270" s="56" t="str"/>
      <x:c r="M270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71">
      <x:c r="A271" s="56" t="str">
        <x:v>P021</x:v>
      </x:c>
      <x:c r="B271" s="56" t="str">
        <x:v>HX-ADD-009</x:v>
      </x:c>
      <x:c r="C271" s="56" t="str">
        <x:v>transfusionHistory</x:v>
      </x:c>
      <x:c r="D271" s="56" t="str">
        <x:v>{"status":"absent","patientAnswerZh":"我以前没有输过血。","patientAnswerEn":"I have never had a blood transfusion.","provenance":"author_added_for_simulation","teacherReviewRequired":true}</x:v>
      </x:c>
      <x:c r="E271" s="56" t="str">
        <x:v>author_added_for_simulation</x:v>
      </x:c>
      <x:c r="F271" s="56" t="str">
        <x:v>是</x:v>
      </x:c>
      <x:c r="G271" s="56" t="str">
        <x:v>程序未检出确定性冲突；仍待语义复核</x:v>
      </x:c>
      <x:c r="H271" s="56" t="str">
        <x:v>待确认</x:v>
      </x:c>
      <x:c r="I271" s="56" t="str">
        <x:v>待确认</x:v>
      </x:c>
      <x:c r="J271" s="59" t="str">
        <x:v>待确认</x:v>
      </x:c>
      <x:c r="K271" s="56" t="str"/>
      <x:c r="L271" s="56" t="str"/>
      <x:c r="M271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72">
      <x:c r="A272" s="56" t="str">
        <x:v>P021</x:v>
      </x:c>
      <x:c r="B272" s="56" t="str">
        <x:v>HX-ADD-009</x:v>
      </x:c>
      <x:c r="C272" s="56" t="str">
        <x:v>allergyHistory</x:v>
      </x:c>
      <x:c r="D272" s="56" t="str">
        <x:v>{"status":"absent","patientAnswerZh":"我没有已知药物或食物过敏。","patientAnswerEn":"I have no known drug or food allergies.","provenance":"author_added_for_simulation","teacherReviewRequired":true}</x:v>
      </x:c>
      <x:c r="E272" s="56" t="str">
        <x:v>author_added_for_simulation</x:v>
      </x:c>
      <x:c r="F272" s="56" t="str">
        <x:v>是</x:v>
      </x:c>
      <x:c r="G272" s="56" t="str">
        <x:v>程序未检出确定性冲突；仍待语义复核</x:v>
      </x:c>
      <x:c r="H272" s="56" t="str">
        <x:v>待确认</x:v>
      </x:c>
      <x:c r="I272" s="56" t="str">
        <x:v>是</x:v>
      </x:c>
      <x:c r="J272" s="59" t="str">
        <x:v>待确认</x:v>
      </x:c>
      <x:c r="K272" s="56" t="str"/>
      <x:c r="L272" s="56" t="str"/>
      <x:c r="M272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73">
      <x:c r="A273" s="56" t="str">
        <x:v>P021</x:v>
      </x:c>
      <x:c r="B273" s="56" t="str">
        <x:v>HX-ADD-009</x:v>
      </x:c>
      <x:c r="C273" s="56" t="str">
        <x:v>anticoagulantUse</x:v>
      </x:c>
      <x:c r="D273" s="56" t="str">
        <x:v>{"status":"absent","patientAnswerZh":"我没有服用华法林、利伐沙班等抗凝药。","patientAnswerEn":"I do not take anticoagulants.","provenance":"author_added_for_simulation","teacherReviewRequired":true}</x:v>
      </x:c>
      <x:c r="E273" s="56" t="str">
        <x:v>author_added_for_simulation</x:v>
      </x:c>
      <x:c r="F273" s="56" t="str">
        <x:v>是</x:v>
      </x:c>
      <x:c r="G273" s="56" t="str">
        <x:v>程序未检出确定性冲突；仍待语义复核</x:v>
      </x:c>
      <x:c r="H273" s="56" t="str">
        <x:v>可能</x:v>
      </x:c>
      <x:c r="I273" s="56" t="str">
        <x:v>是</x:v>
      </x:c>
      <x:c r="J273" s="59" t="str">
        <x:v>待确认</x:v>
      </x:c>
      <x:c r="K273" s="56" t="str"/>
      <x:c r="L273" s="56" t="str"/>
      <x:c r="M273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74">
      <x:c r="A274" s="56" t="str">
        <x:v>P021</x:v>
      </x:c>
      <x:c r="B274" s="56" t="str">
        <x:v>HX-ADD-009</x:v>
      </x:c>
      <x:c r="C274" s="56" t="str">
        <x:v>antiplateletUse</x:v>
      </x:c>
      <x:c r="D274" s="56" t="str">
        <x:v>{"status":"absent","patientAnswerZh":"我没有服用阿司匹林或氯吡格雷。","patientAnswerEn":"I do not take antiplatelet medication.","provenance":"author_added_for_simulation","teacherReviewRequired":true}</x:v>
      </x:c>
      <x:c r="E274" s="56" t="str">
        <x:v>author_added_for_simulation</x:v>
      </x:c>
      <x:c r="F274" s="56" t="str">
        <x:v>是</x:v>
      </x:c>
      <x:c r="G274" s="56" t="str">
        <x:v>程序未检出确定性冲突；仍待语义复核</x:v>
      </x:c>
      <x:c r="H274" s="56" t="str">
        <x:v>可能</x:v>
      </x:c>
      <x:c r="I274" s="56" t="str">
        <x:v>是</x:v>
      </x:c>
      <x:c r="J274" s="59" t="str">
        <x:v>待确认</x:v>
      </x:c>
      <x:c r="K274" s="56" t="str"/>
      <x:c r="L274" s="56" t="str"/>
      <x:c r="M274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75">
      <x:c r="A275" s="56" t="str">
        <x:v>P021</x:v>
      </x:c>
      <x:c r="B275" s="56" t="str">
        <x:v>HX-ADD-009</x:v>
      </x:c>
      <x:c r="C275" s="56" t="str">
        <x:v>familyHistory</x:v>
      </x:c>
      <x:c r="D275" s="56" t="str">
        <x:v>{"status":"absent","patientAnswerZh":"家里没有人得过类似血尿或遗传性肾病。","patientAnswerEn":"No one in my family has had similar hematuria or hereditary kidney disease.","provenance":"author_added_for_simulation","teacherReviewRequired":true}</x:v>
      </x:c>
      <x:c r="E275" s="56" t="str">
        <x:v>author_added_for_simulation</x:v>
      </x:c>
      <x:c r="F275" s="56" t="str">
        <x:v>是</x:v>
      </x:c>
      <x:c r="G275" s="56" t="str">
        <x:v>程序未检出确定性冲突；仍待语义复核</x:v>
      </x:c>
      <x:c r="H275" s="56" t="str">
        <x:v>可能</x:v>
      </x:c>
      <x:c r="I275" s="56" t="str">
        <x:v>是</x:v>
      </x:c>
      <x:c r="J275" s="59" t="str">
        <x:v>待确认</x:v>
      </x:c>
      <x:c r="K275" s="56" t="str"/>
      <x:c r="L275" s="56" t="str"/>
      <x:c r="M275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76">
      <x:c r="A276" s="56" t="str">
        <x:v>P021</x:v>
      </x:c>
      <x:c r="B276" s="56" t="str">
        <x:v>HX-ADD-009</x:v>
      </x:c>
      <x:c r="C276" s="56" t="str">
        <x:v>menstrualHistory</x:v>
      </x:c>
      <x:c r="D276" s="56" t="str">
        <x:v>{"status":"absent","patientAnswerZh":"月经情况正常，这次尿色异常不是在月经期。","patientAnswerEn":"My periods are regular, and this episode did not occur during menstruation.","provenance":"author_added_for_simulation","teacherReviewRequired":true}</x:v>
      </x:c>
      <x:c r="E276" s="56" t="str">
        <x:v>author_added_for_simulation</x:v>
      </x:c>
      <x:c r="F276" s="56" t="str">
        <x:v>是</x:v>
      </x:c>
      <x:c r="G276" s="56" t="str">
        <x:v>程序未检出确定性冲突；仍待语义复核</x:v>
      </x:c>
      <x:c r="H276" s="56" t="str">
        <x:v>可能</x:v>
      </x:c>
      <x:c r="I276" s="56" t="str">
        <x:v>待确认</x:v>
      </x:c>
      <x:c r="J276" s="59" t="str">
        <x:v>待确认</x:v>
      </x:c>
      <x:c r="K276" s="56" t="str"/>
      <x:c r="L276" s="56" t="str"/>
      <x:c r="M276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77">
      <x:c r="A277" s="56" t="str">
        <x:v>P021</x:v>
      </x:c>
      <x:c r="B277" s="56" t="str">
        <x:v>HX-ADD-009</x:v>
      </x:c>
      <x:c r="C277" s="56" t="str">
        <x:v>pregnancyHistory</x:v>
      </x:c>
      <x:c r="D277" s="56" t="str">
        <x:v>{"status":"absent","patientAnswerZh":"目前没有怀孕。","patientAnswerEn":"I am not currently pregnant.","provenance":"author_added_for_simulation","teacherReviewRequired":true}</x:v>
      </x:c>
      <x:c r="E277" s="56" t="str">
        <x:v>author_added_for_simulation</x:v>
      </x:c>
      <x:c r="F277" s="56" t="str">
        <x:v>是</x:v>
      </x:c>
      <x:c r="G277" s="56" t="str">
        <x:v>程序未检出确定性冲突；仍待语义复核</x:v>
      </x:c>
      <x:c r="H277" s="56" t="str">
        <x:v>可能</x:v>
      </x:c>
      <x:c r="I277" s="56" t="str">
        <x:v>待确认</x:v>
      </x:c>
      <x:c r="J277" s="59" t="str">
        <x:v>待确认</x:v>
      </x:c>
      <x:c r="K277" s="56" t="str"/>
      <x:c r="L277" s="56" t="str"/>
      <x:c r="M277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78">
      <x:c r="A278" s="56" t="str">
        <x:v>P022</x:v>
      </x:c>
      <x:c r="B278" s="56" t="str">
        <x:v>HX-ADD-010</x:v>
      </x:c>
      <x:c r="C278" s="56" t="str">
        <x:v>alcoholHistory</x:v>
      </x:c>
      <x:c r="D278" s="56" t="str">
        <x:v>{"status":"never","type":"","amount":"0","frequency":"never","years":0,"patientAnswerZh":"我平时不喝酒。","patientAnswerEn":"I do not drink alcohol.","provenance":"author_added_for_simulation","teacherReviewRequired":true}</x:v>
      </x:c>
      <x:c r="E278" s="56" t="str">
        <x:v>author_added_for_simulation</x:v>
      </x:c>
      <x:c r="F278" s="56" t="str">
        <x:v>是</x:v>
      </x:c>
      <x:c r="G278" s="56" t="str">
        <x:v>程序未检出确定性冲突；仍待语义复核</x:v>
      </x:c>
      <x:c r="H278" s="56" t="str">
        <x:v>待确认</x:v>
      </x:c>
      <x:c r="I278" s="56" t="str">
        <x:v>待确认</x:v>
      </x:c>
      <x:c r="J278" s="59" t="str">
        <x:v>待确认</x:v>
      </x:c>
      <x:c r="K278" s="56" t="str"/>
      <x:c r="L278" s="56" t="str"/>
      <x:c r="M278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79">
      <x:c r="A279" s="56" t="str">
        <x:v>P022</x:v>
      </x:c>
      <x:c r="B279" s="56" t="str">
        <x:v>HX-ADD-010</x:v>
      </x:c>
      <x:c r="C279" s="56" t="str">
        <x:v>hypertension</x:v>
      </x:c>
      <x:c r="D279" s="56" t="str">
        <x:v>{"status":"absent","patientAnswerZh":"没有高血压。","patientAnswerEn":"I do not have hypertension.","provenance":"source","teacherReviewRequired":false}</x:v>
      </x:c>
      <x:c r="E279" s="56" t="str">
        <x:v>source</x:v>
      </x:c>
      <x:c r="F279" s="56" t="str">
        <x:v>是</x:v>
      </x:c>
      <x:c r="G279" s="56" t="str">
        <x:v>程序未检出确定性冲突；仍待语义复核</x:v>
      </x:c>
      <x:c r="H279" s="56" t="str">
        <x:v>待确认</x:v>
      </x:c>
      <x:c r="I279" s="56" t="str">
        <x:v>是</x:v>
      </x:c>
      <x:c r="J279" s="59" t="str">
        <x:v>待确认</x:v>
      </x:c>
      <x:c r="K279" s="56" t="str"/>
      <x:c r="L279" s="56" t="str"/>
      <x:c r="M279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80">
      <x:c r="A280" s="56" t="str">
        <x:v>P022</x:v>
      </x:c>
      <x:c r="B280" s="56" t="str">
        <x:v>HX-ADD-010</x:v>
      </x:c>
      <x:c r="C280" s="56" t="str">
        <x:v>diabetes</x:v>
      </x:c>
      <x:c r="D280" s="56" t="str">
        <x:v>{"status":"absent","patientAnswerZh":"没有糖尿病。","patientAnswerEn":"I do not have diabetes.","provenance":"source","teacherReviewRequired":false}</x:v>
      </x:c>
      <x:c r="E280" s="56" t="str">
        <x:v>source</x:v>
      </x:c>
      <x:c r="F280" s="56" t="str">
        <x:v>是</x:v>
      </x:c>
      <x:c r="G280" s="56" t="str">
        <x:v>程序未检出确定性冲突；仍待语义复核</x:v>
      </x:c>
      <x:c r="H280" s="56" t="str">
        <x:v>待确认</x:v>
      </x:c>
      <x:c r="I280" s="56" t="str">
        <x:v>待确认</x:v>
      </x:c>
      <x:c r="J280" s="59" t="str">
        <x:v>待确认</x:v>
      </x:c>
      <x:c r="K280" s="56" t="str"/>
      <x:c r="L280" s="56" t="str"/>
      <x:c r="M280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81">
      <x:c r="A281" s="56" t="str">
        <x:v>P022</x:v>
      </x:c>
      <x:c r="B281" s="56" t="str">
        <x:v>HX-ADD-010</x:v>
      </x:c>
      <x:c r="C281" s="56" t="str">
        <x:v>coronaryDisease</x:v>
      </x:c>
      <x:c r="D281" s="56" t="str">
        <x:v>{"status":"absent","patientAnswerZh":"没有冠心病。","patientAnswerEn":"I do not have coronary heart disease.","provenance":"source","teacherReviewRequired":false}</x:v>
      </x:c>
      <x:c r="E281" s="56" t="str">
        <x:v>source</x:v>
      </x:c>
      <x:c r="F281" s="56" t="str">
        <x:v>是</x:v>
      </x:c>
      <x:c r="G281" s="56" t="str">
        <x:v>程序未检出确定性冲突；仍待语义复核</x:v>
      </x:c>
      <x:c r="H281" s="56" t="str">
        <x:v>待确认</x:v>
      </x:c>
      <x:c r="I281" s="56" t="str">
        <x:v>待确认</x:v>
      </x:c>
      <x:c r="J281" s="59" t="str">
        <x:v>待确认</x:v>
      </x:c>
      <x:c r="K281" s="56" t="str"/>
      <x:c r="L281" s="56" t="str"/>
      <x:c r="M281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82">
      <x:c r="A282" s="56" t="str">
        <x:v>P022</x:v>
      </x:c>
      <x:c r="B282" s="56" t="str">
        <x:v>HX-ADD-010</x:v>
      </x:c>
      <x:c r="C282" s="56" t="str">
        <x:v>stroke</x:v>
      </x:c>
      <x:c r="D282" s="56" t="str">
        <x:v>{"status":"absent","patientAnswerZh":"没有脑卒中。","patientAnswerEn":"I do not have stroke.","provenance":"source","teacherReviewRequired":false}</x:v>
      </x:c>
      <x:c r="E282" s="56" t="str">
        <x:v>source</x:v>
      </x:c>
      <x:c r="F282" s="56" t="str">
        <x:v>是</x:v>
      </x:c>
      <x:c r="G282" s="56" t="str">
        <x:v>程序未检出确定性冲突；仍待语义复核</x:v>
      </x:c>
      <x:c r="H282" s="56" t="str">
        <x:v>待确认</x:v>
      </x:c>
      <x:c r="I282" s="56" t="str">
        <x:v>待确认</x:v>
      </x:c>
      <x:c r="J282" s="59" t="str">
        <x:v>待确认</x:v>
      </x:c>
      <x:c r="K282" s="56" t="str"/>
      <x:c r="L282" s="56" t="str"/>
      <x:c r="M282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83">
      <x:c r="A283" s="56" t="str">
        <x:v>P022</x:v>
      </x:c>
      <x:c r="B283" s="56" t="str">
        <x:v>HX-ADD-010</x:v>
      </x:c>
      <x:c r="C283" s="56" t="str">
        <x:v>liverDisease</x:v>
      </x:c>
      <x:c r="D283" s="56" t="str">
        <x:v>{"status":"absent","patientAnswerZh":"没有肝病。","patientAnswerEn":"I do not have liver disease.","provenance":"source","teacherReviewRequired":false}</x:v>
      </x:c>
      <x:c r="E283" s="56" t="str">
        <x:v>source</x:v>
      </x:c>
      <x:c r="F283" s="56" t="str">
        <x:v>是</x:v>
      </x:c>
      <x:c r="G283" s="56" t="str">
        <x:v>程序未检出确定性冲突；仍待语义复核</x:v>
      </x:c>
      <x:c r="H283" s="56" t="str">
        <x:v>待确认</x:v>
      </x:c>
      <x:c r="I283" s="56" t="str">
        <x:v>待确认</x:v>
      </x:c>
      <x:c r="J283" s="59" t="str">
        <x:v>待确认</x:v>
      </x:c>
      <x:c r="K283" s="56" t="str"/>
      <x:c r="L283" s="56" t="str"/>
      <x:c r="M283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84">
      <x:c r="A284" s="56" t="str">
        <x:v>P022</x:v>
      </x:c>
      <x:c r="B284" s="56" t="str">
        <x:v>HX-ADD-010</x:v>
      </x:c>
      <x:c r="C284" s="56" t="str">
        <x:v>tuberculosis</x:v>
      </x:c>
      <x:c r="D284" s="56" t="str">
        <x:v>{"status":"absent","patientAnswerZh":"没有结核病。","patientAnswerEn":"I do not have tuberculosis.","provenance":"source","teacherReviewRequired":false}</x:v>
      </x:c>
      <x:c r="E284" s="56" t="str">
        <x:v>source</x:v>
      </x:c>
      <x:c r="F284" s="56" t="str">
        <x:v>是</x:v>
      </x:c>
      <x:c r="G284" s="56" t="str">
        <x:v>程序未检出确定性冲突；仍待语义复核</x:v>
      </x:c>
      <x:c r="H284" s="56" t="str">
        <x:v>待确认</x:v>
      </x:c>
      <x:c r="I284" s="56" t="str">
        <x:v>待确认</x:v>
      </x:c>
      <x:c r="J284" s="59" t="str">
        <x:v>待确认</x:v>
      </x:c>
      <x:c r="K284" s="56" t="str"/>
      <x:c r="L284" s="56" t="str"/>
      <x:c r="M284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85">
      <x:c r="A285" s="56" t="str">
        <x:v>P022</x:v>
      </x:c>
      <x:c r="B285" s="56" t="str">
        <x:v>HX-ADD-010</x:v>
      </x:c>
      <x:c r="C285" s="56" t="str">
        <x:v>urinaryProcedureHistory</x:v>
      </x:c>
      <x:c r="D285" s="56" t="str">
        <x:v>{"status":"absent","patientAnswerZh":"以前没有做过导尿、膀胱镜等泌尿操作。","patientAnswerEn":"I have not had catheterization, cystoscopy, or other urinary procedures.","provenance":"author_added_for_simulation","teacherReviewRequired":true}</x:v>
      </x:c>
      <x:c r="E285" s="56" t="str">
        <x:v>author_added_for_simulation</x:v>
      </x:c>
      <x:c r="F285" s="56" t="str">
        <x:v>是</x:v>
      </x:c>
      <x:c r="G285" s="56" t="str">
        <x:v>程序未检出确定性冲突；仍待语义复核</x:v>
      </x:c>
      <x:c r="H285" s="56" t="str">
        <x:v>待确认</x:v>
      </x:c>
      <x:c r="I285" s="56" t="str">
        <x:v>待确认</x:v>
      </x:c>
      <x:c r="J285" s="59" t="str">
        <x:v>待确认</x:v>
      </x:c>
      <x:c r="K285" s="56" t="str"/>
      <x:c r="L285" s="56" t="str"/>
      <x:c r="M285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86">
      <x:c r="A286" s="56" t="str">
        <x:v>P022</x:v>
      </x:c>
      <x:c r="B286" s="56" t="str">
        <x:v>HX-ADD-010</x:v>
      </x:c>
      <x:c r="C286" s="56" t="str">
        <x:v>surgeryHistory</x:v>
      </x:c>
      <x:c r="D286" s="56" t="str">
        <x:v>{"status":"absent","patientAnswerZh":"我以前没有做过手术。","patientAnswerEn":"I have never had surgery.","provenance":"author_added_for_simulation","teacherReviewRequired":true}</x:v>
      </x:c>
      <x:c r="E286" s="56" t="str">
        <x:v>author_added_for_simulation</x:v>
      </x:c>
      <x:c r="F286" s="56" t="str">
        <x:v>是</x:v>
      </x:c>
      <x:c r="G286" s="56" t="str">
        <x:v>程序未检出确定性冲突；仍待语义复核</x:v>
      </x:c>
      <x:c r="H286" s="56" t="str">
        <x:v>待确认</x:v>
      </x:c>
      <x:c r="I286" s="56" t="str">
        <x:v>是</x:v>
      </x:c>
      <x:c r="J286" s="59" t="str">
        <x:v>待确认</x:v>
      </x:c>
      <x:c r="K286" s="56" t="str"/>
      <x:c r="L286" s="56" t="str"/>
      <x:c r="M286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87">
      <x:c r="A287" s="56" t="str">
        <x:v>P022</x:v>
      </x:c>
      <x:c r="B287" s="56" t="str">
        <x:v>HX-ADD-010</x:v>
      </x:c>
      <x:c r="C287" s="56" t="str">
        <x:v>transfusionHistory</x:v>
      </x:c>
      <x:c r="D287" s="56" t="str">
        <x:v>{"status":"absent","patientAnswerZh":"我以前没有输过血。","patientAnswerEn":"I have never had a blood transfusion.","provenance":"author_added_for_simulation","teacherReviewRequired":true}</x:v>
      </x:c>
      <x:c r="E287" s="56" t="str">
        <x:v>author_added_for_simulation</x:v>
      </x:c>
      <x:c r="F287" s="56" t="str">
        <x:v>是</x:v>
      </x:c>
      <x:c r="G287" s="56" t="str">
        <x:v>程序未检出确定性冲突；仍待语义复核</x:v>
      </x:c>
      <x:c r="H287" s="56" t="str">
        <x:v>待确认</x:v>
      </x:c>
      <x:c r="I287" s="56" t="str">
        <x:v>待确认</x:v>
      </x:c>
      <x:c r="J287" s="59" t="str">
        <x:v>待确认</x:v>
      </x:c>
      <x:c r="K287" s="56" t="str"/>
      <x:c r="L287" s="56" t="str"/>
      <x:c r="M287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88">
      <x:c r="A288" s="56" t="str">
        <x:v>P022</x:v>
      </x:c>
      <x:c r="B288" s="56" t="str">
        <x:v>HX-ADD-010</x:v>
      </x:c>
      <x:c r="C288" s="56" t="str">
        <x:v>allergyHistory</x:v>
      </x:c>
      <x:c r="D288" s="56" t="str">
        <x:v>{"status":"absent","patientAnswerZh":"我没有已知药物或食物过敏。","patientAnswerEn":"I have no known drug or food allergies.","provenance":"author_added_for_simulation","teacherReviewRequired":true}</x:v>
      </x:c>
      <x:c r="E288" s="56" t="str">
        <x:v>author_added_for_simulation</x:v>
      </x:c>
      <x:c r="F288" s="56" t="str">
        <x:v>是</x:v>
      </x:c>
      <x:c r="G288" s="56" t="str">
        <x:v>程序未检出确定性冲突；仍待语义复核</x:v>
      </x:c>
      <x:c r="H288" s="56" t="str">
        <x:v>待确认</x:v>
      </x:c>
      <x:c r="I288" s="56" t="str">
        <x:v>是</x:v>
      </x:c>
      <x:c r="J288" s="59" t="str">
        <x:v>待确认</x:v>
      </x:c>
      <x:c r="K288" s="56" t="str"/>
      <x:c r="L288" s="56" t="str"/>
      <x:c r="M288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89">
      <x:c r="A289" s="56" t="str">
        <x:v>P022</x:v>
      </x:c>
      <x:c r="B289" s="56" t="str">
        <x:v>HX-ADD-010</x:v>
      </x:c>
      <x:c r="C289" s="56" t="str">
        <x:v>anticoagulantUse</x:v>
      </x:c>
      <x:c r="D289" s="56" t="str">
        <x:v>{"status":"absent","patientAnswerZh":"我没有服用华法林、利伐沙班等抗凝药。","patientAnswerEn":"I do not take anticoagulants.","provenance":"author_added_for_simulation","teacherReviewRequired":true}</x:v>
      </x:c>
      <x:c r="E289" s="56" t="str">
        <x:v>author_added_for_simulation</x:v>
      </x:c>
      <x:c r="F289" s="56" t="str">
        <x:v>是</x:v>
      </x:c>
      <x:c r="G289" s="56" t="str">
        <x:v>程序未检出确定性冲突；仍待语义复核</x:v>
      </x:c>
      <x:c r="H289" s="56" t="str">
        <x:v>可能</x:v>
      </x:c>
      <x:c r="I289" s="56" t="str">
        <x:v>是</x:v>
      </x:c>
      <x:c r="J289" s="59" t="str">
        <x:v>待确认</x:v>
      </x:c>
      <x:c r="K289" s="56" t="str"/>
      <x:c r="L289" s="56" t="str"/>
      <x:c r="M289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90">
      <x:c r="A290" s="56" t="str">
        <x:v>P022</x:v>
      </x:c>
      <x:c r="B290" s="56" t="str">
        <x:v>HX-ADD-010</x:v>
      </x:c>
      <x:c r="C290" s="56" t="str">
        <x:v>antiplateletUse</x:v>
      </x:c>
      <x:c r="D290" s="56" t="str">
        <x:v>{"status":"absent","patientAnswerZh":"我没有服用阿司匹林或氯吡格雷。","patientAnswerEn":"I do not take antiplatelet medication.","provenance":"author_added_for_simulation","teacherReviewRequired":true}</x:v>
      </x:c>
      <x:c r="E290" s="56" t="str">
        <x:v>author_added_for_simulation</x:v>
      </x:c>
      <x:c r="F290" s="56" t="str">
        <x:v>是</x:v>
      </x:c>
      <x:c r="G290" s="56" t="str">
        <x:v>程序未检出确定性冲突；仍待语义复核</x:v>
      </x:c>
      <x:c r="H290" s="56" t="str">
        <x:v>可能</x:v>
      </x:c>
      <x:c r="I290" s="56" t="str">
        <x:v>是</x:v>
      </x:c>
      <x:c r="J290" s="59" t="str">
        <x:v>待确认</x:v>
      </x:c>
      <x:c r="K290" s="56" t="str"/>
      <x:c r="L290" s="56" t="str"/>
      <x:c r="M290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91">
      <x:c r="A291" s="56" t="str">
        <x:v>P022</x:v>
      </x:c>
      <x:c r="B291" s="56" t="str">
        <x:v>HX-ADD-010</x:v>
      </x:c>
      <x:c r="C291" s="56" t="str">
        <x:v>familyHistory</x:v>
      </x:c>
      <x:c r="D291" s="56" t="str">
        <x:v>{"status":"absent","patientAnswerZh":"家里没有人得过类似血尿或遗传性肾病。","patientAnswerEn":"No one in my family has had similar hematuria or hereditary kidney disease.","provenance":"author_added_for_simulation","teacherReviewRequired":true}</x:v>
      </x:c>
      <x:c r="E291" s="56" t="str">
        <x:v>author_added_for_simulation</x:v>
      </x:c>
      <x:c r="F291" s="56" t="str">
        <x:v>是</x:v>
      </x:c>
      <x:c r="G291" s="56" t="str">
        <x:v>程序未检出确定性冲突；仍待语义复核</x:v>
      </x:c>
      <x:c r="H291" s="56" t="str">
        <x:v>可能</x:v>
      </x:c>
      <x:c r="I291" s="56" t="str">
        <x:v>是</x:v>
      </x:c>
      <x:c r="J291" s="59" t="str">
        <x:v>待确认</x:v>
      </x:c>
      <x:c r="K291" s="56" t="str"/>
      <x:c r="L291" s="56" t="str"/>
      <x:c r="M291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92">
      <x:c r="A292" s="56" t="str">
        <x:v>P022</x:v>
      </x:c>
      <x:c r="B292" s="56" t="str">
        <x:v>HX-ADD-010</x:v>
      </x:c>
      <x:c r="C292" s="56" t="str">
        <x:v>menstrualHistory</x:v>
      </x:c>
      <x:c r="D292" s="56" t="str">
        <x:v>{"status":"absent","patientAnswerZh":"月经情况正常，这次尿色异常不是在月经期。","patientAnswerEn":"My periods are regular, and this episode did not occur during menstruation.","provenance":"author_added_for_simulation","teacherReviewRequired":true}</x:v>
      </x:c>
      <x:c r="E292" s="56" t="str">
        <x:v>author_added_for_simulation</x:v>
      </x:c>
      <x:c r="F292" s="56" t="str">
        <x:v>是</x:v>
      </x:c>
      <x:c r="G292" s="56" t="str">
        <x:v>程序未检出确定性冲突；仍待语义复核</x:v>
      </x:c>
      <x:c r="H292" s="56" t="str">
        <x:v>可能</x:v>
      </x:c>
      <x:c r="I292" s="56" t="str">
        <x:v>待确认</x:v>
      </x:c>
      <x:c r="J292" s="59" t="str">
        <x:v>待确认</x:v>
      </x:c>
      <x:c r="K292" s="56" t="str"/>
      <x:c r="L292" s="56" t="str"/>
      <x:c r="M292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93">
      <x:c r="A293" s="56" t="str">
        <x:v>P022</x:v>
      </x:c>
      <x:c r="B293" s="56" t="str">
        <x:v>HX-ADD-010</x:v>
      </x:c>
      <x:c r="C293" s="56" t="str">
        <x:v>pregnancyHistory</x:v>
      </x:c>
      <x:c r="D293" s="56" t="str">
        <x:v>{"status":"absent","patientAnswerZh":"目前没有怀孕。","patientAnswerEn":"I am not currently pregnant.","provenance":"author_added_for_simulation","teacherReviewRequired":true}</x:v>
      </x:c>
      <x:c r="E293" s="56" t="str">
        <x:v>author_added_for_simulation</x:v>
      </x:c>
      <x:c r="F293" s="56" t="str">
        <x:v>是</x:v>
      </x:c>
      <x:c r="G293" s="56" t="str">
        <x:v>程序未检出确定性冲突；仍待语义复核</x:v>
      </x:c>
      <x:c r="H293" s="56" t="str">
        <x:v>可能</x:v>
      </x:c>
      <x:c r="I293" s="56" t="str">
        <x:v>待确认</x:v>
      </x:c>
      <x:c r="J293" s="59" t="str">
        <x:v>待确认</x:v>
      </x:c>
      <x:c r="K293" s="56" t="str"/>
      <x:c r="L293" s="56" t="str"/>
      <x:c r="M293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94">
      <x:c r="A294" s="56" t="str">
        <x:v>P023</x:v>
      </x:c>
      <x:c r="B294" s="56" t="str">
        <x:v>HX-ADD-011</x:v>
      </x:c>
      <x:c r="C294" s="56" t="str">
        <x:v>alcoholHistory</x:v>
      </x:c>
      <x:c r="D294" s="56" t="str">
        <x:v>{"status":"never","type":"","amount":"0","frequency":"never","years":0,"patientAnswerZh":"我平时不喝酒。","patientAnswerEn":"I do not drink alcohol.","provenance":"author_added_for_simulation","teacherReviewRequired":true}</x:v>
      </x:c>
      <x:c r="E294" s="56" t="str">
        <x:v>author_added_for_simulation</x:v>
      </x:c>
      <x:c r="F294" s="56" t="str">
        <x:v>是</x:v>
      </x:c>
      <x:c r="G294" s="56" t="str">
        <x:v>程序未检出确定性冲突；仍待语义复核</x:v>
      </x:c>
      <x:c r="H294" s="56" t="str">
        <x:v>待确认</x:v>
      </x:c>
      <x:c r="I294" s="56" t="str">
        <x:v>待确认</x:v>
      </x:c>
      <x:c r="J294" s="59" t="str">
        <x:v>待确认</x:v>
      </x:c>
      <x:c r="K294" s="56" t="str"/>
      <x:c r="L294" s="56" t="str"/>
      <x:c r="M294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95">
      <x:c r="A295" s="56" t="str">
        <x:v>P023</x:v>
      </x:c>
      <x:c r="B295" s="56" t="str">
        <x:v>HX-ADD-011</x:v>
      </x:c>
      <x:c r="C295" s="56" t="str">
        <x:v>hypertension</x:v>
      </x:c>
      <x:c r="D295" s="56" t="str">
        <x:v>{"status":"absent","patientAnswerZh":"没有高血压。","patientAnswerEn":"I do not have hypertension.","provenance":"source","teacherReviewRequired":false}</x:v>
      </x:c>
      <x:c r="E295" s="56" t="str">
        <x:v>source</x:v>
      </x:c>
      <x:c r="F295" s="56" t="str">
        <x:v>是</x:v>
      </x:c>
      <x:c r="G295" s="56" t="str">
        <x:v>程序未检出确定性冲突；仍待语义复核</x:v>
      </x:c>
      <x:c r="H295" s="56" t="str">
        <x:v>待确认</x:v>
      </x:c>
      <x:c r="I295" s="56" t="str">
        <x:v>是</x:v>
      </x:c>
      <x:c r="J295" s="59" t="str">
        <x:v>待确认</x:v>
      </x:c>
      <x:c r="K295" s="56" t="str"/>
      <x:c r="L295" s="56" t="str"/>
      <x:c r="M295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96">
      <x:c r="A296" s="56" t="str">
        <x:v>P023</x:v>
      </x:c>
      <x:c r="B296" s="56" t="str">
        <x:v>HX-ADD-011</x:v>
      </x:c>
      <x:c r="C296" s="56" t="str">
        <x:v>diabetes</x:v>
      </x:c>
      <x:c r="D296" s="56" t="str">
        <x:v>{"status":"absent","patientAnswerZh":"没有糖尿病。","patientAnswerEn":"I do not have diabetes.","provenance":"source","teacherReviewRequired":false}</x:v>
      </x:c>
      <x:c r="E296" s="56" t="str">
        <x:v>source</x:v>
      </x:c>
      <x:c r="F296" s="56" t="str">
        <x:v>是</x:v>
      </x:c>
      <x:c r="G296" s="56" t="str">
        <x:v>程序未检出确定性冲突；仍待语义复核</x:v>
      </x:c>
      <x:c r="H296" s="56" t="str">
        <x:v>待确认</x:v>
      </x:c>
      <x:c r="I296" s="56" t="str">
        <x:v>待确认</x:v>
      </x:c>
      <x:c r="J296" s="59" t="str">
        <x:v>待确认</x:v>
      </x:c>
      <x:c r="K296" s="56" t="str"/>
      <x:c r="L296" s="56" t="str"/>
      <x:c r="M296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97">
      <x:c r="A297" s="56" t="str">
        <x:v>P023</x:v>
      </x:c>
      <x:c r="B297" s="56" t="str">
        <x:v>HX-ADD-011</x:v>
      </x:c>
      <x:c r="C297" s="56" t="str">
        <x:v>coronaryDisease</x:v>
      </x:c>
      <x:c r="D297" s="56" t="str">
        <x:v>{"status":"absent","patientAnswerZh":"没有冠心病。","patientAnswerEn":"I do not have coronary heart disease.","provenance":"source","teacherReviewRequired":false}</x:v>
      </x:c>
      <x:c r="E297" s="56" t="str">
        <x:v>source</x:v>
      </x:c>
      <x:c r="F297" s="56" t="str">
        <x:v>是</x:v>
      </x:c>
      <x:c r="G297" s="56" t="str">
        <x:v>程序未检出确定性冲突；仍待语义复核</x:v>
      </x:c>
      <x:c r="H297" s="56" t="str">
        <x:v>待确认</x:v>
      </x:c>
      <x:c r="I297" s="56" t="str">
        <x:v>待确认</x:v>
      </x:c>
      <x:c r="J297" s="59" t="str">
        <x:v>待确认</x:v>
      </x:c>
      <x:c r="K297" s="56" t="str"/>
      <x:c r="L297" s="56" t="str"/>
      <x:c r="M297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98">
      <x:c r="A298" s="56" t="str">
        <x:v>P023</x:v>
      </x:c>
      <x:c r="B298" s="56" t="str">
        <x:v>HX-ADD-011</x:v>
      </x:c>
      <x:c r="C298" s="56" t="str">
        <x:v>stroke</x:v>
      </x:c>
      <x:c r="D298" s="56" t="str">
        <x:v>{"status":"absent","patientAnswerZh":"没有脑卒中。","patientAnswerEn":"I do not have stroke.","provenance":"source","teacherReviewRequired":false}</x:v>
      </x:c>
      <x:c r="E298" s="56" t="str">
        <x:v>source</x:v>
      </x:c>
      <x:c r="F298" s="56" t="str">
        <x:v>是</x:v>
      </x:c>
      <x:c r="G298" s="56" t="str">
        <x:v>程序未检出确定性冲突；仍待语义复核</x:v>
      </x:c>
      <x:c r="H298" s="56" t="str">
        <x:v>待确认</x:v>
      </x:c>
      <x:c r="I298" s="56" t="str">
        <x:v>待确认</x:v>
      </x:c>
      <x:c r="J298" s="59" t="str">
        <x:v>待确认</x:v>
      </x:c>
      <x:c r="K298" s="56" t="str"/>
      <x:c r="L298" s="56" t="str"/>
      <x:c r="M298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299">
      <x:c r="A299" s="56" t="str">
        <x:v>P023</x:v>
      </x:c>
      <x:c r="B299" s="56" t="str">
        <x:v>HX-ADD-011</x:v>
      </x:c>
      <x:c r="C299" s="56" t="str">
        <x:v>liverDisease</x:v>
      </x:c>
      <x:c r="D299" s="56" t="str">
        <x:v>{"status":"absent","patientAnswerZh":"没有肝病。","patientAnswerEn":"I do not have liver disease.","provenance":"source","teacherReviewRequired":false}</x:v>
      </x:c>
      <x:c r="E299" s="56" t="str">
        <x:v>source</x:v>
      </x:c>
      <x:c r="F299" s="56" t="str">
        <x:v>是</x:v>
      </x:c>
      <x:c r="G299" s="56" t="str">
        <x:v>程序未检出确定性冲突；仍待语义复核</x:v>
      </x:c>
      <x:c r="H299" s="56" t="str">
        <x:v>待确认</x:v>
      </x:c>
      <x:c r="I299" s="56" t="str">
        <x:v>待确认</x:v>
      </x:c>
      <x:c r="J299" s="59" t="str">
        <x:v>待确认</x:v>
      </x:c>
      <x:c r="K299" s="56" t="str"/>
      <x:c r="L299" s="56" t="str"/>
      <x:c r="M299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00">
      <x:c r="A300" s="56" t="str">
        <x:v>P023</x:v>
      </x:c>
      <x:c r="B300" s="56" t="str">
        <x:v>HX-ADD-011</x:v>
      </x:c>
      <x:c r="C300" s="56" t="str">
        <x:v>tuberculosis</x:v>
      </x:c>
      <x:c r="D300" s="56" t="str">
        <x:v>{"status":"absent","patientAnswerZh":"没有结核病。","patientAnswerEn":"I do not have tuberculosis.","provenance":"source","teacherReviewRequired":false}</x:v>
      </x:c>
      <x:c r="E300" s="56" t="str">
        <x:v>source</x:v>
      </x:c>
      <x:c r="F300" s="56" t="str">
        <x:v>是</x:v>
      </x:c>
      <x:c r="G300" s="56" t="str">
        <x:v>程序未检出确定性冲突；仍待语义复核</x:v>
      </x:c>
      <x:c r="H300" s="56" t="str">
        <x:v>待确认</x:v>
      </x:c>
      <x:c r="I300" s="56" t="str">
        <x:v>待确认</x:v>
      </x:c>
      <x:c r="J300" s="59" t="str">
        <x:v>待确认</x:v>
      </x:c>
      <x:c r="K300" s="56" t="str"/>
      <x:c r="L300" s="56" t="str"/>
      <x:c r="M300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01">
      <x:c r="A301" s="56" t="str">
        <x:v>P023</x:v>
      </x:c>
      <x:c r="B301" s="56" t="str">
        <x:v>HX-ADD-011</x:v>
      </x:c>
      <x:c r="C301" s="56" t="str">
        <x:v>urinaryProcedureHistory</x:v>
      </x:c>
      <x:c r="D301" s="56" t="str">
        <x:v>{"status":"absent","patientAnswerZh":"以前没有做过导尿、膀胱镜等泌尿操作。","patientAnswerEn":"I have not had catheterization, cystoscopy, or other urinary procedures.","provenance":"author_added_for_simulation","teacherReviewRequired":true}</x:v>
      </x:c>
      <x:c r="E301" s="56" t="str">
        <x:v>author_added_for_simulation</x:v>
      </x:c>
      <x:c r="F301" s="56" t="str">
        <x:v>是</x:v>
      </x:c>
      <x:c r="G301" s="56" t="str">
        <x:v>程序未检出确定性冲突；仍待语义复核</x:v>
      </x:c>
      <x:c r="H301" s="56" t="str">
        <x:v>待确认</x:v>
      </x:c>
      <x:c r="I301" s="56" t="str">
        <x:v>待确认</x:v>
      </x:c>
      <x:c r="J301" s="59" t="str">
        <x:v>待确认</x:v>
      </x:c>
      <x:c r="K301" s="56" t="str"/>
      <x:c r="L301" s="56" t="str"/>
      <x:c r="M301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02">
      <x:c r="A302" s="56" t="str">
        <x:v>P023</x:v>
      </x:c>
      <x:c r="B302" s="56" t="str">
        <x:v>HX-ADD-011</x:v>
      </x:c>
      <x:c r="C302" s="56" t="str">
        <x:v>surgeryHistory</x:v>
      </x:c>
      <x:c r="D302" s="56" t="str">
        <x:v>{"status":"absent","patientAnswerZh":"我以前没有做过手术。","patientAnswerEn":"I have never had surgery.","provenance":"author_added_for_simulation","teacherReviewRequired":true}</x:v>
      </x:c>
      <x:c r="E302" s="56" t="str">
        <x:v>author_added_for_simulation</x:v>
      </x:c>
      <x:c r="F302" s="56" t="str">
        <x:v>是</x:v>
      </x:c>
      <x:c r="G302" s="56" t="str">
        <x:v>程序未检出确定性冲突；仍待语义复核</x:v>
      </x:c>
      <x:c r="H302" s="56" t="str">
        <x:v>待确认</x:v>
      </x:c>
      <x:c r="I302" s="56" t="str">
        <x:v>是</x:v>
      </x:c>
      <x:c r="J302" s="59" t="str">
        <x:v>待确认</x:v>
      </x:c>
      <x:c r="K302" s="56" t="str"/>
      <x:c r="L302" s="56" t="str"/>
      <x:c r="M302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03">
      <x:c r="A303" s="56" t="str">
        <x:v>P023</x:v>
      </x:c>
      <x:c r="B303" s="56" t="str">
        <x:v>HX-ADD-011</x:v>
      </x:c>
      <x:c r="C303" s="56" t="str">
        <x:v>transfusionHistory</x:v>
      </x:c>
      <x:c r="D303" s="56" t="str">
        <x:v>{"status":"absent","patientAnswerZh":"我以前没有输过血。","patientAnswerEn":"I have never had a blood transfusion.","provenance":"author_added_for_simulation","teacherReviewRequired":true}</x:v>
      </x:c>
      <x:c r="E303" s="56" t="str">
        <x:v>author_added_for_simulation</x:v>
      </x:c>
      <x:c r="F303" s="56" t="str">
        <x:v>是</x:v>
      </x:c>
      <x:c r="G303" s="56" t="str">
        <x:v>程序未检出确定性冲突；仍待语义复核</x:v>
      </x:c>
      <x:c r="H303" s="56" t="str">
        <x:v>待确认</x:v>
      </x:c>
      <x:c r="I303" s="56" t="str">
        <x:v>待确认</x:v>
      </x:c>
      <x:c r="J303" s="59" t="str">
        <x:v>待确认</x:v>
      </x:c>
      <x:c r="K303" s="56" t="str"/>
      <x:c r="L303" s="56" t="str"/>
      <x:c r="M303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04">
      <x:c r="A304" s="56" t="str">
        <x:v>P023</x:v>
      </x:c>
      <x:c r="B304" s="56" t="str">
        <x:v>HX-ADD-011</x:v>
      </x:c>
      <x:c r="C304" s="56" t="str">
        <x:v>allergyHistory</x:v>
      </x:c>
      <x:c r="D304" s="56" t="str">
        <x:v>{"status":"absent","patientAnswerZh":"我没有已知药物或食物过敏。","patientAnswerEn":"I have no known drug or food allergies.","provenance":"author_added_for_simulation","teacherReviewRequired":true}</x:v>
      </x:c>
      <x:c r="E304" s="56" t="str">
        <x:v>author_added_for_simulation</x:v>
      </x:c>
      <x:c r="F304" s="56" t="str">
        <x:v>是</x:v>
      </x:c>
      <x:c r="G304" s="56" t="str">
        <x:v>程序未检出确定性冲突；仍待语义复核</x:v>
      </x:c>
      <x:c r="H304" s="56" t="str">
        <x:v>待确认</x:v>
      </x:c>
      <x:c r="I304" s="56" t="str">
        <x:v>是</x:v>
      </x:c>
      <x:c r="J304" s="59" t="str">
        <x:v>待确认</x:v>
      </x:c>
      <x:c r="K304" s="56" t="str"/>
      <x:c r="L304" s="56" t="str"/>
      <x:c r="M304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05">
      <x:c r="A305" s="56" t="str">
        <x:v>P023</x:v>
      </x:c>
      <x:c r="B305" s="56" t="str">
        <x:v>HX-ADD-011</x:v>
      </x:c>
      <x:c r="C305" s="56" t="str">
        <x:v>anticoagulantUse</x:v>
      </x:c>
      <x:c r="D305" s="56" t="str">
        <x:v>{"status":"absent","patientAnswerZh":"我没有服用华法林、利伐沙班等抗凝药。","patientAnswerEn":"I do not take anticoagulants.","provenance":"author_added_for_simulation","teacherReviewRequired":true}</x:v>
      </x:c>
      <x:c r="E305" s="56" t="str">
        <x:v>author_added_for_simulation</x:v>
      </x:c>
      <x:c r="F305" s="56" t="str">
        <x:v>是</x:v>
      </x:c>
      <x:c r="G305" s="56" t="str">
        <x:v>程序未检出确定性冲突；仍待语义复核</x:v>
      </x:c>
      <x:c r="H305" s="56" t="str">
        <x:v>可能</x:v>
      </x:c>
      <x:c r="I305" s="56" t="str">
        <x:v>是</x:v>
      </x:c>
      <x:c r="J305" s="59" t="str">
        <x:v>待确认</x:v>
      </x:c>
      <x:c r="K305" s="56" t="str"/>
      <x:c r="L305" s="56" t="str"/>
      <x:c r="M305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06">
      <x:c r="A306" s="56" t="str">
        <x:v>P023</x:v>
      </x:c>
      <x:c r="B306" s="56" t="str">
        <x:v>HX-ADD-011</x:v>
      </x:c>
      <x:c r="C306" s="56" t="str">
        <x:v>antiplateletUse</x:v>
      </x:c>
      <x:c r="D306" s="56" t="str">
        <x:v>{"status":"absent","patientAnswerZh":"我没有服用阿司匹林或氯吡格雷。","patientAnswerEn":"I do not take antiplatelet medication.","provenance":"author_added_for_simulation","teacherReviewRequired":true}</x:v>
      </x:c>
      <x:c r="E306" s="56" t="str">
        <x:v>author_added_for_simulation</x:v>
      </x:c>
      <x:c r="F306" s="56" t="str">
        <x:v>是</x:v>
      </x:c>
      <x:c r="G306" s="56" t="str">
        <x:v>程序未检出确定性冲突；仍待语义复核</x:v>
      </x:c>
      <x:c r="H306" s="56" t="str">
        <x:v>可能</x:v>
      </x:c>
      <x:c r="I306" s="56" t="str">
        <x:v>是</x:v>
      </x:c>
      <x:c r="J306" s="59" t="str">
        <x:v>待确认</x:v>
      </x:c>
      <x:c r="K306" s="56" t="str"/>
      <x:c r="L306" s="56" t="str"/>
      <x:c r="M306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07">
      <x:c r="A307" s="56" t="str">
        <x:v>P023</x:v>
      </x:c>
      <x:c r="B307" s="56" t="str">
        <x:v>HX-ADD-011</x:v>
      </x:c>
      <x:c r="C307" s="56" t="str">
        <x:v>familyHistory</x:v>
      </x:c>
      <x:c r="D307" s="56" t="str">
        <x:v>{"status":"absent","patientAnswerZh":"家里没有人得过类似血尿或遗传性肾病。","patientAnswerEn":"No one in my family has had similar hematuria or hereditary kidney disease.","provenance":"author_added_for_simulation","teacherReviewRequired":true}</x:v>
      </x:c>
      <x:c r="E307" s="56" t="str">
        <x:v>author_added_for_simulation</x:v>
      </x:c>
      <x:c r="F307" s="56" t="str">
        <x:v>是</x:v>
      </x:c>
      <x:c r="G307" s="56" t="str">
        <x:v>程序未检出确定性冲突；仍待语义复核</x:v>
      </x:c>
      <x:c r="H307" s="56" t="str">
        <x:v>可能</x:v>
      </x:c>
      <x:c r="I307" s="56" t="str">
        <x:v>是</x:v>
      </x:c>
      <x:c r="J307" s="59" t="str">
        <x:v>待确认</x:v>
      </x:c>
      <x:c r="K307" s="56" t="str"/>
      <x:c r="L307" s="56" t="str"/>
      <x:c r="M307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08">
      <x:c r="A308" s="56" t="str">
        <x:v>P024</x:v>
      </x:c>
      <x:c r="B308" s="56" t="str">
        <x:v>HX-ADD-012</x:v>
      </x:c>
      <x:c r="C308" s="56" t="str">
        <x:v>alcoholHistory</x:v>
      </x:c>
      <x:c r="D308" s="56" t="str">
        <x:v>{"status":"never","type":"","amount":"0","frequency":"never","years":0,"patientAnswerZh":"我平时不喝酒。","patientAnswerEn":"I do not drink alcohol.","provenance":"author_added_for_simulation","teacherReviewRequired":true}</x:v>
      </x:c>
      <x:c r="E308" s="56" t="str">
        <x:v>author_added_for_simulation</x:v>
      </x:c>
      <x:c r="F308" s="56" t="str">
        <x:v>是</x:v>
      </x:c>
      <x:c r="G308" s="56" t="str">
        <x:v>程序未检出确定性冲突；仍待语义复核</x:v>
      </x:c>
      <x:c r="H308" s="56" t="str">
        <x:v>待确认</x:v>
      </x:c>
      <x:c r="I308" s="56" t="str">
        <x:v>待确认</x:v>
      </x:c>
      <x:c r="J308" s="59" t="str">
        <x:v>待确认</x:v>
      </x:c>
      <x:c r="K308" s="56" t="str"/>
      <x:c r="L308" s="56" t="str"/>
      <x:c r="M308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09">
      <x:c r="A309" s="56" t="str">
        <x:v>P024</x:v>
      </x:c>
      <x:c r="B309" s="56" t="str">
        <x:v>HX-ADD-012</x:v>
      </x:c>
      <x:c r="C309" s="56" t="str">
        <x:v>hypertension</x:v>
      </x:c>
      <x:c r="D309" s="56" t="str">
        <x:v>{"status":"absent","patientAnswerZh":"没有高血压。","patientAnswerEn":"I do not have hypertension.","provenance":"source","teacherReviewRequired":false}</x:v>
      </x:c>
      <x:c r="E309" s="56" t="str">
        <x:v>source</x:v>
      </x:c>
      <x:c r="F309" s="56" t="str">
        <x:v>是</x:v>
      </x:c>
      <x:c r="G309" s="56" t="str">
        <x:v>程序未检出确定性冲突；仍待语义复核</x:v>
      </x:c>
      <x:c r="H309" s="56" t="str">
        <x:v>待确认</x:v>
      </x:c>
      <x:c r="I309" s="56" t="str">
        <x:v>是</x:v>
      </x:c>
      <x:c r="J309" s="59" t="str">
        <x:v>待确认</x:v>
      </x:c>
      <x:c r="K309" s="56" t="str"/>
      <x:c r="L309" s="56" t="str"/>
      <x:c r="M309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10">
      <x:c r="A310" s="56" t="str">
        <x:v>P024</x:v>
      </x:c>
      <x:c r="B310" s="56" t="str">
        <x:v>HX-ADD-012</x:v>
      </x:c>
      <x:c r="C310" s="56" t="str">
        <x:v>diabetes</x:v>
      </x:c>
      <x:c r="D310" s="56" t="str">
        <x:v>{"status":"absent","patientAnswerZh":"没有糖尿病。","patientAnswerEn":"I do not have diabetes.","provenance":"source","teacherReviewRequired":false}</x:v>
      </x:c>
      <x:c r="E310" s="56" t="str">
        <x:v>source</x:v>
      </x:c>
      <x:c r="F310" s="56" t="str">
        <x:v>是</x:v>
      </x:c>
      <x:c r="G310" s="56" t="str">
        <x:v>程序未检出确定性冲突；仍待语义复核</x:v>
      </x:c>
      <x:c r="H310" s="56" t="str">
        <x:v>待确认</x:v>
      </x:c>
      <x:c r="I310" s="56" t="str">
        <x:v>待确认</x:v>
      </x:c>
      <x:c r="J310" s="59" t="str">
        <x:v>待确认</x:v>
      </x:c>
      <x:c r="K310" s="56" t="str"/>
      <x:c r="L310" s="56" t="str"/>
      <x:c r="M310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11">
      <x:c r="A311" s="56" t="str">
        <x:v>P024</x:v>
      </x:c>
      <x:c r="B311" s="56" t="str">
        <x:v>HX-ADD-012</x:v>
      </x:c>
      <x:c r="C311" s="56" t="str">
        <x:v>coronaryDisease</x:v>
      </x:c>
      <x:c r="D311" s="56" t="str">
        <x:v>{"status":"absent","patientAnswerZh":"没有冠心病。","patientAnswerEn":"I do not have coronary heart disease.","provenance":"source","teacherReviewRequired":false}</x:v>
      </x:c>
      <x:c r="E311" s="56" t="str">
        <x:v>source</x:v>
      </x:c>
      <x:c r="F311" s="56" t="str">
        <x:v>是</x:v>
      </x:c>
      <x:c r="G311" s="56" t="str">
        <x:v>程序未检出确定性冲突；仍待语义复核</x:v>
      </x:c>
      <x:c r="H311" s="56" t="str">
        <x:v>待确认</x:v>
      </x:c>
      <x:c r="I311" s="56" t="str">
        <x:v>待确认</x:v>
      </x:c>
      <x:c r="J311" s="59" t="str">
        <x:v>待确认</x:v>
      </x:c>
      <x:c r="K311" s="56" t="str"/>
      <x:c r="L311" s="56" t="str"/>
      <x:c r="M311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12">
      <x:c r="A312" s="56" t="str">
        <x:v>P024</x:v>
      </x:c>
      <x:c r="B312" s="56" t="str">
        <x:v>HX-ADD-012</x:v>
      </x:c>
      <x:c r="C312" s="56" t="str">
        <x:v>stroke</x:v>
      </x:c>
      <x:c r="D312" s="56" t="str">
        <x:v>{"status":"absent","patientAnswerZh":"没有脑卒中。","patientAnswerEn":"I do not have stroke.","provenance":"source","teacherReviewRequired":false}</x:v>
      </x:c>
      <x:c r="E312" s="56" t="str">
        <x:v>source</x:v>
      </x:c>
      <x:c r="F312" s="56" t="str">
        <x:v>是</x:v>
      </x:c>
      <x:c r="G312" s="56" t="str">
        <x:v>程序未检出确定性冲突；仍待语义复核</x:v>
      </x:c>
      <x:c r="H312" s="56" t="str">
        <x:v>待确认</x:v>
      </x:c>
      <x:c r="I312" s="56" t="str">
        <x:v>待确认</x:v>
      </x:c>
      <x:c r="J312" s="59" t="str">
        <x:v>待确认</x:v>
      </x:c>
      <x:c r="K312" s="56" t="str"/>
      <x:c r="L312" s="56" t="str"/>
      <x:c r="M312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13">
      <x:c r="A313" s="56" t="str">
        <x:v>P024</x:v>
      </x:c>
      <x:c r="B313" s="56" t="str">
        <x:v>HX-ADD-012</x:v>
      </x:c>
      <x:c r="C313" s="56" t="str">
        <x:v>liverDisease</x:v>
      </x:c>
      <x:c r="D313" s="56" t="str">
        <x:v>{"status":"absent","patientAnswerZh":"没有肝病。","patientAnswerEn":"I do not have liver disease.","provenance":"source","teacherReviewRequired":false}</x:v>
      </x:c>
      <x:c r="E313" s="56" t="str">
        <x:v>source</x:v>
      </x:c>
      <x:c r="F313" s="56" t="str">
        <x:v>是</x:v>
      </x:c>
      <x:c r="G313" s="56" t="str">
        <x:v>程序未检出确定性冲突；仍待语义复核</x:v>
      </x:c>
      <x:c r="H313" s="56" t="str">
        <x:v>待确认</x:v>
      </x:c>
      <x:c r="I313" s="56" t="str">
        <x:v>待确认</x:v>
      </x:c>
      <x:c r="J313" s="59" t="str">
        <x:v>待确认</x:v>
      </x:c>
      <x:c r="K313" s="56" t="str"/>
      <x:c r="L313" s="56" t="str"/>
      <x:c r="M313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14">
      <x:c r="A314" s="56" t="str">
        <x:v>P024</x:v>
      </x:c>
      <x:c r="B314" s="56" t="str">
        <x:v>HX-ADD-012</x:v>
      </x:c>
      <x:c r="C314" s="56" t="str">
        <x:v>tuberculosis</x:v>
      </x:c>
      <x:c r="D314" s="56" t="str">
        <x:v>{"status":"absent","patientAnswerZh":"没有结核病。","patientAnswerEn":"I do not have tuberculosis.","provenance":"source","teacherReviewRequired":false}</x:v>
      </x:c>
      <x:c r="E314" s="56" t="str">
        <x:v>source</x:v>
      </x:c>
      <x:c r="F314" s="56" t="str">
        <x:v>是</x:v>
      </x:c>
      <x:c r="G314" s="56" t="str">
        <x:v>程序未检出确定性冲突；仍待语义复核</x:v>
      </x:c>
      <x:c r="H314" s="56" t="str">
        <x:v>待确认</x:v>
      </x:c>
      <x:c r="I314" s="56" t="str">
        <x:v>待确认</x:v>
      </x:c>
      <x:c r="J314" s="59" t="str">
        <x:v>待确认</x:v>
      </x:c>
      <x:c r="K314" s="56" t="str"/>
      <x:c r="L314" s="56" t="str"/>
      <x:c r="M314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15">
      <x:c r="A315" s="56" t="str">
        <x:v>P024</x:v>
      </x:c>
      <x:c r="B315" s="56" t="str">
        <x:v>HX-ADD-012</x:v>
      </x:c>
      <x:c r="C315" s="56" t="str">
        <x:v>urinaryProcedureHistory</x:v>
      </x:c>
      <x:c r="D315" s="56" t="str">
        <x:v>{"status":"absent","patientAnswerZh":"以前没有做过导尿、膀胱镜等泌尿操作。","patientAnswerEn":"I have not had catheterization, cystoscopy, or other urinary procedures.","provenance":"author_added_for_simulation","teacherReviewRequired":true}</x:v>
      </x:c>
      <x:c r="E315" s="56" t="str">
        <x:v>author_added_for_simulation</x:v>
      </x:c>
      <x:c r="F315" s="56" t="str">
        <x:v>是</x:v>
      </x:c>
      <x:c r="G315" s="56" t="str">
        <x:v>程序未检出确定性冲突；仍待语义复核</x:v>
      </x:c>
      <x:c r="H315" s="56" t="str">
        <x:v>待确认</x:v>
      </x:c>
      <x:c r="I315" s="56" t="str">
        <x:v>待确认</x:v>
      </x:c>
      <x:c r="J315" s="59" t="str">
        <x:v>待确认</x:v>
      </x:c>
      <x:c r="K315" s="56" t="str"/>
      <x:c r="L315" s="56" t="str"/>
      <x:c r="M315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16">
      <x:c r="A316" s="56" t="str">
        <x:v>P024</x:v>
      </x:c>
      <x:c r="B316" s="56" t="str">
        <x:v>HX-ADD-012</x:v>
      </x:c>
      <x:c r="C316" s="56" t="str">
        <x:v>surgeryHistory</x:v>
      </x:c>
      <x:c r="D316" s="56" t="str">
        <x:v>{"status":"absent","patientAnswerZh":"我以前没有做过手术。","patientAnswerEn":"I have never had surgery.","provenance":"author_added_for_simulation","teacherReviewRequired":true}</x:v>
      </x:c>
      <x:c r="E316" s="56" t="str">
        <x:v>author_added_for_simulation</x:v>
      </x:c>
      <x:c r="F316" s="56" t="str">
        <x:v>是</x:v>
      </x:c>
      <x:c r="G316" s="56" t="str">
        <x:v>程序未检出确定性冲突；仍待语义复核</x:v>
      </x:c>
      <x:c r="H316" s="56" t="str">
        <x:v>待确认</x:v>
      </x:c>
      <x:c r="I316" s="56" t="str">
        <x:v>是</x:v>
      </x:c>
      <x:c r="J316" s="59" t="str">
        <x:v>待确认</x:v>
      </x:c>
      <x:c r="K316" s="56" t="str"/>
      <x:c r="L316" s="56" t="str"/>
      <x:c r="M316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17">
      <x:c r="A317" s="56" t="str">
        <x:v>P024</x:v>
      </x:c>
      <x:c r="B317" s="56" t="str">
        <x:v>HX-ADD-012</x:v>
      </x:c>
      <x:c r="C317" s="56" t="str">
        <x:v>transfusionHistory</x:v>
      </x:c>
      <x:c r="D317" s="56" t="str">
        <x:v>{"status":"absent","patientAnswerZh":"我以前没有输过血。","patientAnswerEn":"I have never had a blood transfusion.","provenance":"author_added_for_simulation","teacherReviewRequired":true}</x:v>
      </x:c>
      <x:c r="E317" s="56" t="str">
        <x:v>author_added_for_simulation</x:v>
      </x:c>
      <x:c r="F317" s="56" t="str">
        <x:v>是</x:v>
      </x:c>
      <x:c r="G317" s="56" t="str">
        <x:v>程序未检出确定性冲突；仍待语义复核</x:v>
      </x:c>
      <x:c r="H317" s="56" t="str">
        <x:v>待确认</x:v>
      </x:c>
      <x:c r="I317" s="56" t="str">
        <x:v>待确认</x:v>
      </x:c>
      <x:c r="J317" s="59" t="str">
        <x:v>待确认</x:v>
      </x:c>
      <x:c r="K317" s="56" t="str"/>
      <x:c r="L317" s="56" t="str"/>
      <x:c r="M317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18">
      <x:c r="A318" s="56" t="str">
        <x:v>P024</x:v>
      </x:c>
      <x:c r="B318" s="56" t="str">
        <x:v>HX-ADD-012</x:v>
      </x:c>
      <x:c r="C318" s="56" t="str">
        <x:v>allergyHistory</x:v>
      </x:c>
      <x:c r="D318" s="56" t="str">
        <x:v>{"status":"absent","patientAnswerZh":"我没有已知药物或食物过敏。","patientAnswerEn":"I have no known drug or food allergies.","provenance":"author_added_for_simulation","teacherReviewRequired":true}</x:v>
      </x:c>
      <x:c r="E318" s="56" t="str">
        <x:v>author_added_for_simulation</x:v>
      </x:c>
      <x:c r="F318" s="56" t="str">
        <x:v>是</x:v>
      </x:c>
      <x:c r="G318" s="56" t="str">
        <x:v>程序未检出确定性冲突；仍待语义复核</x:v>
      </x:c>
      <x:c r="H318" s="56" t="str">
        <x:v>待确认</x:v>
      </x:c>
      <x:c r="I318" s="56" t="str">
        <x:v>是</x:v>
      </x:c>
      <x:c r="J318" s="59" t="str">
        <x:v>待确认</x:v>
      </x:c>
      <x:c r="K318" s="56" t="str"/>
      <x:c r="L318" s="56" t="str"/>
      <x:c r="M318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19">
      <x:c r="A319" s="56" t="str">
        <x:v>P024</x:v>
      </x:c>
      <x:c r="B319" s="56" t="str">
        <x:v>HX-ADD-012</x:v>
      </x:c>
      <x:c r="C319" s="56" t="str">
        <x:v>anticoagulantUse</x:v>
      </x:c>
      <x:c r="D319" s="56" t="str">
        <x:v>{"status":"absent","patientAnswerZh":"我没有服用华法林、利伐沙班等抗凝药。","patientAnswerEn":"I do not take anticoagulants.","provenance":"author_added_for_simulation","teacherReviewRequired":true}</x:v>
      </x:c>
      <x:c r="E319" s="56" t="str">
        <x:v>author_added_for_simulation</x:v>
      </x:c>
      <x:c r="F319" s="56" t="str">
        <x:v>是</x:v>
      </x:c>
      <x:c r="G319" s="56" t="str">
        <x:v>程序未检出确定性冲突；仍待语义复核</x:v>
      </x:c>
      <x:c r="H319" s="56" t="str">
        <x:v>可能</x:v>
      </x:c>
      <x:c r="I319" s="56" t="str">
        <x:v>是</x:v>
      </x:c>
      <x:c r="J319" s="59" t="str">
        <x:v>待确认</x:v>
      </x:c>
      <x:c r="K319" s="56" t="str"/>
      <x:c r="L319" s="56" t="str"/>
      <x:c r="M319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20">
      <x:c r="A320" s="56" t="str">
        <x:v>P024</x:v>
      </x:c>
      <x:c r="B320" s="56" t="str">
        <x:v>HX-ADD-012</x:v>
      </x:c>
      <x:c r="C320" s="56" t="str">
        <x:v>antiplateletUse</x:v>
      </x:c>
      <x:c r="D320" s="56" t="str">
        <x:v>{"status":"absent","patientAnswerZh":"我没有服用阿司匹林或氯吡格雷。","patientAnswerEn":"I do not take antiplatelet medication.","provenance":"author_added_for_simulation","teacherReviewRequired":true}</x:v>
      </x:c>
      <x:c r="E320" s="56" t="str">
        <x:v>author_added_for_simulation</x:v>
      </x:c>
      <x:c r="F320" s="56" t="str">
        <x:v>是</x:v>
      </x:c>
      <x:c r="G320" s="56" t="str">
        <x:v>程序未检出确定性冲突；仍待语义复核</x:v>
      </x:c>
      <x:c r="H320" s="56" t="str">
        <x:v>可能</x:v>
      </x:c>
      <x:c r="I320" s="56" t="str">
        <x:v>是</x:v>
      </x:c>
      <x:c r="J320" s="59" t="str">
        <x:v>待确认</x:v>
      </x:c>
      <x:c r="K320" s="56" t="str"/>
      <x:c r="L320" s="56" t="str"/>
      <x:c r="M320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21">
      <x:c r="A321" s="56" t="str">
        <x:v>P024</x:v>
      </x:c>
      <x:c r="B321" s="56" t="str">
        <x:v>HX-ADD-012</x:v>
      </x:c>
      <x:c r="C321" s="56" t="str">
        <x:v>familyHistory</x:v>
      </x:c>
      <x:c r="D321" s="56" t="str">
        <x:v>{"status":"absent","patientAnswerZh":"家里没有人得过类似血尿或遗传性肾病。","patientAnswerEn":"No one in my family has had similar hematuria or hereditary kidney disease.","provenance":"author_added_for_simulation","teacherReviewRequired":true}</x:v>
      </x:c>
      <x:c r="E321" s="56" t="str">
        <x:v>author_added_for_simulation</x:v>
      </x:c>
      <x:c r="F321" s="56" t="str">
        <x:v>是</x:v>
      </x:c>
      <x:c r="G321" s="56" t="str">
        <x:v>程序未检出确定性冲突；仍待语义复核</x:v>
      </x:c>
      <x:c r="H321" s="56" t="str">
        <x:v>可能</x:v>
      </x:c>
      <x:c r="I321" s="56" t="str">
        <x:v>是</x:v>
      </x:c>
      <x:c r="J321" s="59" t="str">
        <x:v>待确认</x:v>
      </x:c>
      <x:c r="K321" s="56" t="str"/>
      <x:c r="L321" s="56" t="str"/>
      <x:c r="M321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22">
      <x:c r="A322" s="56" t="str">
        <x:v>P025</x:v>
      </x:c>
      <x:c r="B322" s="56" t="str">
        <x:v>HX-ADD-013</x:v>
      </x:c>
      <x:c r="C322" s="56" t="str">
        <x:v>alcoholHistory</x:v>
      </x:c>
      <x:c r="D322" s="56" t="str">
        <x:v>{"status":"never","type":"","amount":"0","frequency":"never","years":0,"patientAnswerZh":"我平时不喝酒。","patientAnswerEn":"I do not drink alcohol.","provenance":"author_added_for_simulation","teacherReviewRequired":true}</x:v>
      </x:c>
      <x:c r="E322" s="56" t="str">
        <x:v>author_added_for_simulation</x:v>
      </x:c>
      <x:c r="F322" s="56" t="str">
        <x:v>是</x:v>
      </x:c>
      <x:c r="G322" s="56" t="str">
        <x:v>程序未检出确定性冲突；仍待语义复核</x:v>
      </x:c>
      <x:c r="H322" s="56" t="str">
        <x:v>待确认</x:v>
      </x:c>
      <x:c r="I322" s="56" t="str">
        <x:v>待确认</x:v>
      </x:c>
      <x:c r="J322" s="59" t="str">
        <x:v>待确认</x:v>
      </x:c>
      <x:c r="K322" s="56" t="str"/>
      <x:c r="L322" s="56" t="str"/>
      <x:c r="M322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23">
      <x:c r="A323" s="56" t="str">
        <x:v>P025</x:v>
      </x:c>
      <x:c r="B323" s="56" t="str">
        <x:v>HX-ADD-013</x:v>
      </x:c>
      <x:c r="C323" s="56" t="str">
        <x:v>hypertension</x:v>
      </x:c>
      <x:c r="D323" s="56" t="str">
        <x:v>{"status":"absent","patientAnswerZh":"没有高血压。","patientAnswerEn":"I do not have hypertension.","provenance":"source","teacherReviewRequired":false}</x:v>
      </x:c>
      <x:c r="E323" s="56" t="str">
        <x:v>source</x:v>
      </x:c>
      <x:c r="F323" s="56" t="str">
        <x:v>是</x:v>
      </x:c>
      <x:c r="G323" s="56" t="str">
        <x:v>程序未检出确定性冲突；仍待语义复核</x:v>
      </x:c>
      <x:c r="H323" s="56" t="str">
        <x:v>待确认</x:v>
      </x:c>
      <x:c r="I323" s="56" t="str">
        <x:v>是</x:v>
      </x:c>
      <x:c r="J323" s="59" t="str">
        <x:v>待确认</x:v>
      </x:c>
      <x:c r="K323" s="56" t="str"/>
      <x:c r="L323" s="56" t="str"/>
      <x:c r="M323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24">
      <x:c r="A324" s="56" t="str">
        <x:v>P025</x:v>
      </x:c>
      <x:c r="B324" s="56" t="str">
        <x:v>HX-ADD-013</x:v>
      </x:c>
      <x:c r="C324" s="56" t="str">
        <x:v>diabetes</x:v>
      </x:c>
      <x:c r="D324" s="56" t="str">
        <x:v>{"status":"absent","patientAnswerZh":"没有糖尿病。","patientAnswerEn":"I do not have diabetes.","provenance":"source","teacherReviewRequired":false}</x:v>
      </x:c>
      <x:c r="E324" s="56" t="str">
        <x:v>source</x:v>
      </x:c>
      <x:c r="F324" s="56" t="str">
        <x:v>是</x:v>
      </x:c>
      <x:c r="G324" s="56" t="str">
        <x:v>程序未检出确定性冲突；仍待语义复核</x:v>
      </x:c>
      <x:c r="H324" s="56" t="str">
        <x:v>待确认</x:v>
      </x:c>
      <x:c r="I324" s="56" t="str">
        <x:v>待确认</x:v>
      </x:c>
      <x:c r="J324" s="59" t="str">
        <x:v>待确认</x:v>
      </x:c>
      <x:c r="K324" s="56" t="str"/>
      <x:c r="L324" s="56" t="str"/>
      <x:c r="M324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25">
      <x:c r="A325" s="56" t="str">
        <x:v>P025</x:v>
      </x:c>
      <x:c r="B325" s="56" t="str">
        <x:v>HX-ADD-013</x:v>
      </x:c>
      <x:c r="C325" s="56" t="str">
        <x:v>coronaryDisease</x:v>
      </x:c>
      <x:c r="D325" s="56" t="str">
        <x:v>{"status":"absent","patientAnswerZh":"没有冠心病。","patientAnswerEn":"I do not have coronary heart disease.","provenance":"source","teacherReviewRequired":false}</x:v>
      </x:c>
      <x:c r="E325" s="56" t="str">
        <x:v>source</x:v>
      </x:c>
      <x:c r="F325" s="56" t="str">
        <x:v>是</x:v>
      </x:c>
      <x:c r="G325" s="56" t="str">
        <x:v>程序未检出确定性冲突；仍待语义复核</x:v>
      </x:c>
      <x:c r="H325" s="56" t="str">
        <x:v>待确认</x:v>
      </x:c>
      <x:c r="I325" s="56" t="str">
        <x:v>待确认</x:v>
      </x:c>
      <x:c r="J325" s="59" t="str">
        <x:v>待确认</x:v>
      </x:c>
      <x:c r="K325" s="56" t="str"/>
      <x:c r="L325" s="56" t="str"/>
      <x:c r="M325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26">
      <x:c r="A326" s="56" t="str">
        <x:v>P025</x:v>
      </x:c>
      <x:c r="B326" s="56" t="str">
        <x:v>HX-ADD-013</x:v>
      </x:c>
      <x:c r="C326" s="56" t="str">
        <x:v>stroke</x:v>
      </x:c>
      <x:c r="D326" s="56" t="str">
        <x:v>{"status":"absent","patientAnswerZh":"没有脑卒中。","patientAnswerEn":"I do not have stroke.","provenance":"source","teacherReviewRequired":false}</x:v>
      </x:c>
      <x:c r="E326" s="56" t="str">
        <x:v>source</x:v>
      </x:c>
      <x:c r="F326" s="56" t="str">
        <x:v>是</x:v>
      </x:c>
      <x:c r="G326" s="56" t="str">
        <x:v>程序未检出确定性冲突；仍待语义复核</x:v>
      </x:c>
      <x:c r="H326" s="56" t="str">
        <x:v>待确认</x:v>
      </x:c>
      <x:c r="I326" s="56" t="str">
        <x:v>待确认</x:v>
      </x:c>
      <x:c r="J326" s="59" t="str">
        <x:v>待确认</x:v>
      </x:c>
      <x:c r="K326" s="56" t="str"/>
      <x:c r="L326" s="56" t="str"/>
      <x:c r="M326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27">
      <x:c r="A327" s="56" t="str">
        <x:v>P025</x:v>
      </x:c>
      <x:c r="B327" s="56" t="str">
        <x:v>HX-ADD-013</x:v>
      </x:c>
      <x:c r="C327" s="56" t="str">
        <x:v>liverDisease</x:v>
      </x:c>
      <x:c r="D327" s="56" t="str">
        <x:v>{"status":"absent","patientAnswerZh":"没有肝病。","patientAnswerEn":"I do not have liver disease.","provenance":"source","teacherReviewRequired":false}</x:v>
      </x:c>
      <x:c r="E327" s="56" t="str">
        <x:v>source</x:v>
      </x:c>
      <x:c r="F327" s="56" t="str">
        <x:v>是</x:v>
      </x:c>
      <x:c r="G327" s="56" t="str">
        <x:v>程序未检出确定性冲突；仍待语义复核</x:v>
      </x:c>
      <x:c r="H327" s="56" t="str">
        <x:v>待确认</x:v>
      </x:c>
      <x:c r="I327" s="56" t="str">
        <x:v>待确认</x:v>
      </x:c>
      <x:c r="J327" s="59" t="str">
        <x:v>待确认</x:v>
      </x:c>
      <x:c r="K327" s="56" t="str"/>
      <x:c r="L327" s="56" t="str"/>
      <x:c r="M327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28">
      <x:c r="A328" s="56" t="str">
        <x:v>P025</x:v>
      </x:c>
      <x:c r="B328" s="56" t="str">
        <x:v>HX-ADD-013</x:v>
      </x:c>
      <x:c r="C328" s="56" t="str">
        <x:v>tuberculosis</x:v>
      </x:c>
      <x:c r="D328" s="56" t="str">
        <x:v>{"status":"absent","patientAnswerZh":"没有结核病。","patientAnswerEn":"I do not have tuberculosis.","provenance":"source","teacherReviewRequired":false}</x:v>
      </x:c>
      <x:c r="E328" s="56" t="str">
        <x:v>source</x:v>
      </x:c>
      <x:c r="F328" s="56" t="str">
        <x:v>是</x:v>
      </x:c>
      <x:c r="G328" s="56" t="str">
        <x:v>程序未检出确定性冲突；仍待语义复核</x:v>
      </x:c>
      <x:c r="H328" s="56" t="str">
        <x:v>待确认</x:v>
      </x:c>
      <x:c r="I328" s="56" t="str">
        <x:v>待确认</x:v>
      </x:c>
      <x:c r="J328" s="59" t="str">
        <x:v>待确认</x:v>
      </x:c>
      <x:c r="K328" s="56" t="str"/>
      <x:c r="L328" s="56" t="str"/>
      <x:c r="M328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29">
      <x:c r="A329" s="56" t="str">
        <x:v>P025</x:v>
      </x:c>
      <x:c r="B329" s="56" t="str">
        <x:v>HX-ADD-013</x:v>
      </x:c>
      <x:c r="C329" s="56" t="str">
        <x:v>urinaryProcedureHistory</x:v>
      </x:c>
      <x:c r="D329" s="56" t="str">
        <x:v>{"status":"absent","patientAnswerZh":"以前没有做过导尿、膀胱镜等泌尿操作。","patientAnswerEn":"I have not had catheterization, cystoscopy, or other urinary procedures.","provenance":"author_added_for_simulation","teacherReviewRequired":true}</x:v>
      </x:c>
      <x:c r="E329" s="56" t="str">
        <x:v>author_added_for_simulation</x:v>
      </x:c>
      <x:c r="F329" s="56" t="str">
        <x:v>是</x:v>
      </x:c>
      <x:c r="G329" s="56" t="str">
        <x:v>程序未检出确定性冲突；仍待语义复核</x:v>
      </x:c>
      <x:c r="H329" s="56" t="str">
        <x:v>待确认</x:v>
      </x:c>
      <x:c r="I329" s="56" t="str">
        <x:v>待确认</x:v>
      </x:c>
      <x:c r="J329" s="59" t="str">
        <x:v>待确认</x:v>
      </x:c>
      <x:c r="K329" s="56" t="str"/>
      <x:c r="L329" s="56" t="str"/>
      <x:c r="M329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30">
      <x:c r="A330" s="56" t="str">
        <x:v>P025</x:v>
      </x:c>
      <x:c r="B330" s="56" t="str">
        <x:v>HX-ADD-013</x:v>
      </x:c>
      <x:c r="C330" s="56" t="str">
        <x:v>surgeryHistory</x:v>
      </x:c>
      <x:c r="D330" s="56" t="str">
        <x:v>{"status":"absent","patientAnswerZh":"我以前没有做过手术。","patientAnswerEn":"I have never had surgery.","provenance":"author_added_for_simulation","teacherReviewRequired":true}</x:v>
      </x:c>
      <x:c r="E330" s="56" t="str">
        <x:v>author_added_for_simulation</x:v>
      </x:c>
      <x:c r="F330" s="56" t="str">
        <x:v>是</x:v>
      </x:c>
      <x:c r="G330" s="56" t="str">
        <x:v>程序未检出确定性冲突；仍待语义复核</x:v>
      </x:c>
      <x:c r="H330" s="56" t="str">
        <x:v>待确认</x:v>
      </x:c>
      <x:c r="I330" s="56" t="str">
        <x:v>是</x:v>
      </x:c>
      <x:c r="J330" s="59" t="str">
        <x:v>待确认</x:v>
      </x:c>
      <x:c r="K330" s="56" t="str"/>
      <x:c r="L330" s="56" t="str"/>
      <x:c r="M330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31">
      <x:c r="A331" s="56" t="str">
        <x:v>P025</x:v>
      </x:c>
      <x:c r="B331" s="56" t="str">
        <x:v>HX-ADD-013</x:v>
      </x:c>
      <x:c r="C331" s="56" t="str">
        <x:v>transfusionHistory</x:v>
      </x:c>
      <x:c r="D331" s="56" t="str">
        <x:v>{"status":"absent","patientAnswerZh":"我以前没有输过血。","patientAnswerEn":"I have never had a blood transfusion.","provenance":"author_added_for_simulation","teacherReviewRequired":true}</x:v>
      </x:c>
      <x:c r="E331" s="56" t="str">
        <x:v>author_added_for_simulation</x:v>
      </x:c>
      <x:c r="F331" s="56" t="str">
        <x:v>是</x:v>
      </x:c>
      <x:c r="G331" s="56" t="str">
        <x:v>程序未检出确定性冲突；仍待语义复核</x:v>
      </x:c>
      <x:c r="H331" s="56" t="str">
        <x:v>待确认</x:v>
      </x:c>
      <x:c r="I331" s="56" t="str">
        <x:v>待确认</x:v>
      </x:c>
      <x:c r="J331" s="59" t="str">
        <x:v>待确认</x:v>
      </x:c>
      <x:c r="K331" s="56" t="str"/>
      <x:c r="L331" s="56" t="str"/>
      <x:c r="M331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32">
      <x:c r="A332" s="56" t="str">
        <x:v>P025</x:v>
      </x:c>
      <x:c r="B332" s="56" t="str">
        <x:v>HX-ADD-013</x:v>
      </x:c>
      <x:c r="C332" s="56" t="str">
        <x:v>allergyHistory</x:v>
      </x:c>
      <x:c r="D332" s="56" t="str">
        <x:v>{"status":"absent","patientAnswerZh":"我没有已知药物或食物过敏。","patientAnswerEn":"I have no known drug or food allergies.","provenance":"author_added_for_simulation","teacherReviewRequired":true}</x:v>
      </x:c>
      <x:c r="E332" s="56" t="str">
        <x:v>author_added_for_simulation</x:v>
      </x:c>
      <x:c r="F332" s="56" t="str">
        <x:v>是</x:v>
      </x:c>
      <x:c r="G332" s="56" t="str">
        <x:v>程序未检出确定性冲突；仍待语义复核</x:v>
      </x:c>
      <x:c r="H332" s="56" t="str">
        <x:v>待确认</x:v>
      </x:c>
      <x:c r="I332" s="56" t="str">
        <x:v>是</x:v>
      </x:c>
      <x:c r="J332" s="59" t="str">
        <x:v>待确认</x:v>
      </x:c>
      <x:c r="K332" s="56" t="str"/>
      <x:c r="L332" s="56" t="str"/>
      <x:c r="M332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33">
      <x:c r="A333" s="56" t="str">
        <x:v>P025</x:v>
      </x:c>
      <x:c r="B333" s="56" t="str">
        <x:v>HX-ADD-013</x:v>
      </x:c>
      <x:c r="C333" s="56" t="str">
        <x:v>anticoagulantUse</x:v>
      </x:c>
      <x:c r="D333" s="56" t="str">
        <x:v>{"status":"absent","patientAnswerZh":"我没有服用华法林、利伐沙班等抗凝药。","patientAnswerEn":"I do not take anticoagulants.","provenance":"author_added_for_simulation","teacherReviewRequired":true}</x:v>
      </x:c>
      <x:c r="E333" s="56" t="str">
        <x:v>author_added_for_simulation</x:v>
      </x:c>
      <x:c r="F333" s="56" t="str">
        <x:v>是</x:v>
      </x:c>
      <x:c r="G333" s="56" t="str">
        <x:v>程序未检出确定性冲突；仍待语义复核</x:v>
      </x:c>
      <x:c r="H333" s="56" t="str">
        <x:v>可能</x:v>
      </x:c>
      <x:c r="I333" s="56" t="str">
        <x:v>是</x:v>
      </x:c>
      <x:c r="J333" s="59" t="str">
        <x:v>待确认</x:v>
      </x:c>
      <x:c r="K333" s="56" t="str"/>
      <x:c r="L333" s="56" t="str"/>
      <x:c r="M333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34">
      <x:c r="A334" s="56" t="str">
        <x:v>P025</x:v>
      </x:c>
      <x:c r="B334" s="56" t="str">
        <x:v>HX-ADD-013</x:v>
      </x:c>
      <x:c r="C334" s="56" t="str">
        <x:v>antiplateletUse</x:v>
      </x:c>
      <x:c r="D334" s="56" t="str">
        <x:v>{"status":"absent","patientAnswerZh":"我没有服用阿司匹林或氯吡格雷。","patientAnswerEn":"I do not take antiplatelet medication.","provenance":"author_added_for_simulation","teacherReviewRequired":true}</x:v>
      </x:c>
      <x:c r="E334" s="56" t="str">
        <x:v>author_added_for_simulation</x:v>
      </x:c>
      <x:c r="F334" s="56" t="str">
        <x:v>是</x:v>
      </x:c>
      <x:c r="G334" s="56" t="str">
        <x:v>程序未检出确定性冲突；仍待语义复核</x:v>
      </x:c>
      <x:c r="H334" s="56" t="str">
        <x:v>可能</x:v>
      </x:c>
      <x:c r="I334" s="56" t="str">
        <x:v>是</x:v>
      </x:c>
      <x:c r="J334" s="59" t="str">
        <x:v>待确认</x:v>
      </x:c>
      <x:c r="K334" s="56" t="str"/>
      <x:c r="L334" s="56" t="str"/>
      <x:c r="M334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35">
      <x:c r="A335" s="56" t="str">
        <x:v>P025</x:v>
      </x:c>
      <x:c r="B335" s="56" t="str">
        <x:v>HX-ADD-013</x:v>
      </x:c>
      <x:c r="C335" s="56" t="str">
        <x:v>familyHistory</x:v>
      </x:c>
      <x:c r="D335" s="56" t="str">
        <x:v>{"status":"absent","patientAnswerZh":"家里没有人得过类似血尿或遗传性肾病。","patientAnswerEn":"No one in my family has had similar hematuria or hereditary kidney disease.","provenance":"author_added_for_simulation","teacherReviewRequired":true}</x:v>
      </x:c>
      <x:c r="E335" s="56" t="str">
        <x:v>author_added_for_simulation</x:v>
      </x:c>
      <x:c r="F335" s="56" t="str">
        <x:v>是</x:v>
      </x:c>
      <x:c r="G335" s="56" t="str">
        <x:v>程序未检出确定性冲突；仍待语义复核</x:v>
      </x:c>
      <x:c r="H335" s="56" t="str">
        <x:v>可能</x:v>
      </x:c>
      <x:c r="I335" s="56" t="str">
        <x:v>是</x:v>
      </x:c>
      <x:c r="J335" s="59" t="str">
        <x:v>待确认</x:v>
      </x:c>
      <x:c r="K335" s="56" t="str"/>
      <x:c r="L335" s="56" t="str"/>
      <x:c r="M335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36">
      <x:c r="A336" s="56" t="str">
        <x:v>P026</x:v>
      </x:c>
      <x:c r="B336" s="56" t="str">
        <x:v>HX-ADD-014</x:v>
      </x:c>
      <x:c r="C336" s="56" t="str">
        <x:v>alcoholHistory</x:v>
      </x:c>
      <x:c r="D336" s="56" t="str">
        <x:v>{"status":"never","type":"","amount":"0","frequency":"never","years":0,"patientAnswerZh":"我平时不喝酒。","patientAnswerEn":"I do not drink alcohol.","provenance":"author_added_for_simulation","teacherReviewRequired":true}</x:v>
      </x:c>
      <x:c r="E336" s="56" t="str">
        <x:v>author_added_for_simulation</x:v>
      </x:c>
      <x:c r="F336" s="56" t="str">
        <x:v>是</x:v>
      </x:c>
      <x:c r="G336" s="56" t="str">
        <x:v>程序未检出确定性冲突；仍待语义复核</x:v>
      </x:c>
      <x:c r="H336" s="56" t="str">
        <x:v>待确认</x:v>
      </x:c>
      <x:c r="I336" s="56" t="str">
        <x:v>待确认</x:v>
      </x:c>
      <x:c r="J336" s="59" t="str">
        <x:v>待确认</x:v>
      </x:c>
      <x:c r="K336" s="56" t="str"/>
      <x:c r="L336" s="56" t="str"/>
      <x:c r="M336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37">
      <x:c r="A337" s="56" t="str">
        <x:v>P026</x:v>
      </x:c>
      <x:c r="B337" s="56" t="str">
        <x:v>HX-ADD-014</x:v>
      </x:c>
      <x:c r="C337" s="56" t="str">
        <x:v>hypertension</x:v>
      </x:c>
      <x:c r="D337" s="56" t="str">
        <x:v>{"status":"absent","patientAnswerZh":"没有高血压。","patientAnswerEn":"I do not have hypertension.","provenance":"author_added_for_simulation","teacherReviewRequired":true}</x:v>
      </x:c>
      <x:c r="E337" s="56" t="str">
        <x:v>author_added_for_simulation</x:v>
      </x:c>
      <x:c r="F337" s="56" t="str">
        <x:v>是</x:v>
      </x:c>
      <x:c r="G337" s="56" t="str">
        <x:v>程序未检出确定性冲突；仍待语义复核</x:v>
      </x:c>
      <x:c r="H337" s="56" t="str">
        <x:v>待确认</x:v>
      </x:c>
      <x:c r="I337" s="56" t="str">
        <x:v>是</x:v>
      </x:c>
      <x:c r="J337" s="59" t="str">
        <x:v>待确认</x:v>
      </x:c>
      <x:c r="K337" s="56" t="str"/>
      <x:c r="L337" s="56" t="str"/>
      <x:c r="M337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38">
      <x:c r="A338" s="56" t="str">
        <x:v>P026</x:v>
      </x:c>
      <x:c r="B338" s="56" t="str">
        <x:v>HX-ADD-014</x:v>
      </x:c>
      <x:c r="C338" s="56" t="str">
        <x:v>coronaryDisease</x:v>
      </x:c>
      <x:c r="D338" s="56" t="str">
        <x:v>{"status":"absent","patientAnswerZh":"没有冠心病。","patientAnswerEn":"I do not have coronary heart disease.","provenance":"author_added_for_simulation","teacherReviewRequired":true}</x:v>
      </x:c>
      <x:c r="E338" s="56" t="str">
        <x:v>author_added_for_simulation</x:v>
      </x:c>
      <x:c r="F338" s="56" t="str">
        <x:v>是</x:v>
      </x:c>
      <x:c r="G338" s="56" t="str">
        <x:v>程序未检出确定性冲突；仍待语义复核</x:v>
      </x:c>
      <x:c r="H338" s="56" t="str">
        <x:v>待确认</x:v>
      </x:c>
      <x:c r="I338" s="56" t="str">
        <x:v>待确认</x:v>
      </x:c>
      <x:c r="J338" s="59" t="str">
        <x:v>待确认</x:v>
      </x:c>
      <x:c r="K338" s="56" t="str"/>
      <x:c r="L338" s="56" t="str"/>
      <x:c r="M338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39">
      <x:c r="A339" s="56" t="str">
        <x:v>P026</x:v>
      </x:c>
      <x:c r="B339" s="56" t="str">
        <x:v>HX-ADD-014</x:v>
      </x:c>
      <x:c r="C339" s="56" t="str">
        <x:v>stroke</x:v>
      </x:c>
      <x:c r="D339" s="56" t="str">
        <x:v>{"status":"absent","patientAnswerZh":"没有脑卒中。","patientAnswerEn":"I do not have stroke.","provenance":"author_added_for_simulation","teacherReviewRequired":true}</x:v>
      </x:c>
      <x:c r="E339" s="56" t="str">
        <x:v>author_added_for_simulation</x:v>
      </x:c>
      <x:c r="F339" s="56" t="str">
        <x:v>是</x:v>
      </x:c>
      <x:c r="G339" s="56" t="str">
        <x:v>程序未检出确定性冲突；仍待语义复核</x:v>
      </x:c>
      <x:c r="H339" s="56" t="str">
        <x:v>待确认</x:v>
      </x:c>
      <x:c r="I339" s="56" t="str">
        <x:v>待确认</x:v>
      </x:c>
      <x:c r="J339" s="59" t="str">
        <x:v>待确认</x:v>
      </x:c>
      <x:c r="K339" s="56" t="str"/>
      <x:c r="L339" s="56" t="str"/>
      <x:c r="M339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40">
      <x:c r="A340" s="56" t="str">
        <x:v>P026</x:v>
      </x:c>
      <x:c r="B340" s="56" t="str">
        <x:v>HX-ADD-014</x:v>
      </x:c>
      <x:c r="C340" s="56" t="str">
        <x:v>liverDisease</x:v>
      </x:c>
      <x:c r="D340" s="56" t="str">
        <x:v>{"status":"absent","patientAnswerZh":"没有肝病。","patientAnswerEn":"I do not have liver disease.","provenance":"source","teacherReviewRequired":false}</x:v>
      </x:c>
      <x:c r="E340" s="56" t="str">
        <x:v>source</x:v>
      </x:c>
      <x:c r="F340" s="56" t="str">
        <x:v>是</x:v>
      </x:c>
      <x:c r="G340" s="56" t="str">
        <x:v>程序未检出确定性冲突；仍待语义复核</x:v>
      </x:c>
      <x:c r="H340" s="56" t="str">
        <x:v>待确认</x:v>
      </x:c>
      <x:c r="I340" s="56" t="str">
        <x:v>待确认</x:v>
      </x:c>
      <x:c r="J340" s="59" t="str">
        <x:v>待确认</x:v>
      </x:c>
      <x:c r="K340" s="56" t="str"/>
      <x:c r="L340" s="56" t="str"/>
      <x:c r="M340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41">
      <x:c r="A341" s="56" t="str">
        <x:v>P026</x:v>
      </x:c>
      <x:c r="B341" s="56" t="str">
        <x:v>HX-ADD-014</x:v>
      </x:c>
      <x:c r="C341" s="56" t="str">
        <x:v>tuberculosis</x:v>
      </x:c>
      <x:c r="D341" s="56" t="str">
        <x:v>{"status":"absent","patientAnswerZh":"没有结核病。","patientAnswerEn":"I do not have tuberculosis.","provenance":"source","teacherReviewRequired":false}</x:v>
      </x:c>
      <x:c r="E341" s="56" t="str">
        <x:v>source</x:v>
      </x:c>
      <x:c r="F341" s="56" t="str">
        <x:v>是</x:v>
      </x:c>
      <x:c r="G341" s="56" t="str">
        <x:v>程序未检出确定性冲突；仍待语义复核</x:v>
      </x:c>
      <x:c r="H341" s="56" t="str">
        <x:v>待确认</x:v>
      </x:c>
      <x:c r="I341" s="56" t="str">
        <x:v>待确认</x:v>
      </x:c>
      <x:c r="J341" s="59" t="str">
        <x:v>待确认</x:v>
      </x:c>
      <x:c r="K341" s="56" t="str"/>
      <x:c r="L341" s="56" t="str"/>
      <x:c r="M341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42">
      <x:c r="A342" s="56" t="str">
        <x:v>P026</x:v>
      </x:c>
      <x:c r="B342" s="56" t="str">
        <x:v>HX-ADD-014</x:v>
      </x:c>
      <x:c r="C342" s="56" t="str">
        <x:v>urinaryProcedureHistory</x:v>
      </x:c>
      <x:c r="D342" s="56" t="str">
        <x:v>{"status":"absent","patientAnswerZh":"以前没有做过导尿、膀胱镜等泌尿操作。","patientAnswerEn":"I have not had catheterization, cystoscopy, or other urinary procedures.","provenance":"author_added_for_simulation","teacherReviewRequired":true}</x:v>
      </x:c>
      <x:c r="E342" s="56" t="str">
        <x:v>author_added_for_simulation</x:v>
      </x:c>
      <x:c r="F342" s="56" t="str">
        <x:v>是</x:v>
      </x:c>
      <x:c r="G342" s="56" t="str">
        <x:v>程序未检出确定性冲突；仍待语义复核</x:v>
      </x:c>
      <x:c r="H342" s="56" t="str">
        <x:v>待确认</x:v>
      </x:c>
      <x:c r="I342" s="56" t="str">
        <x:v>待确认</x:v>
      </x:c>
      <x:c r="J342" s="59" t="str">
        <x:v>待确认</x:v>
      </x:c>
      <x:c r="K342" s="56" t="str"/>
      <x:c r="L342" s="56" t="str"/>
      <x:c r="M342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43">
      <x:c r="A343" s="56" t="str">
        <x:v>P026</x:v>
      </x:c>
      <x:c r="B343" s="56" t="str">
        <x:v>HX-ADD-014</x:v>
      </x:c>
      <x:c r="C343" s="56" t="str">
        <x:v>surgeryHistory</x:v>
      </x:c>
      <x:c r="D343" s="56" t="str">
        <x:v>{"status":"absent","patientAnswerZh":"我以前没有做过手术。","patientAnswerEn":"I have never had surgery.","provenance":"author_added_for_simulation","teacherReviewRequired":true}</x:v>
      </x:c>
      <x:c r="E343" s="56" t="str">
        <x:v>author_added_for_simulation</x:v>
      </x:c>
      <x:c r="F343" s="56" t="str">
        <x:v>是</x:v>
      </x:c>
      <x:c r="G343" s="56" t="str">
        <x:v>程序未检出确定性冲突；仍待语义复核</x:v>
      </x:c>
      <x:c r="H343" s="56" t="str">
        <x:v>待确认</x:v>
      </x:c>
      <x:c r="I343" s="56" t="str">
        <x:v>是</x:v>
      </x:c>
      <x:c r="J343" s="59" t="str">
        <x:v>待确认</x:v>
      </x:c>
      <x:c r="K343" s="56" t="str"/>
      <x:c r="L343" s="56" t="str"/>
      <x:c r="M343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44">
      <x:c r="A344" s="56" t="str">
        <x:v>P026</x:v>
      </x:c>
      <x:c r="B344" s="56" t="str">
        <x:v>HX-ADD-014</x:v>
      </x:c>
      <x:c r="C344" s="56" t="str">
        <x:v>transfusionHistory</x:v>
      </x:c>
      <x:c r="D344" s="56" t="str">
        <x:v>{"status":"absent","patientAnswerZh":"我以前没有输过血。","patientAnswerEn":"I have never had a blood transfusion.","provenance":"author_added_for_simulation","teacherReviewRequired":true}</x:v>
      </x:c>
      <x:c r="E344" s="56" t="str">
        <x:v>author_added_for_simulation</x:v>
      </x:c>
      <x:c r="F344" s="56" t="str">
        <x:v>是</x:v>
      </x:c>
      <x:c r="G344" s="56" t="str">
        <x:v>程序未检出确定性冲突；仍待语义复核</x:v>
      </x:c>
      <x:c r="H344" s="56" t="str">
        <x:v>待确认</x:v>
      </x:c>
      <x:c r="I344" s="56" t="str">
        <x:v>待确认</x:v>
      </x:c>
      <x:c r="J344" s="59" t="str">
        <x:v>待确认</x:v>
      </x:c>
      <x:c r="K344" s="56" t="str"/>
      <x:c r="L344" s="56" t="str"/>
      <x:c r="M344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45">
      <x:c r="A345" s="56" t="str">
        <x:v>P026</x:v>
      </x:c>
      <x:c r="B345" s="56" t="str">
        <x:v>HX-ADD-014</x:v>
      </x:c>
      <x:c r="C345" s="56" t="str">
        <x:v>allergyHistory</x:v>
      </x:c>
      <x:c r="D345" s="56" t="str">
        <x:v>{"status":"absent","patientAnswerZh":"我没有已知药物或食物过敏。","patientAnswerEn":"I have no known drug or food allergies.","provenance":"author_added_for_simulation","teacherReviewRequired":true}</x:v>
      </x:c>
      <x:c r="E345" s="56" t="str">
        <x:v>author_added_for_simulation</x:v>
      </x:c>
      <x:c r="F345" s="56" t="str">
        <x:v>是</x:v>
      </x:c>
      <x:c r="G345" s="56" t="str">
        <x:v>程序未检出确定性冲突；仍待语义复核</x:v>
      </x:c>
      <x:c r="H345" s="56" t="str">
        <x:v>待确认</x:v>
      </x:c>
      <x:c r="I345" s="56" t="str">
        <x:v>是</x:v>
      </x:c>
      <x:c r="J345" s="59" t="str">
        <x:v>待确认</x:v>
      </x:c>
      <x:c r="K345" s="56" t="str"/>
      <x:c r="L345" s="56" t="str"/>
      <x:c r="M345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46">
      <x:c r="A346" s="56" t="str">
        <x:v>P026</x:v>
      </x:c>
      <x:c r="B346" s="56" t="str">
        <x:v>HX-ADD-014</x:v>
      </x:c>
      <x:c r="C346" s="56" t="str">
        <x:v>anticoagulantUse</x:v>
      </x:c>
      <x:c r="D346" s="56" t="str">
        <x:v>{"status":"absent","patientAnswerZh":"我没有服用华法林、利伐沙班等抗凝药。","patientAnswerEn":"I do not take anticoagulants.","provenance":"author_added_for_simulation","teacherReviewRequired":true}</x:v>
      </x:c>
      <x:c r="E346" s="56" t="str">
        <x:v>author_added_for_simulation</x:v>
      </x:c>
      <x:c r="F346" s="56" t="str">
        <x:v>是</x:v>
      </x:c>
      <x:c r="G346" s="56" t="str">
        <x:v>程序未检出确定性冲突；仍待语义复核</x:v>
      </x:c>
      <x:c r="H346" s="56" t="str">
        <x:v>可能</x:v>
      </x:c>
      <x:c r="I346" s="56" t="str">
        <x:v>是</x:v>
      </x:c>
      <x:c r="J346" s="59" t="str">
        <x:v>待确认</x:v>
      </x:c>
      <x:c r="K346" s="56" t="str"/>
      <x:c r="L346" s="56" t="str"/>
      <x:c r="M346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47">
      <x:c r="A347" s="56" t="str">
        <x:v>P026</x:v>
      </x:c>
      <x:c r="B347" s="56" t="str">
        <x:v>HX-ADD-014</x:v>
      </x:c>
      <x:c r="C347" s="56" t="str">
        <x:v>antiplateletUse</x:v>
      </x:c>
      <x:c r="D347" s="56" t="str">
        <x:v>{"status":"absent","patientAnswerZh":"我没有服用阿司匹林或氯吡格雷。","patientAnswerEn":"I do not take antiplatelet medication.","provenance":"author_added_for_simulation","teacherReviewRequired":true}</x:v>
      </x:c>
      <x:c r="E347" s="56" t="str">
        <x:v>author_added_for_simulation</x:v>
      </x:c>
      <x:c r="F347" s="56" t="str">
        <x:v>是</x:v>
      </x:c>
      <x:c r="G347" s="56" t="str">
        <x:v>程序未检出确定性冲突；仍待语义复核</x:v>
      </x:c>
      <x:c r="H347" s="56" t="str">
        <x:v>可能</x:v>
      </x:c>
      <x:c r="I347" s="56" t="str">
        <x:v>是</x:v>
      </x:c>
      <x:c r="J347" s="59" t="str">
        <x:v>待确认</x:v>
      </x:c>
      <x:c r="K347" s="56" t="str"/>
      <x:c r="L347" s="56" t="str"/>
      <x:c r="M347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48">
      <x:c r="A348" s="56" t="str">
        <x:v>P026</x:v>
      </x:c>
      <x:c r="B348" s="56" t="str">
        <x:v>HX-ADD-014</x:v>
      </x:c>
      <x:c r="C348" s="56" t="str">
        <x:v>familyHistory</x:v>
      </x:c>
      <x:c r="D348" s="56" t="str">
        <x:v>{"status":"absent","patientAnswerZh":"家里没有人得过类似血尿或遗传性肾病。","patientAnswerEn":"No one in my family has had similar hematuria or hereditary kidney disease.","provenance":"author_added_for_simulation","teacherReviewRequired":true}</x:v>
      </x:c>
      <x:c r="E348" s="56" t="str">
        <x:v>author_added_for_simulation</x:v>
      </x:c>
      <x:c r="F348" s="56" t="str">
        <x:v>是</x:v>
      </x:c>
      <x:c r="G348" s="56" t="str">
        <x:v>程序未检出确定性冲突；仍待语义复核</x:v>
      </x:c>
      <x:c r="H348" s="56" t="str">
        <x:v>可能</x:v>
      </x:c>
      <x:c r="I348" s="56" t="str">
        <x:v>是</x:v>
      </x:c>
      <x:c r="J348" s="59" t="str">
        <x:v>待确认</x:v>
      </x:c>
      <x:c r="K348" s="56" t="str"/>
      <x:c r="L348" s="56" t="str"/>
      <x:c r="M348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49">
      <x:c r="A349" s="56" t="str">
        <x:v>P026</x:v>
      </x:c>
      <x:c r="B349" s="56" t="str">
        <x:v>HX-ADD-014</x:v>
      </x:c>
      <x:c r="C349" s="56" t="str">
        <x:v>menstrualHistory</x:v>
      </x:c>
      <x:c r="D349" s="56" t="str">
        <x:v>{"status":"absent","patientAnswerZh":"月经情况正常，这次尿色异常不是在月经期。","patientAnswerEn":"My periods are regular, and this episode did not occur during menstruation.","provenance":"author_added_for_simulation","teacherReviewRequired":true}</x:v>
      </x:c>
      <x:c r="E349" s="56" t="str">
        <x:v>author_added_for_simulation</x:v>
      </x:c>
      <x:c r="F349" s="56" t="str">
        <x:v>是</x:v>
      </x:c>
      <x:c r="G349" s="56" t="str">
        <x:v>程序未检出确定性冲突；仍待语义复核</x:v>
      </x:c>
      <x:c r="H349" s="56" t="str">
        <x:v>可能</x:v>
      </x:c>
      <x:c r="I349" s="56" t="str">
        <x:v>待确认</x:v>
      </x:c>
      <x:c r="J349" s="59" t="str">
        <x:v>待确认</x:v>
      </x:c>
      <x:c r="K349" s="56" t="str"/>
      <x:c r="L349" s="56" t="str"/>
      <x:c r="M349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50">
      <x:c r="A350" s="56" t="str">
        <x:v>P026</x:v>
      </x:c>
      <x:c r="B350" s="56" t="str">
        <x:v>HX-ADD-014</x:v>
      </x:c>
      <x:c r="C350" s="56" t="str">
        <x:v>pregnancyHistory</x:v>
      </x:c>
      <x:c r="D350" s="56" t="str">
        <x:v>{"status":"absent","patientAnswerZh":"目前没有怀孕。","patientAnswerEn":"I am not currently pregnant.","provenance":"author_added_for_simulation","teacherReviewRequired":true}</x:v>
      </x:c>
      <x:c r="E350" s="56" t="str">
        <x:v>author_added_for_simulation</x:v>
      </x:c>
      <x:c r="F350" s="56" t="str">
        <x:v>是</x:v>
      </x:c>
      <x:c r="G350" s="56" t="str">
        <x:v>程序未检出确定性冲突；仍待语义复核</x:v>
      </x:c>
      <x:c r="H350" s="56" t="str">
        <x:v>可能</x:v>
      </x:c>
      <x:c r="I350" s="56" t="str">
        <x:v>待确认</x:v>
      </x:c>
      <x:c r="J350" s="59" t="str">
        <x:v>待确认</x:v>
      </x:c>
      <x:c r="K350" s="56" t="str"/>
      <x:c r="L350" s="56" t="str"/>
      <x:c r="M350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51">
      <x:c r="A351" s="56" t="str">
        <x:v>P027</x:v>
      </x:c>
      <x:c r="B351" s="56" t="str">
        <x:v>HX-ADD-015</x:v>
      </x:c>
      <x:c r="C351" s="56" t="str">
        <x:v>alcoholHistory</x:v>
      </x:c>
      <x:c r="D351" s="56" t="str">
        <x:v>{"status":"never","type":"","amount":"0","frequency":"never","years":0,"patientAnswerZh":"我平时不喝酒。","patientAnswerEn":"I do not drink alcohol.","provenance":"author_added_for_simulation","teacherReviewRequired":true}</x:v>
      </x:c>
      <x:c r="E351" s="56" t="str">
        <x:v>author_added_for_simulation</x:v>
      </x:c>
      <x:c r="F351" s="56" t="str">
        <x:v>是</x:v>
      </x:c>
      <x:c r="G351" s="56" t="str">
        <x:v>程序未检出确定性冲突；仍待语义复核</x:v>
      </x:c>
      <x:c r="H351" s="56" t="str">
        <x:v>待确认</x:v>
      </x:c>
      <x:c r="I351" s="56" t="str">
        <x:v>待确认</x:v>
      </x:c>
      <x:c r="J351" s="59" t="str">
        <x:v>待确认</x:v>
      </x:c>
      <x:c r="K351" s="56" t="str"/>
      <x:c r="L351" s="56" t="str"/>
      <x:c r="M351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52">
      <x:c r="A352" s="56" t="str">
        <x:v>P027</x:v>
      </x:c>
      <x:c r="B352" s="56" t="str">
        <x:v>HX-ADD-015</x:v>
      </x:c>
      <x:c r="C352" s="56" t="str">
        <x:v>hypertension</x:v>
      </x:c>
      <x:c r="D352" s="56" t="str">
        <x:v>{"status":"absent","patientAnswerZh":"没有高血压。","patientAnswerEn":"I do not have hypertension.","provenance":"source","teacherReviewRequired":false}</x:v>
      </x:c>
      <x:c r="E352" s="56" t="str">
        <x:v>source</x:v>
      </x:c>
      <x:c r="F352" s="56" t="str">
        <x:v>是</x:v>
      </x:c>
      <x:c r="G352" s="56" t="str">
        <x:v>程序未检出确定性冲突；仍待语义复核</x:v>
      </x:c>
      <x:c r="H352" s="56" t="str">
        <x:v>待确认</x:v>
      </x:c>
      <x:c r="I352" s="56" t="str">
        <x:v>是</x:v>
      </x:c>
      <x:c r="J352" s="59" t="str">
        <x:v>待确认</x:v>
      </x:c>
      <x:c r="K352" s="56" t="str"/>
      <x:c r="L352" s="56" t="str"/>
      <x:c r="M352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53">
      <x:c r="A353" s="56" t="str">
        <x:v>P027</x:v>
      </x:c>
      <x:c r="B353" s="56" t="str">
        <x:v>HX-ADD-015</x:v>
      </x:c>
      <x:c r="C353" s="56" t="str">
        <x:v>diabetes</x:v>
      </x:c>
      <x:c r="D353" s="56" t="str">
        <x:v>{"status":"absent","patientAnswerZh":"没有糖尿病。","patientAnswerEn":"I do not have diabetes.","provenance":"source","teacherReviewRequired":false}</x:v>
      </x:c>
      <x:c r="E353" s="56" t="str">
        <x:v>source</x:v>
      </x:c>
      <x:c r="F353" s="56" t="str">
        <x:v>是</x:v>
      </x:c>
      <x:c r="G353" s="56" t="str">
        <x:v>程序未检出确定性冲突；仍待语义复核</x:v>
      </x:c>
      <x:c r="H353" s="56" t="str">
        <x:v>待确认</x:v>
      </x:c>
      <x:c r="I353" s="56" t="str">
        <x:v>待确认</x:v>
      </x:c>
      <x:c r="J353" s="59" t="str">
        <x:v>待确认</x:v>
      </x:c>
      <x:c r="K353" s="56" t="str"/>
      <x:c r="L353" s="56" t="str"/>
      <x:c r="M353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54">
      <x:c r="A354" s="56" t="str">
        <x:v>P027</x:v>
      </x:c>
      <x:c r="B354" s="56" t="str">
        <x:v>HX-ADD-015</x:v>
      </x:c>
      <x:c r="C354" s="56" t="str">
        <x:v>coronaryDisease</x:v>
      </x:c>
      <x:c r="D354" s="56" t="str">
        <x:v>{"status":"absent","patientAnswerZh":"没有冠心病。","patientAnswerEn":"I do not have coronary heart disease.","provenance":"source","teacherReviewRequired":false}</x:v>
      </x:c>
      <x:c r="E354" s="56" t="str">
        <x:v>source</x:v>
      </x:c>
      <x:c r="F354" s="56" t="str">
        <x:v>是</x:v>
      </x:c>
      <x:c r="G354" s="56" t="str">
        <x:v>程序未检出确定性冲突；仍待语义复核</x:v>
      </x:c>
      <x:c r="H354" s="56" t="str">
        <x:v>待确认</x:v>
      </x:c>
      <x:c r="I354" s="56" t="str">
        <x:v>待确认</x:v>
      </x:c>
      <x:c r="J354" s="59" t="str">
        <x:v>待确认</x:v>
      </x:c>
      <x:c r="K354" s="56" t="str"/>
      <x:c r="L354" s="56" t="str"/>
      <x:c r="M354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55">
      <x:c r="A355" s="56" t="str">
        <x:v>P027</x:v>
      </x:c>
      <x:c r="B355" s="56" t="str">
        <x:v>HX-ADD-015</x:v>
      </x:c>
      <x:c r="C355" s="56" t="str">
        <x:v>stroke</x:v>
      </x:c>
      <x:c r="D355" s="56" t="str">
        <x:v>{"status":"absent","patientAnswerZh":"没有脑卒中。","patientAnswerEn":"I do not have stroke.","provenance":"source","teacherReviewRequired":false}</x:v>
      </x:c>
      <x:c r="E355" s="56" t="str">
        <x:v>source</x:v>
      </x:c>
      <x:c r="F355" s="56" t="str">
        <x:v>是</x:v>
      </x:c>
      <x:c r="G355" s="56" t="str">
        <x:v>程序未检出确定性冲突；仍待语义复核</x:v>
      </x:c>
      <x:c r="H355" s="56" t="str">
        <x:v>待确认</x:v>
      </x:c>
      <x:c r="I355" s="56" t="str">
        <x:v>待确认</x:v>
      </x:c>
      <x:c r="J355" s="59" t="str">
        <x:v>待确认</x:v>
      </x:c>
      <x:c r="K355" s="56" t="str"/>
      <x:c r="L355" s="56" t="str"/>
      <x:c r="M355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56">
      <x:c r="A356" s="56" t="str">
        <x:v>P027</x:v>
      </x:c>
      <x:c r="B356" s="56" t="str">
        <x:v>HX-ADD-015</x:v>
      </x:c>
      <x:c r="C356" s="56" t="str">
        <x:v>liverDisease</x:v>
      </x:c>
      <x:c r="D356" s="56" t="str">
        <x:v>{"status":"absent","patientAnswerZh":"没有肝病。","patientAnswerEn":"I do not have liver disease.","provenance":"source","teacherReviewRequired":false}</x:v>
      </x:c>
      <x:c r="E356" s="56" t="str">
        <x:v>source</x:v>
      </x:c>
      <x:c r="F356" s="56" t="str">
        <x:v>是</x:v>
      </x:c>
      <x:c r="G356" s="56" t="str">
        <x:v>程序未检出确定性冲突；仍待语义复核</x:v>
      </x:c>
      <x:c r="H356" s="56" t="str">
        <x:v>待确认</x:v>
      </x:c>
      <x:c r="I356" s="56" t="str">
        <x:v>待确认</x:v>
      </x:c>
      <x:c r="J356" s="59" t="str">
        <x:v>待确认</x:v>
      </x:c>
      <x:c r="K356" s="56" t="str"/>
      <x:c r="L356" s="56" t="str"/>
      <x:c r="M356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57">
      <x:c r="A357" s="56" t="str">
        <x:v>P027</x:v>
      </x:c>
      <x:c r="B357" s="56" t="str">
        <x:v>HX-ADD-015</x:v>
      </x:c>
      <x:c r="C357" s="56" t="str">
        <x:v>tuberculosis</x:v>
      </x:c>
      <x:c r="D357" s="56" t="str">
        <x:v>{"status":"absent","patientAnswerZh":"没有结核病。","patientAnswerEn":"I do not have tuberculosis.","provenance":"source","teacherReviewRequired":false}</x:v>
      </x:c>
      <x:c r="E357" s="56" t="str">
        <x:v>source</x:v>
      </x:c>
      <x:c r="F357" s="56" t="str">
        <x:v>是</x:v>
      </x:c>
      <x:c r="G357" s="56" t="str">
        <x:v>程序未检出确定性冲突；仍待语义复核</x:v>
      </x:c>
      <x:c r="H357" s="56" t="str">
        <x:v>待确认</x:v>
      </x:c>
      <x:c r="I357" s="56" t="str">
        <x:v>待确认</x:v>
      </x:c>
      <x:c r="J357" s="59" t="str">
        <x:v>待确认</x:v>
      </x:c>
      <x:c r="K357" s="56" t="str"/>
      <x:c r="L357" s="56" t="str"/>
      <x:c r="M357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58">
      <x:c r="A358" s="56" t="str">
        <x:v>P027</x:v>
      </x:c>
      <x:c r="B358" s="56" t="str">
        <x:v>HX-ADD-015</x:v>
      </x:c>
      <x:c r="C358" s="56" t="str">
        <x:v>urinaryProcedureHistory</x:v>
      </x:c>
      <x:c r="D358" s="56" t="str">
        <x:v>{"status":"absent","patientAnswerZh":"以前没有做过导尿、膀胱镜等泌尿操作。","patientAnswerEn":"I have not had catheterization, cystoscopy, or other urinary procedures.","provenance":"author_added_for_simulation","teacherReviewRequired":true}</x:v>
      </x:c>
      <x:c r="E358" s="56" t="str">
        <x:v>author_added_for_simulation</x:v>
      </x:c>
      <x:c r="F358" s="56" t="str">
        <x:v>是</x:v>
      </x:c>
      <x:c r="G358" s="56" t="str">
        <x:v>程序未检出确定性冲突；仍待语义复核</x:v>
      </x:c>
      <x:c r="H358" s="56" t="str">
        <x:v>待确认</x:v>
      </x:c>
      <x:c r="I358" s="56" t="str">
        <x:v>待确认</x:v>
      </x:c>
      <x:c r="J358" s="59" t="str">
        <x:v>待确认</x:v>
      </x:c>
      <x:c r="K358" s="56" t="str"/>
      <x:c r="L358" s="56" t="str"/>
      <x:c r="M358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59">
      <x:c r="A359" s="56" t="str">
        <x:v>P027</x:v>
      </x:c>
      <x:c r="B359" s="56" t="str">
        <x:v>HX-ADD-015</x:v>
      </x:c>
      <x:c r="C359" s="56" t="str">
        <x:v>surgeryHistory</x:v>
      </x:c>
      <x:c r="D359" s="56" t="str">
        <x:v>{"status":"absent","patientAnswerZh":"我以前没有做过手术。","patientAnswerEn":"I have never had surgery.","provenance":"author_added_for_simulation","teacherReviewRequired":true}</x:v>
      </x:c>
      <x:c r="E359" s="56" t="str">
        <x:v>author_added_for_simulation</x:v>
      </x:c>
      <x:c r="F359" s="56" t="str">
        <x:v>是</x:v>
      </x:c>
      <x:c r="G359" s="56" t="str">
        <x:v>程序未检出确定性冲突；仍待语义复核</x:v>
      </x:c>
      <x:c r="H359" s="56" t="str">
        <x:v>待确认</x:v>
      </x:c>
      <x:c r="I359" s="56" t="str">
        <x:v>是</x:v>
      </x:c>
      <x:c r="J359" s="59" t="str">
        <x:v>待确认</x:v>
      </x:c>
      <x:c r="K359" s="56" t="str"/>
      <x:c r="L359" s="56" t="str"/>
      <x:c r="M359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60">
      <x:c r="A360" s="56" t="str">
        <x:v>P027</x:v>
      </x:c>
      <x:c r="B360" s="56" t="str">
        <x:v>HX-ADD-015</x:v>
      </x:c>
      <x:c r="C360" s="56" t="str">
        <x:v>transfusionHistory</x:v>
      </x:c>
      <x:c r="D360" s="56" t="str">
        <x:v>{"status":"absent","patientAnswerZh":"我以前没有输过血。","patientAnswerEn":"I have never had a blood transfusion.","provenance":"author_added_for_simulation","teacherReviewRequired":true}</x:v>
      </x:c>
      <x:c r="E360" s="56" t="str">
        <x:v>author_added_for_simulation</x:v>
      </x:c>
      <x:c r="F360" s="56" t="str">
        <x:v>是</x:v>
      </x:c>
      <x:c r="G360" s="56" t="str">
        <x:v>程序未检出确定性冲突；仍待语义复核</x:v>
      </x:c>
      <x:c r="H360" s="56" t="str">
        <x:v>待确认</x:v>
      </x:c>
      <x:c r="I360" s="56" t="str">
        <x:v>待确认</x:v>
      </x:c>
      <x:c r="J360" s="59" t="str">
        <x:v>待确认</x:v>
      </x:c>
      <x:c r="K360" s="56" t="str"/>
      <x:c r="L360" s="56" t="str"/>
      <x:c r="M360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61">
      <x:c r="A361" s="56" t="str">
        <x:v>P027</x:v>
      </x:c>
      <x:c r="B361" s="56" t="str">
        <x:v>HX-ADD-015</x:v>
      </x:c>
      <x:c r="C361" s="56" t="str">
        <x:v>allergyHistory</x:v>
      </x:c>
      <x:c r="D361" s="56" t="str">
        <x:v>{"status":"absent","patientAnswerZh":"我没有已知药物或食物过敏。","patientAnswerEn":"I have no known drug or food allergies.","provenance":"author_added_for_simulation","teacherReviewRequired":true}</x:v>
      </x:c>
      <x:c r="E361" s="56" t="str">
        <x:v>author_added_for_simulation</x:v>
      </x:c>
      <x:c r="F361" s="56" t="str">
        <x:v>是</x:v>
      </x:c>
      <x:c r="G361" s="56" t="str">
        <x:v>程序未检出确定性冲突；仍待语义复核</x:v>
      </x:c>
      <x:c r="H361" s="56" t="str">
        <x:v>待确认</x:v>
      </x:c>
      <x:c r="I361" s="56" t="str">
        <x:v>是</x:v>
      </x:c>
      <x:c r="J361" s="59" t="str">
        <x:v>待确认</x:v>
      </x:c>
      <x:c r="K361" s="56" t="str"/>
      <x:c r="L361" s="56" t="str"/>
      <x:c r="M361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62">
      <x:c r="A362" s="56" t="str">
        <x:v>P027</x:v>
      </x:c>
      <x:c r="B362" s="56" t="str">
        <x:v>HX-ADD-015</x:v>
      </x:c>
      <x:c r="C362" s="56" t="str">
        <x:v>anticoagulantUse</x:v>
      </x:c>
      <x:c r="D362" s="56" t="str">
        <x:v>{"status":"absent","patientAnswerZh":"我没有服用华法林、利伐沙班等抗凝药。","patientAnswerEn":"I do not take anticoagulants.","provenance":"author_added_for_simulation","teacherReviewRequired":true}</x:v>
      </x:c>
      <x:c r="E362" s="56" t="str">
        <x:v>author_added_for_simulation</x:v>
      </x:c>
      <x:c r="F362" s="56" t="str">
        <x:v>是</x:v>
      </x:c>
      <x:c r="G362" s="56" t="str">
        <x:v>程序未检出确定性冲突；仍待语义复核</x:v>
      </x:c>
      <x:c r="H362" s="56" t="str">
        <x:v>可能</x:v>
      </x:c>
      <x:c r="I362" s="56" t="str">
        <x:v>是</x:v>
      </x:c>
      <x:c r="J362" s="59" t="str">
        <x:v>待确认</x:v>
      </x:c>
      <x:c r="K362" s="56" t="str"/>
      <x:c r="L362" s="56" t="str"/>
      <x:c r="M362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63">
      <x:c r="A363" s="56" t="str">
        <x:v>P027</x:v>
      </x:c>
      <x:c r="B363" s="56" t="str">
        <x:v>HX-ADD-015</x:v>
      </x:c>
      <x:c r="C363" s="56" t="str">
        <x:v>antiplateletUse</x:v>
      </x:c>
      <x:c r="D363" s="56" t="str">
        <x:v>{"status":"absent","patientAnswerZh":"我没有服用阿司匹林或氯吡格雷。","patientAnswerEn":"I do not take antiplatelet medication.","provenance":"author_added_for_simulation","teacherReviewRequired":true}</x:v>
      </x:c>
      <x:c r="E363" s="56" t="str">
        <x:v>author_added_for_simulation</x:v>
      </x:c>
      <x:c r="F363" s="56" t="str">
        <x:v>是</x:v>
      </x:c>
      <x:c r="G363" s="56" t="str">
        <x:v>程序未检出确定性冲突；仍待语义复核</x:v>
      </x:c>
      <x:c r="H363" s="56" t="str">
        <x:v>可能</x:v>
      </x:c>
      <x:c r="I363" s="56" t="str">
        <x:v>是</x:v>
      </x:c>
      <x:c r="J363" s="59" t="str">
        <x:v>待确认</x:v>
      </x:c>
      <x:c r="K363" s="56" t="str"/>
      <x:c r="L363" s="56" t="str"/>
      <x:c r="M363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64">
      <x:c r="A364" s="56" t="str">
        <x:v>P027</x:v>
      </x:c>
      <x:c r="B364" s="56" t="str">
        <x:v>HX-ADD-015</x:v>
      </x:c>
      <x:c r="C364" s="56" t="str">
        <x:v>familyHistory</x:v>
      </x:c>
      <x:c r="D364" s="56" t="str">
        <x:v>{"status":"absent","patientAnswerZh":"家里没有人得过类似血尿或遗传性肾病。","patientAnswerEn":"No one in my family has had similar hematuria or hereditary kidney disease.","provenance":"author_added_for_simulation","teacherReviewRequired":true}</x:v>
      </x:c>
      <x:c r="E364" s="56" t="str">
        <x:v>author_added_for_simulation</x:v>
      </x:c>
      <x:c r="F364" s="56" t="str">
        <x:v>是</x:v>
      </x:c>
      <x:c r="G364" s="56" t="str">
        <x:v>程序未检出确定性冲突；仍待语义复核</x:v>
      </x:c>
      <x:c r="H364" s="56" t="str">
        <x:v>可能</x:v>
      </x:c>
      <x:c r="I364" s="56" t="str">
        <x:v>是</x:v>
      </x:c>
      <x:c r="J364" s="59" t="str">
        <x:v>待确认</x:v>
      </x:c>
      <x:c r="K364" s="56" t="str"/>
      <x:c r="L364" s="56" t="str"/>
      <x:c r="M364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65">
      <x:c r="A365" s="56" t="str">
        <x:v>P028</x:v>
      </x:c>
      <x:c r="B365" s="56" t="str">
        <x:v>HX-ADD-016</x:v>
      </x:c>
      <x:c r="C365" s="56" t="str">
        <x:v>alcoholHistory</x:v>
      </x:c>
      <x:c r="D365" s="56" t="str">
        <x:v>{"status":"never","type":"","amount":"0","frequency":"never","years":0,"patientAnswerZh":"我平时不喝酒。","patientAnswerEn":"I do not drink alcohol.","provenance":"author_added_for_simulation","teacherReviewRequired":true}</x:v>
      </x:c>
      <x:c r="E365" s="56" t="str">
        <x:v>author_added_for_simulation</x:v>
      </x:c>
      <x:c r="F365" s="56" t="str">
        <x:v>是</x:v>
      </x:c>
      <x:c r="G365" s="56" t="str">
        <x:v>程序未检出确定性冲突；仍待语义复核</x:v>
      </x:c>
      <x:c r="H365" s="56" t="str">
        <x:v>待确认</x:v>
      </x:c>
      <x:c r="I365" s="56" t="str">
        <x:v>待确认</x:v>
      </x:c>
      <x:c r="J365" s="59" t="str">
        <x:v>待确认</x:v>
      </x:c>
      <x:c r="K365" s="56" t="str"/>
      <x:c r="L365" s="56" t="str"/>
      <x:c r="M365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66">
      <x:c r="A366" s="56" t="str">
        <x:v>P028</x:v>
      </x:c>
      <x:c r="B366" s="56" t="str">
        <x:v>HX-ADD-016</x:v>
      </x:c>
      <x:c r="C366" s="56" t="str">
        <x:v>diabetes</x:v>
      </x:c>
      <x:c r="D366" s="56" t="str">
        <x:v>{"status":"absent","patientAnswerZh":"没有糖尿病。","patientAnswerEn":"I do not have diabetes.","provenance":"source","teacherReviewRequired":false}</x:v>
      </x:c>
      <x:c r="E366" s="56" t="str">
        <x:v>source</x:v>
      </x:c>
      <x:c r="F366" s="56" t="str">
        <x:v>是</x:v>
      </x:c>
      <x:c r="G366" s="56" t="str">
        <x:v>程序未检出确定性冲突；仍待语义复核</x:v>
      </x:c>
      <x:c r="H366" s="56" t="str">
        <x:v>待确认</x:v>
      </x:c>
      <x:c r="I366" s="56" t="str">
        <x:v>待确认</x:v>
      </x:c>
      <x:c r="J366" s="59" t="str">
        <x:v>待确认</x:v>
      </x:c>
      <x:c r="K366" s="56" t="str"/>
      <x:c r="L366" s="56" t="str"/>
      <x:c r="M366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67">
      <x:c r="A367" s="56" t="str">
        <x:v>P028</x:v>
      </x:c>
      <x:c r="B367" s="56" t="str">
        <x:v>HX-ADD-016</x:v>
      </x:c>
      <x:c r="C367" s="56" t="str">
        <x:v>coronaryDisease</x:v>
      </x:c>
      <x:c r="D367" s="56" t="str">
        <x:v>{"status":"absent","patientAnswerZh":"没有冠心病。","patientAnswerEn":"I do not have coronary heart disease.","provenance":"source","teacherReviewRequired":false}</x:v>
      </x:c>
      <x:c r="E367" s="56" t="str">
        <x:v>source</x:v>
      </x:c>
      <x:c r="F367" s="56" t="str">
        <x:v>是</x:v>
      </x:c>
      <x:c r="G367" s="56" t="str">
        <x:v>程序未检出确定性冲突；仍待语义复核</x:v>
      </x:c>
      <x:c r="H367" s="56" t="str">
        <x:v>待确认</x:v>
      </x:c>
      <x:c r="I367" s="56" t="str">
        <x:v>待确认</x:v>
      </x:c>
      <x:c r="J367" s="59" t="str">
        <x:v>待确认</x:v>
      </x:c>
      <x:c r="K367" s="56" t="str"/>
      <x:c r="L367" s="56" t="str"/>
      <x:c r="M367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68">
      <x:c r="A368" s="56" t="str">
        <x:v>P028</x:v>
      </x:c>
      <x:c r="B368" s="56" t="str">
        <x:v>HX-ADD-016</x:v>
      </x:c>
      <x:c r="C368" s="56" t="str">
        <x:v>stroke</x:v>
      </x:c>
      <x:c r="D368" s="56" t="str">
        <x:v>{"status":"absent","patientAnswerZh":"没有脑卒中。","patientAnswerEn":"I do not have stroke.","provenance":"source","teacherReviewRequired":false}</x:v>
      </x:c>
      <x:c r="E368" s="56" t="str">
        <x:v>source</x:v>
      </x:c>
      <x:c r="F368" s="56" t="str">
        <x:v>是</x:v>
      </x:c>
      <x:c r="G368" s="56" t="str">
        <x:v>程序未检出确定性冲突；仍待语义复核</x:v>
      </x:c>
      <x:c r="H368" s="56" t="str">
        <x:v>待确认</x:v>
      </x:c>
      <x:c r="I368" s="56" t="str">
        <x:v>待确认</x:v>
      </x:c>
      <x:c r="J368" s="59" t="str">
        <x:v>待确认</x:v>
      </x:c>
      <x:c r="K368" s="56" t="str"/>
      <x:c r="L368" s="56" t="str"/>
      <x:c r="M368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69">
      <x:c r="A369" s="56" t="str">
        <x:v>P028</x:v>
      </x:c>
      <x:c r="B369" s="56" t="str">
        <x:v>HX-ADD-016</x:v>
      </x:c>
      <x:c r="C369" s="56" t="str">
        <x:v>liverDisease</x:v>
      </x:c>
      <x:c r="D369" s="56" t="str">
        <x:v>{"status":"absent","patientAnswerZh":"没有肝病。","patientAnswerEn":"I do not have liver disease.","provenance":"source","teacherReviewRequired":false}</x:v>
      </x:c>
      <x:c r="E369" s="56" t="str">
        <x:v>source</x:v>
      </x:c>
      <x:c r="F369" s="56" t="str">
        <x:v>是</x:v>
      </x:c>
      <x:c r="G369" s="56" t="str">
        <x:v>程序未检出确定性冲突；仍待语义复核</x:v>
      </x:c>
      <x:c r="H369" s="56" t="str">
        <x:v>待确认</x:v>
      </x:c>
      <x:c r="I369" s="56" t="str">
        <x:v>待确认</x:v>
      </x:c>
      <x:c r="J369" s="59" t="str">
        <x:v>待确认</x:v>
      </x:c>
      <x:c r="K369" s="56" t="str"/>
      <x:c r="L369" s="56" t="str"/>
      <x:c r="M369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70">
      <x:c r="A370" s="56" t="str">
        <x:v>P028</x:v>
      </x:c>
      <x:c r="B370" s="56" t="str">
        <x:v>HX-ADD-016</x:v>
      </x:c>
      <x:c r="C370" s="56" t="str">
        <x:v>tuberculosis</x:v>
      </x:c>
      <x:c r="D370" s="56" t="str">
        <x:v>{"status":"absent","patientAnswerZh":"没有结核病。","patientAnswerEn":"I do not have tuberculosis.","provenance":"source","teacherReviewRequired":false}</x:v>
      </x:c>
      <x:c r="E370" s="56" t="str">
        <x:v>source</x:v>
      </x:c>
      <x:c r="F370" s="56" t="str">
        <x:v>是</x:v>
      </x:c>
      <x:c r="G370" s="56" t="str">
        <x:v>程序未检出确定性冲突；仍待语义复核</x:v>
      </x:c>
      <x:c r="H370" s="56" t="str">
        <x:v>待确认</x:v>
      </x:c>
      <x:c r="I370" s="56" t="str">
        <x:v>待确认</x:v>
      </x:c>
      <x:c r="J370" s="59" t="str">
        <x:v>待确认</x:v>
      </x:c>
      <x:c r="K370" s="56" t="str"/>
      <x:c r="L370" s="56" t="str"/>
      <x:c r="M370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71">
      <x:c r="A371" s="56" t="str">
        <x:v>P028</x:v>
      </x:c>
      <x:c r="B371" s="56" t="str">
        <x:v>HX-ADD-016</x:v>
      </x:c>
      <x:c r="C371" s="56" t="str">
        <x:v>urinaryProcedureHistory</x:v>
      </x:c>
      <x:c r="D371" s="56" t="str">
        <x:v>{"status":"absent","patientAnswerZh":"以前没有做过导尿、膀胱镜等泌尿操作。","patientAnswerEn":"I have not had catheterization, cystoscopy, or other urinary procedures.","provenance":"author_added_for_simulation","teacherReviewRequired":true}</x:v>
      </x:c>
      <x:c r="E371" s="56" t="str">
        <x:v>author_added_for_simulation</x:v>
      </x:c>
      <x:c r="F371" s="56" t="str">
        <x:v>是</x:v>
      </x:c>
      <x:c r="G371" s="56" t="str">
        <x:v>程序未检出确定性冲突；仍待语义复核</x:v>
      </x:c>
      <x:c r="H371" s="56" t="str">
        <x:v>待确认</x:v>
      </x:c>
      <x:c r="I371" s="56" t="str">
        <x:v>待确认</x:v>
      </x:c>
      <x:c r="J371" s="59" t="str">
        <x:v>待确认</x:v>
      </x:c>
      <x:c r="K371" s="56" t="str"/>
      <x:c r="L371" s="56" t="str"/>
      <x:c r="M371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72">
      <x:c r="A372" s="56" t="str">
        <x:v>P028</x:v>
      </x:c>
      <x:c r="B372" s="56" t="str">
        <x:v>HX-ADD-016</x:v>
      </x:c>
      <x:c r="C372" s="56" t="str">
        <x:v>surgeryHistory</x:v>
      </x:c>
      <x:c r="D372" s="56" t="str">
        <x:v>{"status":"absent","patientAnswerZh":"我以前没有做过手术。","patientAnswerEn":"I have never had surgery.","provenance":"author_added_for_simulation","teacherReviewRequired":true}</x:v>
      </x:c>
      <x:c r="E372" s="56" t="str">
        <x:v>author_added_for_simulation</x:v>
      </x:c>
      <x:c r="F372" s="56" t="str">
        <x:v>是</x:v>
      </x:c>
      <x:c r="G372" s="56" t="str">
        <x:v>程序未检出确定性冲突；仍待语义复核</x:v>
      </x:c>
      <x:c r="H372" s="56" t="str">
        <x:v>待确认</x:v>
      </x:c>
      <x:c r="I372" s="56" t="str">
        <x:v>是</x:v>
      </x:c>
      <x:c r="J372" s="59" t="str">
        <x:v>待确认</x:v>
      </x:c>
      <x:c r="K372" s="56" t="str"/>
      <x:c r="L372" s="56" t="str"/>
      <x:c r="M372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73">
      <x:c r="A373" s="56" t="str">
        <x:v>P028</x:v>
      </x:c>
      <x:c r="B373" s="56" t="str">
        <x:v>HX-ADD-016</x:v>
      </x:c>
      <x:c r="C373" s="56" t="str">
        <x:v>transfusionHistory</x:v>
      </x:c>
      <x:c r="D373" s="56" t="str">
        <x:v>{"status":"absent","patientAnswerZh":"我以前没有输过血。","patientAnswerEn":"I have never had a blood transfusion.","provenance":"author_added_for_simulation","teacherReviewRequired":true}</x:v>
      </x:c>
      <x:c r="E373" s="56" t="str">
        <x:v>author_added_for_simulation</x:v>
      </x:c>
      <x:c r="F373" s="56" t="str">
        <x:v>是</x:v>
      </x:c>
      <x:c r="G373" s="56" t="str">
        <x:v>程序未检出确定性冲突；仍待语义复核</x:v>
      </x:c>
      <x:c r="H373" s="56" t="str">
        <x:v>待确认</x:v>
      </x:c>
      <x:c r="I373" s="56" t="str">
        <x:v>待确认</x:v>
      </x:c>
      <x:c r="J373" s="59" t="str">
        <x:v>待确认</x:v>
      </x:c>
      <x:c r="K373" s="56" t="str"/>
      <x:c r="L373" s="56" t="str"/>
      <x:c r="M373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74">
      <x:c r="A374" s="56" t="str">
        <x:v>P028</x:v>
      </x:c>
      <x:c r="B374" s="56" t="str">
        <x:v>HX-ADD-016</x:v>
      </x:c>
      <x:c r="C374" s="56" t="str">
        <x:v>allergyHistory</x:v>
      </x:c>
      <x:c r="D374" s="56" t="str">
        <x:v>{"status":"absent","patientAnswerZh":"我没有已知药物或食物过敏。","patientAnswerEn":"I have no known drug or food allergies.","provenance":"author_added_for_simulation","teacherReviewRequired":true}</x:v>
      </x:c>
      <x:c r="E374" s="56" t="str">
        <x:v>author_added_for_simulation</x:v>
      </x:c>
      <x:c r="F374" s="56" t="str">
        <x:v>是</x:v>
      </x:c>
      <x:c r="G374" s="56" t="str">
        <x:v>程序未检出确定性冲突；仍待语义复核</x:v>
      </x:c>
      <x:c r="H374" s="56" t="str">
        <x:v>待确认</x:v>
      </x:c>
      <x:c r="I374" s="56" t="str">
        <x:v>是</x:v>
      </x:c>
      <x:c r="J374" s="59" t="str">
        <x:v>待确认</x:v>
      </x:c>
      <x:c r="K374" s="56" t="str"/>
      <x:c r="L374" s="56" t="str"/>
      <x:c r="M374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75">
      <x:c r="A375" s="56" t="str">
        <x:v>P028</x:v>
      </x:c>
      <x:c r="B375" s="56" t="str">
        <x:v>HX-ADD-016</x:v>
      </x:c>
      <x:c r="C375" s="56" t="str">
        <x:v>anticoagulantUse</x:v>
      </x:c>
      <x:c r="D375" s="56" t="str">
        <x:v>{"status":"absent","patientAnswerZh":"我没有服用华法林、利伐沙班等抗凝药。","patientAnswerEn":"I do not take anticoagulants.","provenance":"author_added_for_simulation","teacherReviewRequired":true}</x:v>
      </x:c>
      <x:c r="E375" s="56" t="str">
        <x:v>author_added_for_simulation</x:v>
      </x:c>
      <x:c r="F375" s="56" t="str">
        <x:v>是</x:v>
      </x:c>
      <x:c r="G375" s="56" t="str">
        <x:v>程序未检出确定性冲突；仍待语义复核</x:v>
      </x:c>
      <x:c r="H375" s="56" t="str">
        <x:v>可能</x:v>
      </x:c>
      <x:c r="I375" s="56" t="str">
        <x:v>是</x:v>
      </x:c>
      <x:c r="J375" s="59" t="str">
        <x:v>待确认</x:v>
      </x:c>
      <x:c r="K375" s="56" t="str"/>
      <x:c r="L375" s="56" t="str"/>
      <x:c r="M375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76">
      <x:c r="A376" s="56" t="str">
        <x:v>P028</x:v>
      </x:c>
      <x:c r="B376" s="56" t="str">
        <x:v>HX-ADD-016</x:v>
      </x:c>
      <x:c r="C376" s="56" t="str">
        <x:v>familyHistory</x:v>
      </x:c>
      <x:c r="D376" s="56" t="str">
        <x:v>{"status":"absent","patientAnswerZh":"家里没有人得过类似血尿或遗传性肾病。","patientAnswerEn":"No one in my family has had similar hematuria or hereditary kidney disease.","provenance":"author_added_for_simulation","teacherReviewRequired":true}</x:v>
      </x:c>
      <x:c r="E376" s="56" t="str">
        <x:v>author_added_for_simulation</x:v>
      </x:c>
      <x:c r="F376" s="56" t="str">
        <x:v>是</x:v>
      </x:c>
      <x:c r="G376" s="56" t="str">
        <x:v>程序未检出确定性冲突；仍待语义复核</x:v>
      </x:c>
      <x:c r="H376" s="56" t="str">
        <x:v>可能</x:v>
      </x:c>
      <x:c r="I376" s="56" t="str">
        <x:v>是</x:v>
      </x:c>
      <x:c r="J376" s="59" t="str">
        <x:v>待确认</x:v>
      </x:c>
      <x:c r="K376" s="56" t="str"/>
      <x:c r="L376" s="56" t="str"/>
      <x:c r="M376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77">
      <x:c r="A377" s="56" t="str">
        <x:v>P029</x:v>
      </x:c>
      <x:c r="B377" s="56" t="str">
        <x:v>HX-ADD-017</x:v>
      </x:c>
      <x:c r="C377" s="56" t="str">
        <x:v>alcoholHistory</x:v>
      </x:c>
      <x:c r="D377" s="56" t="str">
        <x:v>{"status":"never","type":"","amount":"0","frequency":"never","years":0,"patientAnswerZh":"我平时不喝酒。","patientAnswerEn":"I do not drink alcohol.","provenance":"author_added_for_simulation","teacherReviewRequired":true}</x:v>
      </x:c>
      <x:c r="E377" s="56" t="str">
        <x:v>author_added_for_simulation</x:v>
      </x:c>
      <x:c r="F377" s="56" t="str">
        <x:v>是</x:v>
      </x:c>
      <x:c r="G377" s="56" t="str">
        <x:v>程序未检出确定性冲突；仍待语义复核</x:v>
      </x:c>
      <x:c r="H377" s="56" t="str">
        <x:v>待确认</x:v>
      </x:c>
      <x:c r="I377" s="56" t="str">
        <x:v>待确认</x:v>
      </x:c>
      <x:c r="J377" s="59" t="str">
        <x:v>待确认</x:v>
      </x:c>
      <x:c r="K377" s="56" t="str"/>
      <x:c r="L377" s="56" t="str"/>
      <x:c r="M377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78">
      <x:c r="A378" s="56" t="str">
        <x:v>P029</x:v>
      </x:c>
      <x:c r="B378" s="56" t="str">
        <x:v>HX-ADD-017</x:v>
      </x:c>
      <x:c r="C378" s="56" t="str">
        <x:v>hypertension</x:v>
      </x:c>
      <x:c r="D378" s="56" t="str">
        <x:v>{"status":"absent","patientAnswerZh":"没有高血压。","patientAnswerEn":"I do not have hypertension.","provenance":"source","teacherReviewRequired":false}</x:v>
      </x:c>
      <x:c r="E378" s="56" t="str">
        <x:v>source</x:v>
      </x:c>
      <x:c r="F378" s="56" t="str">
        <x:v>是</x:v>
      </x:c>
      <x:c r="G378" s="56" t="str">
        <x:v>程序未检出确定性冲突；仍待语义复核</x:v>
      </x:c>
      <x:c r="H378" s="56" t="str">
        <x:v>待确认</x:v>
      </x:c>
      <x:c r="I378" s="56" t="str">
        <x:v>是</x:v>
      </x:c>
      <x:c r="J378" s="59" t="str">
        <x:v>待确认</x:v>
      </x:c>
      <x:c r="K378" s="56" t="str"/>
      <x:c r="L378" s="56" t="str"/>
      <x:c r="M378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79">
      <x:c r="A379" s="56" t="str">
        <x:v>P029</x:v>
      </x:c>
      <x:c r="B379" s="56" t="str">
        <x:v>HX-ADD-017</x:v>
      </x:c>
      <x:c r="C379" s="56" t="str">
        <x:v>diabetes</x:v>
      </x:c>
      <x:c r="D379" s="56" t="str">
        <x:v>{"status":"absent","patientAnswerZh":"没有糖尿病。","patientAnswerEn":"I do not have diabetes.","provenance":"source","teacherReviewRequired":false}</x:v>
      </x:c>
      <x:c r="E379" s="56" t="str">
        <x:v>source</x:v>
      </x:c>
      <x:c r="F379" s="56" t="str">
        <x:v>是</x:v>
      </x:c>
      <x:c r="G379" s="56" t="str">
        <x:v>程序未检出确定性冲突；仍待语义复核</x:v>
      </x:c>
      <x:c r="H379" s="56" t="str">
        <x:v>待确认</x:v>
      </x:c>
      <x:c r="I379" s="56" t="str">
        <x:v>待确认</x:v>
      </x:c>
      <x:c r="J379" s="59" t="str">
        <x:v>待确认</x:v>
      </x:c>
      <x:c r="K379" s="56" t="str"/>
      <x:c r="L379" s="56" t="str"/>
      <x:c r="M379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80">
      <x:c r="A380" s="56" t="str">
        <x:v>P029</x:v>
      </x:c>
      <x:c r="B380" s="56" t="str">
        <x:v>HX-ADD-017</x:v>
      </x:c>
      <x:c r="C380" s="56" t="str">
        <x:v>stroke</x:v>
      </x:c>
      <x:c r="D380" s="56" t="str">
        <x:v>{"status":"absent","patientAnswerZh":"没有脑卒中。","patientAnswerEn":"I do not have stroke.","provenance":"source","teacherReviewRequired":false}</x:v>
      </x:c>
      <x:c r="E380" s="56" t="str">
        <x:v>source</x:v>
      </x:c>
      <x:c r="F380" s="56" t="str">
        <x:v>是</x:v>
      </x:c>
      <x:c r="G380" s="56" t="str">
        <x:v>程序未检出确定性冲突；仍待语义复核</x:v>
      </x:c>
      <x:c r="H380" s="56" t="str">
        <x:v>待确认</x:v>
      </x:c>
      <x:c r="I380" s="56" t="str">
        <x:v>待确认</x:v>
      </x:c>
      <x:c r="J380" s="59" t="str">
        <x:v>待确认</x:v>
      </x:c>
      <x:c r="K380" s="56" t="str"/>
      <x:c r="L380" s="56" t="str"/>
      <x:c r="M380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81">
      <x:c r="A381" s="56" t="str">
        <x:v>P029</x:v>
      </x:c>
      <x:c r="B381" s="56" t="str">
        <x:v>HX-ADD-017</x:v>
      </x:c>
      <x:c r="C381" s="56" t="str">
        <x:v>liverDisease</x:v>
      </x:c>
      <x:c r="D381" s="56" t="str">
        <x:v>{"status":"absent","patientAnswerZh":"没有肝病。","patientAnswerEn":"I do not have liver disease.","provenance":"source","teacherReviewRequired":false}</x:v>
      </x:c>
      <x:c r="E381" s="56" t="str">
        <x:v>source</x:v>
      </x:c>
      <x:c r="F381" s="56" t="str">
        <x:v>是</x:v>
      </x:c>
      <x:c r="G381" s="56" t="str">
        <x:v>程序未检出确定性冲突；仍待语义复核</x:v>
      </x:c>
      <x:c r="H381" s="56" t="str">
        <x:v>待确认</x:v>
      </x:c>
      <x:c r="I381" s="56" t="str">
        <x:v>待确认</x:v>
      </x:c>
      <x:c r="J381" s="59" t="str">
        <x:v>待确认</x:v>
      </x:c>
      <x:c r="K381" s="56" t="str"/>
      <x:c r="L381" s="56" t="str"/>
      <x:c r="M381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82">
      <x:c r="A382" s="56" t="str">
        <x:v>P029</x:v>
      </x:c>
      <x:c r="B382" s="56" t="str">
        <x:v>HX-ADD-017</x:v>
      </x:c>
      <x:c r="C382" s="56" t="str">
        <x:v>tuberculosis</x:v>
      </x:c>
      <x:c r="D382" s="56" t="str">
        <x:v>{"status":"absent","patientAnswerZh":"没有结核病。","patientAnswerEn":"I do not have tuberculosis.","provenance":"source","teacherReviewRequired":false}</x:v>
      </x:c>
      <x:c r="E382" s="56" t="str">
        <x:v>source</x:v>
      </x:c>
      <x:c r="F382" s="56" t="str">
        <x:v>是</x:v>
      </x:c>
      <x:c r="G382" s="56" t="str">
        <x:v>程序未检出确定性冲突；仍待语义复核</x:v>
      </x:c>
      <x:c r="H382" s="56" t="str">
        <x:v>待确认</x:v>
      </x:c>
      <x:c r="I382" s="56" t="str">
        <x:v>待确认</x:v>
      </x:c>
      <x:c r="J382" s="59" t="str">
        <x:v>待确认</x:v>
      </x:c>
      <x:c r="K382" s="56" t="str"/>
      <x:c r="L382" s="56" t="str"/>
      <x:c r="M382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83">
      <x:c r="A383" s="56" t="str">
        <x:v>P029</x:v>
      </x:c>
      <x:c r="B383" s="56" t="str">
        <x:v>HX-ADD-017</x:v>
      </x:c>
      <x:c r="C383" s="56" t="str">
        <x:v>surgeryHistory</x:v>
      </x:c>
      <x:c r="D383" s="56" t="str">
        <x:v>{"status":"absent","patientAnswerZh":"我以前没有做过手术。","patientAnswerEn":"I have never had surgery.","provenance":"author_added_for_simulation","teacherReviewRequired":true}</x:v>
      </x:c>
      <x:c r="E383" s="56" t="str">
        <x:v>author_added_for_simulation</x:v>
      </x:c>
      <x:c r="F383" s="56" t="str">
        <x:v>是</x:v>
      </x:c>
      <x:c r="G383" s="56" t="str">
        <x:v>程序未检出确定性冲突；仍待语义复核</x:v>
      </x:c>
      <x:c r="H383" s="56" t="str">
        <x:v>待确认</x:v>
      </x:c>
      <x:c r="I383" s="56" t="str">
        <x:v>是</x:v>
      </x:c>
      <x:c r="J383" s="59" t="str">
        <x:v>待确认</x:v>
      </x:c>
      <x:c r="K383" s="56" t="str"/>
      <x:c r="L383" s="56" t="str"/>
      <x:c r="M383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84">
      <x:c r="A384" s="56" t="str">
        <x:v>P029</x:v>
      </x:c>
      <x:c r="B384" s="56" t="str">
        <x:v>HX-ADD-017</x:v>
      </x:c>
      <x:c r="C384" s="56" t="str">
        <x:v>transfusionHistory</x:v>
      </x:c>
      <x:c r="D384" s="56" t="str">
        <x:v>{"status":"absent","patientAnswerZh":"我以前没有输过血。","patientAnswerEn":"I have never had a blood transfusion.","provenance":"author_added_for_simulation","teacherReviewRequired":true}</x:v>
      </x:c>
      <x:c r="E384" s="56" t="str">
        <x:v>author_added_for_simulation</x:v>
      </x:c>
      <x:c r="F384" s="56" t="str">
        <x:v>是</x:v>
      </x:c>
      <x:c r="G384" s="56" t="str">
        <x:v>程序未检出确定性冲突；仍待语义复核</x:v>
      </x:c>
      <x:c r="H384" s="56" t="str">
        <x:v>待确认</x:v>
      </x:c>
      <x:c r="I384" s="56" t="str">
        <x:v>待确认</x:v>
      </x:c>
      <x:c r="J384" s="59" t="str">
        <x:v>待确认</x:v>
      </x:c>
      <x:c r="K384" s="56" t="str"/>
      <x:c r="L384" s="56" t="str"/>
      <x:c r="M384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85">
      <x:c r="A385" s="56" t="str">
        <x:v>P029</x:v>
      </x:c>
      <x:c r="B385" s="56" t="str">
        <x:v>HX-ADD-017</x:v>
      </x:c>
      <x:c r="C385" s="56" t="str">
        <x:v>allergyHistory</x:v>
      </x:c>
      <x:c r="D385" s="56" t="str">
        <x:v>{"status":"absent","patientAnswerZh":"我没有已知药物或食物过敏。","patientAnswerEn":"I have no known drug or food allergies.","provenance":"author_added_for_simulation","teacherReviewRequired":true}</x:v>
      </x:c>
      <x:c r="E385" s="56" t="str">
        <x:v>author_added_for_simulation</x:v>
      </x:c>
      <x:c r="F385" s="56" t="str">
        <x:v>是</x:v>
      </x:c>
      <x:c r="G385" s="56" t="str">
        <x:v>程序未检出确定性冲突；仍待语义复核</x:v>
      </x:c>
      <x:c r="H385" s="56" t="str">
        <x:v>待确认</x:v>
      </x:c>
      <x:c r="I385" s="56" t="str">
        <x:v>是</x:v>
      </x:c>
      <x:c r="J385" s="59" t="str">
        <x:v>待确认</x:v>
      </x:c>
      <x:c r="K385" s="56" t="str"/>
      <x:c r="L385" s="56" t="str"/>
      <x:c r="M385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86">
      <x:c r="A386" s="56" t="str">
        <x:v>P029</x:v>
      </x:c>
      <x:c r="B386" s="56" t="str">
        <x:v>HX-ADD-017</x:v>
      </x:c>
      <x:c r="C386" s="56" t="str">
        <x:v>anticoagulantUse</x:v>
      </x:c>
      <x:c r="D386" s="56" t="str">
        <x:v>{"status":"present","patientAnswerZh":"我在服用华法林、利伐沙班。","patientAnswerEn":"I take an anticoagulant.","provenance":"source","teacherReviewRequired":false}</x:v>
      </x:c>
      <x:c r="E386" s="56" t="str">
        <x:v>source</x:v>
      </x:c>
      <x:c r="F386" s="56" t="str">
        <x:v>是</x:v>
      </x:c>
      <x:c r="G386" s="56" t="str">
        <x:v>程序未检出确定性冲突；仍待语义复核</x:v>
      </x:c>
      <x:c r="H386" s="56" t="str">
        <x:v>可能</x:v>
      </x:c>
      <x:c r="I386" s="56" t="str">
        <x:v>是</x:v>
      </x:c>
      <x:c r="J386" s="59" t="str">
        <x:v>待确认</x:v>
      </x:c>
      <x:c r="K386" s="56" t="str"/>
      <x:c r="L386" s="56" t="str"/>
      <x:c r="M386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87">
      <x:c r="A387" s="56" t="str">
        <x:v>P029</x:v>
      </x:c>
      <x:c r="B387" s="56" t="str">
        <x:v>HX-ADD-017</x:v>
      </x:c>
      <x:c r="C387" s="56" t="str">
        <x:v>familyHistory</x:v>
      </x:c>
      <x:c r="D387" s="56" t="str">
        <x:v>{"status":"absent","patientAnswerZh":"家里没有人得过类似血尿或遗传性肾病。","patientAnswerEn":"No one in my family has had similar hematuria or hereditary kidney disease.","provenance":"author_added_for_simulation","teacherReviewRequired":true}</x:v>
      </x:c>
      <x:c r="E387" s="56" t="str">
        <x:v>author_added_for_simulation</x:v>
      </x:c>
      <x:c r="F387" s="56" t="str">
        <x:v>是</x:v>
      </x:c>
      <x:c r="G387" s="56" t="str">
        <x:v>程序未检出确定性冲突；仍待语义复核</x:v>
      </x:c>
      <x:c r="H387" s="56" t="str">
        <x:v>可能</x:v>
      </x:c>
      <x:c r="I387" s="56" t="str">
        <x:v>是</x:v>
      </x:c>
      <x:c r="J387" s="59" t="str">
        <x:v>待确认</x:v>
      </x:c>
      <x:c r="K387" s="56" t="str"/>
      <x:c r="L387" s="56" t="str"/>
      <x:c r="M387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88">
      <x:c r="A388" s="56" t="str">
        <x:v>P030</x:v>
      </x:c>
      <x:c r="B388" s="56" t="str">
        <x:v>HX-ADD-018</x:v>
      </x:c>
      <x:c r="C388" s="56" t="str">
        <x:v>alcoholHistory</x:v>
      </x:c>
      <x:c r="D388" s="56" t="str">
        <x:v>{"status":"never","type":"","amount":"0","frequency":"never","years":0,"patientAnswerZh":"我平时不喝酒。","patientAnswerEn":"I do not drink alcohol.","provenance":"author_added_for_simulation","teacherReviewRequired":true}</x:v>
      </x:c>
      <x:c r="E388" s="56" t="str">
        <x:v>author_added_for_simulation</x:v>
      </x:c>
      <x:c r="F388" s="56" t="str">
        <x:v>是</x:v>
      </x:c>
      <x:c r="G388" s="56" t="str">
        <x:v>程序未检出确定性冲突；仍待语义复核</x:v>
      </x:c>
      <x:c r="H388" s="56" t="str">
        <x:v>待确认</x:v>
      </x:c>
      <x:c r="I388" s="56" t="str">
        <x:v>待确认</x:v>
      </x:c>
      <x:c r="J388" s="59" t="str">
        <x:v>待确认</x:v>
      </x:c>
      <x:c r="K388" s="56" t="str"/>
      <x:c r="L388" s="56" t="str"/>
      <x:c r="M388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89">
      <x:c r="A389" s="56" t="str">
        <x:v>P030</x:v>
      </x:c>
      <x:c r="B389" s="56" t="str">
        <x:v>HX-ADD-018</x:v>
      </x:c>
      <x:c r="C389" s="56" t="str">
        <x:v>diabetes</x:v>
      </x:c>
      <x:c r="D389" s="56" t="str">
        <x:v>{"status":"absent","patientAnswerZh":"没有糖尿病。","patientAnswerEn":"I do not have diabetes.","provenance":"source","teacherReviewRequired":false}</x:v>
      </x:c>
      <x:c r="E389" s="56" t="str">
        <x:v>source</x:v>
      </x:c>
      <x:c r="F389" s="56" t="str">
        <x:v>是</x:v>
      </x:c>
      <x:c r="G389" s="56" t="str">
        <x:v>程序未检出确定性冲突；仍待语义复核</x:v>
      </x:c>
      <x:c r="H389" s="56" t="str">
        <x:v>待确认</x:v>
      </x:c>
      <x:c r="I389" s="56" t="str">
        <x:v>待确认</x:v>
      </x:c>
      <x:c r="J389" s="59" t="str">
        <x:v>待确认</x:v>
      </x:c>
      <x:c r="K389" s="56" t="str"/>
      <x:c r="L389" s="56" t="str"/>
      <x:c r="M389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90">
      <x:c r="A390" s="56" t="str">
        <x:v>P030</x:v>
      </x:c>
      <x:c r="B390" s="56" t="str">
        <x:v>HX-ADD-018</x:v>
      </x:c>
      <x:c r="C390" s="56" t="str">
        <x:v>coronaryDisease</x:v>
      </x:c>
      <x:c r="D390" s="56" t="str">
        <x:v>{"status":"absent","patientAnswerZh":"没有冠心病。","patientAnswerEn":"I do not have coronary heart disease.","provenance":"source","teacherReviewRequired":false}</x:v>
      </x:c>
      <x:c r="E390" s="56" t="str">
        <x:v>source</x:v>
      </x:c>
      <x:c r="F390" s="56" t="str">
        <x:v>是</x:v>
      </x:c>
      <x:c r="G390" s="56" t="str">
        <x:v>程序未检出确定性冲突；仍待语义复核</x:v>
      </x:c>
      <x:c r="H390" s="56" t="str">
        <x:v>待确认</x:v>
      </x:c>
      <x:c r="I390" s="56" t="str">
        <x:v>待确认</x:v>
      </x:c>
      <x:c r="J390" s="59" t="str">
        <x:v>待确认</x:v>
      </x:c>
      <x:c r="K390" s="56" t="str"/>
      <x:c r="L390" s="56" t="str"/>
      <x:c r="M390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91">
      <x:c r="A391" s="56" t="str">
        <x:v>P030</x:v>
      </x:c>
      <x:c r="B391" s="56" t="str">
        <x:v>HX-ADD-018</x:v>
      </x:c>
      <x:c r="C391" s="56" t="str">
        <x:v>stroke</x:v>
      </x:c>
      <x:c r="D391" s="56" t="str">
        <x:v>{"status":"absent","patientAnswerZh":"没有脑卒中。","patientAnswerEn":"I do not have stroke.","provenance":"source","teacherReviewRequired":false}</x:v>
      </x:c>
      <x:c r="E391" s="56" t="str">
        <x:v>source</x:v>
      </x:c>
      <x:c r="F391" s="56" t="str">
        <x:v>是</x:v>
      </x:c>
      <x:c r="G391" s="56" t="str">
        <x:v>程序未检出确定性冲突；仍待语义复核</x:v>
      </x:c>
      <x:c r="H391" s="56" t="str">
        <x:v>待确认</x:v>
      </x:c>
      <x:c r="I391" s="56" t="str">
        <x:v>待确认</x:v>
      </x:c>
      <x:c r="J391" s="59" t="str">
        <x:v>待确认</x:v>
      </x:c>
      <x:c r="K391" s="56" t="str"/>
      <x:c r="L391" s="56" t="str"/>
      <x:c r="M391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92">
      <x:c r="A392" s="56" t="str">
        <x:v>P030</x:v>
      </x:c>
      <x:c r="B392" s="56" t="str">
        <x:v>HX-ADD-018</x:v>
      </x:c>
      <x:c r="C392" s="56" t="str">
        <x:v>liverDisease</x:v>
      </x:c>
      <x:c r="D392" s="56" t="str">
        <x:v>{"status":"absent","patientAnswerZh":"没有肝病。","patientAnswerEn":"I do not have liver disease.","provenance":"source","teacherReviewRequired":false}</x:v>
      </x:c>
      <x:c r="E392" s="56" t="str">
        <x:v>source</x:v>
      </x:c>
      <x:c r="F392" s="56" t="str">
        <x:v>是</x:v>
      </x:c>
      <x:c r="G392" s="56" t="str">
        <x:v>程序未检出确定性冲突；仍待语义复核</x:v>
      </x:c>
      <x:c r="H392" s="56" t="str">
        <x:v>待确认</x:v>
      </x:c>
      <x:c r="I392" s="56" t="str">
        <x:v>待确认</x:v>
      </x:c>
      <x:c r="J392" s="59" t="str">
        <x:v>待确认</x:v>
      </x:c>
      <x:c r="K392" s="56" t="str"/>
      <x:c r="L392" s="56" t="str"/>
      <x:c r="M392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93">
      <x:c r="A393" s="56" t="str">
        <x:v>P030</x:v>
      </x:c>
      <x:c r="B393" s="56" t="str">
        <x:v>HX-ADD-018</x:v>
      </x:c>
      <x:c r="C393" s="56" t="str">
        <x:v>tuberculosis</x:v>
      </x:c>
      <x:c r="D393" s="56" t="str">
        <x:v>{"status":"absent","patientAnswerZh":"没有结核病。","patientAnswerEn":"I do not have tuberculosis.","provenance":"source","teacherReviewRequired":false}</x:v>
      </x:c>
      <x:c r="E393" s="56" t="str">
        <x:v>source</x:v>
      </x:c>
      <x:c r="F393" s="56" t="str">
        <x:v>是</x:v>
      </x:c>
      <x:c r="G393" s="56" t="str">
        <x:v>程序未检出确定性冲突；仍待语义复核</x:v>
      </x:c>
      <x:c r="H393" s="56" t="str">
        <x:v>待确认</x:v>
      </x:c>
      <x:c r="I393" s="56" t="str">
        <x:v>待确认</x:v>
      </x:c>
      <x:c r="J393" s="59" t="str">
        <x:v>待确认</x:v>
      </x:c>
      <x:c r="K393" s="56" t="str"/>
      <x:c r="L393" s="56" t="str"/>
      <x:c r="M393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94">
      <x:c r="A394" s="56" t="str">
        <x:v>P030</x:v>
      </x:c>
      <x:c r="B394" s="56" t="str">
        <x:v>HX-ADD-018</x:v>
      </x:c>
      <x:c r="C394" s="56" t="str">
        <x:v>urinaryProcedureHistory</x:v>
      </x:c>
      <x:c r="D394" s="56" t="str">
        <x:v>{"status":"absent","patientAnswerZh":"以前没有做过导尿、膀胱镜等泌尿操作。","patientAnswerEn":"I have not had catheterization, cystoscopy, or other urinary procedures.","provenance":"author_added_for_simulation","teacherReviewRequired":true}</x:v>
      </x:c>
      <x:c r="E394" s="56" t="str">
        <x:v>author_added_for_simulation</x:v>
      </x:c>
      <x:c r="F394" s="56" t="str">
        <x:v>是</x:v>
      </x:c>
      <x:c r="G394" s="56" t="str">
        <x:v>程序未检出确定性冲突；仍待语义复核</x:v>
      </x:c>
      <x:c r="H394" s="56" t="str">
        <x:v>待确认</x:v>
      </x:c>
      <x:c r="I394" s="56" t="str">
        <x:v>待确认</x:v>
      </x:c>
      <x:c r="J394" s="59" t="str">
        <x:v>待确认</x:v>
      </x:c>
      <x:c r="K394" s="56" t="str"/>
      <x:c r="L394" s="56" t="str"/>
      <x:c r="M394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95">
      <x:c r="A395" s="56" t="str">
        <x:v>P030</x:v>
      </x:c>
      <x:c r="B395" s="56" t="str">
        <x:v>HX-ADD-018</x:v>
      </x:c>
      <x:c r="C395" s="56" t="str">
        <x:v>surgeryHistory</x:v>
      </x:c>
      <x:c r="D395" s="56" t="str">
        <x:v>{"status":"absent","patientAnswerZh":"我以前没有做过手术。","patientAnswerEn":"I have never had surgery.","provenance":"author_added_for_simulation","teacherReviewRequired":true}</x:v>
      </x:c>
      <x:c r="E395" s="56" t="str">
        <x:v>author_added_for_simulation</x:v>
      </x:c>
      <x:c r="F395" s="56" t="str">
        <x:v>是</x:v>
      </x:c>
      <x:c r="G395" s="56" t="str">
        <x:v>程序未检出确定性冲突；仍待语义复核</x:v>
      </x:c>
      <x:c r="H395" s="56" t="str">
        <x:v>待确认</x:v>
      </x:c>
      <x:c r="I395" s="56" t="str">
        <x:v>是</x:v>
      </x:c>
      <x:c r="J395" s="59" t="str">
        <x:v>待确认</x:v>
      </x:c>
      <x:c r="K395" s="56" t="str"/>
      <x:c r="L395" s="56" t="str"/>
      <x:c r="M395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96">
      <x:c r="A396" s="56" t="str">
        <x:v>P030</x:v>
      </x:c>
      <x:c r="B396" s="56" t="str">
        <x:v>HX-ADD-018</x:v>
      </x:c>
      <x:c r="C396" s="56" t="str">
        <x:v>transfusionHistory</x:v>
      </x:c>
      <x:c r="D396" s="56" t="str">
        <x:v>{"status":"absent","patientAnswerZh":"我以前没有输过血。","patientAnswerEn":"I have never had a blood transfusion.","provenance":"author_added_for_simulation","teacherReviewRequired":true}</x:v>
      </x:c>
      <x:c r="E396" s="56" t="str">
        <x:v>author_added_for_simulation</x:v>
      </x:c>
      <x:c r="F396" s="56" t="str">
        <x:v>是</x:v>
      </x:c>
      <x:c r="G396" s="56" t="str">
        <x:v>程序未检出确定性冲突；仍待语义复核</x:v>
      </x:c>
      <x:c r="H396" s="56" t="str">
        <x:v>待确认</x:v>
      </x:c>
      <x:c r="I396" s="56" t="str">
        <x:v>待确认</x:v>
      </x:c>
      <x:c r="J396" s="59" t="str">
        <x:v>待确认</x:v>
      </x:c>
      <x:c r="K396" s="56" t="str"/>
      <x:c r="L396" s="56" t="str"/>
      <x:c r="M396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97">
      <x:c r="A397" s="56" t="str">
        <x:v>P030</x:v>
      </x:c>
      <x:c r="B397" s="56" t="str">
        <x:v>HX-ADD-018</x:v>
      </x:c>
      <x:c r="C397" s="56" t="str">
        <x:v>allergyHistory</x:v>
      </x:c>
      <x:c r="D397" s="56" t="str">
        <x:v>{"status":"absent","patientAnswerZh":"我没有已知药物或食物过敏。","patientAnswerEn":"I have no known drug or food allergies.","provenance":"author_added_for_simulation","teacherReviewRequired":true}</x:v>
      </x:c>
      <x:c r="E397" s="56" t="str">
        <x:v>author_added_for_simulation</x:v>
      </x:c>
      <x:c r="F397" s="56" t="str">
        <x:v>是</x:v>
      </x:c>
      <x:c r="G397" s="56" t="str">
        <x:v>程序未检出确定性冲突；仍待语义复核</x:v>
      </x:c>
      <x:c r="H397" s="56" t="str">
        <x:v>待确认</x:v>
      </x:c>
      <x:c r="I397" s="56" t="str">
        <x:v>是</x:v>
      </x:c>
      <x:c r="J397" s="59" t="str">
        <x:v>待确认</x:v>
      </x:c>
      <x:c r="K397" s="56" t="str"/>
      <x:c r="L397" s="56" t="str"/>
      <x:c r="M397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98">
      <x:c r="A398" s="56" t="str">
        <x:v>P030</x:v>
      </x:c>
      <x:c r="B398" s="56" t="str">
        <x:v>HX-ADD-018</x:v>
      </x:c>
      <x:c r="C398" s="56" t="str">
        <x:v>anticoagulantUse</x:v>
      </x:c>
      <x:c r="D398" s="56" t="str">
        <x:v>{"status":"absent","patientAnswerZh":"我没有服用华法林、利伐沙班等抗凝药。","patientAnswerEn":"I do not take anticoagulants.","provenance":"author_added_for_simulation","teacherReviewRequired":true}</x:v>
      </x:c>
      <x:c r="E398" s="56" t="str">
        <x:v>author_added_for_simulation</x:v>
      </x:c>
      <x:c r="F398" s="56" t="str">
        <x:v>是</x:v>
      </x:c>
      <x:c r="G398" s="56" t="str">
        <x:v>程序未检出确定性冲突；仍待语义复核</x:v>
      </x:c>
      <x:c r="H398" s="56" t="str">
        <x:v>可能</x:v>
      </x:c>
      <x:c r="I398" s="56" t="str">
        <x:v>是</x:v>
      </x:c>
      <x:c r="J398" s="59" t="str">
        <x:v>待确认</x:v>
      </x:c>
      <x:c r="K398" s="56" t="str"/>
      <x:c r="L398" s="56" t="str"/>
      <x:c r="M398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399">
      <x:c r="A399" s="56" t="str">
        <x:v>P030</x:v>
      </x:c>
      <x:c r="B399" s="56" t="str">
        <x:v>HX-ADD-018</x:v>
      </x:c>
      <x:c r="C399" s="56" t="str">
        <x:v>antiplateletUse</x:v>
      </x:c>
      <x:c r="D399" s="56" t="str">
        <x:v>{"status":"absent","patientAnswerZh":"我没有服用阿司匹林或氯吡格雷。","patientAnswerEn":"I do not take antiplatelet medication.","provenance":"author_added_for_simulation","teacherReviewRequired":true}</x:v>
      </x:c>
      <x:c r="E399" s="56" t="str">
        <x:v>author_added_for_simulation</x:v>
      </x:c>
      <x:c r="F399" s="56" t="str">
        <x:v>是</x:v>
      </x:c>
      <x:c r="G399" s="56" t="str">
        <x:v>程序未检出确定性冲突；仍待语义复核</x:v>
      </x:c>
      <x:c r="H399" s="56" t="str">
        <x:v>可能</x:v>
      </x:c>
      <x:c r="I399" s="56" t="str">
        <x:v>是</x:v>
      </x:c>
      <x:c r="J399" s="59" t="str">
        <x:v>待确认</x:v>
      </x:c>
      <x:c r="K399" s="56" t="str"/>
      <x:c r="L399" s="56" t="str"/>
      <x:c r="M399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00">
      <x:c r="A400" s="56" t="str">
        <x:v>P031</x:v>
      </x:c>
      <x:c r="B400" s="56" t="str">
        <x:v>HX-ADD-019</x:v>
      </x:c>
      <x:c r="C400" s="56" t="str">
        <x:v>alcoholHistory</x:v>
      </x:c>
      <x:c r="D400" s="56" t="str">
        <x:v>{"status":"never","type":"","amount":"0","frequency":"never","years":0,"patientAnswerZh":"我平时不喝酒。","patientAnswerEn":"I do not drink alcohol.","provenance":"author_added_for_simulation","teacherReviewRequired":true}</x:v>
      </x:c>
      <x:c r="E400" s="56" t="str">
        <x:v>author_added_for_simulation</x:v>
      </x:c>
      <x:c r="F400" s="56" t="str">
        <x:v>是</x:v>
      </x:c>
      <x:c r="G400" s="56" t="str">
        <x:v>程序未检出确定性冲突；仍待语义复核</x:v>
      </x:c>
      <x:c r="H400" s="56" t="str">
        <x:v>待确认</x:v>
      </x:c>
      <x:c r="I400" s="56" t="str">
        <x:v>待确认</x:v>
      </x:c>
      <x:c r="J400" s="59" t="str">
        <x:v>待确认</x:v>
      </x:c>
      <x:c r="K400" s="56" t="str"/>
      <x:c r="L400" s="56" t="str"/>
      <x:c r="M400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01">
      <x:c r="A401" s="56" t="str">
        <x:v>P031</x:v>
      </x:c>
      <x:c r="B401" s="56" t="str">
        <x:v>HX-ADD-019</x:v>
      </x:c>
      <x:c r="C401" s="56" t="str">
        <x:v>hypertension</x:v>
      </x:c>
      <x:c r="D401" s="56" t="str">
        <x:v>{"status":"absent","patientAnswerZh":"没有高血压。","patientAnswerEn":"I do not have hypertension.","provenance":"source","teacherReviewRequired":false}</x:v>
      </x:c>
      <x:c r="E401" s="56" t="str">
        <x:v>source</x:v>
      </x:c>
      <x:c r="F401" s="56" t="str">
        <x:v>是</x:v>
      </x:c>
      <x:c r="G401" s="56" t="str">
        <x:v>程序未检出确定性冲突；仍待语义复核</x:v>
      </x:c>
      <x:c r="H401" s="56" t="str">
        <x:v>待确认</x:v>
      </x:c>
      <x:c r="I401" s="56" t="str">
        <x:v>是</x:v>
      </x:c>
      <x:c r="J401" s="59" t="str">
        <x:v>待确认</x:v>
      </x:c>
      <x:c r="K401" s="56" t="str"/>
      <x:c r="L401" s="56" t="str"/>
      <x:c r="M401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02">
      <x:c r="A402" s="56" t="str">
        <x:v>P031</x:v>
      </x:c>
      <x:c r="B402" s="56" t="str">
        <x:v>HX-ADD-019</x:v>
      </x:c>
      <x:c r="C402" s="56" t="str">
        <x:v>diabetes</x:v>
      </x:c>
      <x:c r="D402" s="56" t="str">
        <x:v>{"status":"absent","patientAnswerZh":"没有糖尿病。","patientAnswerEn":"I do not have diabetes.","provenance":"source","teacherReviewRequired":false}</x:v>
      </x:c>
      <x:c r="E402" s="56" t="str">
        <x:v>source</x:v>
      </x:c>
      <x:c r="F402" s="56" t="str">
        <x:v>是</x:v>
      </x:c>
      <x:c r="G402" s="56" t="str">
        <x:v>程序未检出确定性冲突；仍待语义复核</x:v>
      </x:c>
      <x:c r="H402" s="56" t="str">
        <x:v>待确认</x:v>
      </x:c>
      <x:c r="I402" s="56" t="str">
        <x:v>待确认</x:v>
      </x:c>
      <x:c r="J402" s="59" t="str">
        <x:v>待确认</x:v>
      </x:c>
      <x:c r="K402" s="56" t="str"/>
      <x:c r="L402" s="56" t="str"/>
      <x:c r="M402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03">
      <x:c r="A403" s="56" t="str">
        <x:v>P031</x:v>
      </x:c>
      <x:c r="B403" s="56" t="str">
        <x:v>HX-ADD-019</x:v>
      </x:c>
      <x:c r="C403" s="56" t="str">
        <x:v>coronaryDisease</x:v>
      </x:c>
      <x:c r="D403" s="56" t="str">
        <x:v>{"status":"absent","patientAnswerZh":"没有冠心病。","patientAnswerEn":"I do not have coronary heart disease.","provenance":"author_added_for_simulation","teacherReviewRequired":true}</x:v>
      </x:c>
      <x:c r="E403" s="56" t="str">
        <x:v>author_added_for_simulation</x:v>
      </x:c>
      <x:c r="F403" s="56" t="str">
        <x:v>是</x:v>
      </x:c>
      <x:c r="G403" s="56" t="str">
        <x:v>程序未检出确定性冲突；仍待语义复核</x:v>
      </x:c>
      <x:c r="H403" s="56" t="str">
        <x:v>待确认</x:v>
      </x:c>
      <x:c r="I403" s="56" t="str">
        <x:v>待确认</x:v>
      </x:c>
      <x:c r="J403" s="59" t="str">
        <x:v>待确认</x:v>
      </x:c>
      <x:c r="K403" s="56" t="str"/>
      <x:c r="L403" s="56" t="str"/>
      <x:c r="M403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04">
      <x:c r="A404" s="56" t="str">
        <x:v>P031</x:v>
      </x:c>
      <x:c r="B404" s="56" t="str">
        <x:v>HX-ADD-019</x:v>
      </x:c>
      <x:c r="C404" s="56" t="str">
        <x:v>stroke</x:v>
      </x:c>
      <x:c r="D404" s="56" t="str">
        <x:v>{"status":"absent","patientAnswerZh":"没有脑卒中。","patientAnswerEn":"I do not have stroke.","provenance":"author_added_for_simulation","teacherReviewRequired":true}</x:v>
      </x:c>
      <x:c r="E404" s="56" t="str">
        <x:v>author_added_for_simulation</x:v>
      </x:c>
      <x:c r="F404" s="56" t="str">
        <x:v>是</x:v>
      </x:c>
      <x:c r="G404" s="56" t="str">
        <x:v>程序未检出确定性冲突；仍待语义复核</x:v>
      </x:c>
      <x:c r="H404" s="56" t="str">
        <x:v>待确认</x:v>
      </x:c>
      <x:c r="I404" s="56" t="str">
        <x:v>待确认</x:v>
      </x:c>
      <x:c r="J404" s="59" t="str">
        <x:v>待确认</x:v>
      </x:c>
      <x:c r="K404" s="56" t="str"/>
      <x:c r="L404" s="56" t="str"/>
      <x:c r="M404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05">
      <x:c r="A405" s="56" t="str">
        <x:v>P031</x:v>
      </x:c>
      <x:c r="B405" s="56" t="str">
        <x:v>HX-ADD-019</x:v>
      </x:c>
      <x:c r="C405" s="56" t="str">
        <x:v>liverDisease</x:v>
      </x:c>
      <x:c r="D405" s="56" t="str">
        <x:v>{"status":"absent","patientAnswerZh":"没有肝病。","patientAnswerEn":"I do not have liver disease.","provenance":"source","teacherReviewRequired":false}</x:v>
      </x:c>
      <x:c r="E405" s="56" t="str">
        <x:v>source</x:v>
      </x:c>
      <x:c r="F405" s="56" t="str">
        <x:v>是</x:v>
      </x:c>
      <x:c r="G405" s="56" t="str">
        <x:v>程序未检出确定性冲突；仍待语义复核</x:v>
      </x:c>
      <x:c r="H405" s="56" t="str">
        <x:v>待确认</x:v>
      </x:c>
      <x:c r="I405" s="56" t="str">
        <x:v>待确认</x:v>
      </x:c>
      <x:c r="J405" s="59" t="str">
        <x:v>待确认</x:v>
      </x:c>
      <x:c r="K405" s="56" t="str"/>
      <x:c r="L405" s="56" t="str"/>
      <x:c r="M405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06">
      <x:c r="A406" s="56" t="str">
        <x:v>P031</x:v>
      </x:c>
      <x:c r="B406" s="56" t="str">
        <x:v>HX-ADD-019</x:v>
      </x:c>
      <x:c r="C406" s="56" t="str">
        <x:v>tuberculosis</x:v>
      </x:c>
      <x:c r="D406" s="56" t="str">
        <x:v>{"status":"absent","patientAnswerZh":"没有结核病。","patientAnswerEn":"I do not have tuberculosis.","provenance":"source","teacherReviewRequired":false}</x:v>
      </x:c>
      <x:c r="E406" s="56" t="str">
        <x:v>source</x:v>
      </x:c>
      <x:c r="F406" s="56" t="str">
        <x:v>是</x:v>
      </x:c>
      <x:c r="G406" s="56" t="str">
        <x:v>程序未检出确定性冲突；仍待语义复核</x:v>
      </x:c>
      <x:c r="H406" s="56" t="str">
        <x:v>待确认</x:v>
      </x:c>
      <x:c r="I406" s="56" t="str">
        <x:v>待确认</x:v>
      </x:c>
      <x:c r="J406" s="59" t="str">
        <x:v>待确认</x:v>
      </x:c>
      <x:c r="K406" s="56" t="str"/>
      <x:c r="L406" s="56" t="str"/>
      <x:c r="M406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07">
      <x:c r="A407" s="56" t="str">
        <x:v>P031</x:v>
      </x:c>
      <x:c r="B407" s="56" t="str">
        <x:v>HX-ADD-019</x:v>
      </x:c>
      <x:c r="C407" s="56" t="str">
        <x:v>urinaryProcedureHistory</x:v>
      </x:c>
      <x:c r="D407" s="56" t="str">
        <x:v>{"status":"absent","patientAnswerZh":"以前没有做过导尿、膀胱镜等泌尿操作。","patientAnswerEn":"I have not had catheterization, cystoscopy, or other urinary procedures.","provenance":"author_added_for_simulation","teacherReviewRequired":true}</x:v>
      </x:c>
      <x:c r="E407" s="56" t="str">
        <x:v>author_added_for_simulation</x:v>
      </x:c>
      <x:c r="F407" s="56" t="str">
        <x:v>是</x:v>
      </x:c>
      <x:c r="G407" s="56" t="str">
        <x:v>程序未检出确定性冲突；仍待语义复核</x:v>
      </x:c>
      <x:c r="H407" s="56" t="str">
        <x:v>待确认</x:v>
      </x:c>
      <x:c r="I407" s="56" t="str">
        <x:v>待确认</x:v>
      </x:c>
      <x:c r="J407" s="59" t="str">
        <x:v>待确认</x:v>
      </x:c>
      <x:c r="K407" s="56" t="str"/>
      <x:c r="L407" s="56" t="str"/>
      <x:c r="M407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08">
      <x:c r="A408" s="56" t="str">
        <x:v>P031</x:v>
      </x:c>
      <x:c r="B408" s="56" t="str">
        <x:v>HX-ADD-019</x:v>
      </x:c>
      <x:c r="C408" s="56" t="str">
        <x:v>surgeryHistory</x:v>
      </x:c>
      <x:c r="D408" s="56" t="str">
        <x:v>{"status":"absent","patientAnswerZh":"我以前没有做过手术。","patientAnswerEn":"I have never had surgery.","provenance":"author_added_for_simulation","teacherReviewRequired":true}</x:v>
      </x:c>
      <x:c r="E408" s="56" t="str">
        <x:v>author_added_for_simulation</x:v>
      </x:c>
      <x:c r="F408" s="56" t="str">
        <x:v>是</x:v>
      </x:c>
      <x:c r="G408" s="56" t="str">
        <x:v>程序未检出确定性冲突；仍待语义复核</x:v>
      </x:c>
      <x:c r="H408" s="56" t="str">
        <x:v>待确认</x:v>
      </x:c>
      <x:c r="I408" s="56" t="str">
        <x:v>是</x:v>
      </x:c>
      <x:c r="J408" s="59" t="str">
        <x:v>待确认</x:v>
      </x:c>
      <x:c r="K408" s="56" t="str"/>
      <x:c r="L408" s="56" t="str"/>
      <x:c r="M408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09">
      <x:c r="A409" s="56" t="str">
        <x:v>P031</x:v>
      </x:c>
      <x:c r="B409" s="56" t="str">
        <x:v>HX-ADD-019</x:v>
      </x:c>
      <x:c r="C409" s="56" t="str">
        <x:v>transfusionHistory</x:v>
      </x:c>
      <x:c r="D409" s="56" t="str">
        <x:v>{"status":"absent","patientAnswerZh":"我以前没有输过血。","patientAnswerEn":"I have never had a blood transfusion.","provenance":"author_added_for_simulation","teacherReviewRequired":true}</x:v>
      </x:c>
      <x:c r="E409" s="56" t="str">
        <x:v>author_added_for_simulation</x:v>
      </x:c>
      <x:c r="F409" s="56" t="str">
        <x:v>是</x:v>
      </x:c>
      <x:c r="G409" s="56" t="str">
        <x:v>程序未检出确定性冲突；仍待语义复核</x:v>
      </x:c>
      <x:c r="H409" s="56" t="str">
        <x:v>待确认</x:v>
      </x:c>
      <x:c r="I409" s="56" t="str">
        <x:v>待确认</x:v>
      </x:c>
      <x:c r="J409" s="59" t="str">
        <x:v>待确认</x:v>
      </x:c>
      <x:c r="K409" s="56" t="str"/>
      <x:c r="L409" s="56" t="str"/>
      <x:c r="M409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10">
      <x:c r="A410" s="56" t="str">
        <x:v>P031</x:v>
      </x:c>
      <x:c r="B410" s="56" t="str">
        <x:v>HX-ADD-019</x:v>
      </x:c>
      <x:c r="C410" s="56" t="str">
        <x:v>allergyHistory</x:v>
      </x:c>
      <x:c r="D410" s="56" t="str">
        <x:v>{"status":"absent","patientAnswerZh":"我没有已知药物或食物过敏。","patientAnswerEn":"I have no known drug or food allergies.","provenance":"author_added_for_simulation","teacherReviewRequired":true}</x:v>
      </x:c>
      <x:c r="E410" s="56" t="str">
        <x:v>author_added_for_simulation</x:v>
      </x:c>
      <x:c r="F410" s="56" t="str">
        <x:v>是</x:v>
      </x:c>
      <x:c r="G410" s="56" t="str">
        <x:v>程序未检出确定性冲突；仍待语义复核</x:v>
      </x:c>
      <x:c r="H410" s="56" t="str">
        <x:v>待确认</x:v>
      </x:c>
      <x:c r="I410" s="56" t="str">
        <x:v>是</x:v>
      </x:c>
      <x:c r="J410" s="59" t="str">
        <x:v>待确认</x:v>
      </x:c>
      <x:c r="K410" s="56" t="str"/>
      <x:c r="L410" s="56" t="str"/>
      <x:c r="M410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11">
      <x:c r="A411" s="56" t="str">
        <x:v>P031</x:v>
      </x:c>
      <x:c r="B411" s="56" t="str">
        <x:v>HX-ADD-019</x:v>
      </x:c>
      <x:c r="C411" s="56" t="str">
        <x:v>anticoagulantUse</x:v>
      </x:c>
      <x:c r="D411" s="56" t="str">
        <x:v>{"status":"absent","patientAnswerZh":"我没有服用华法林、利伐沙班等抗凝药。","patientAnswerEn":"I do not take anticoagulants.","provenance":"author_added_for_simulation","teacherReviewRequired":true}</x:v>
      </x:c>
      <x:c r="E411" s="56" t="str">
        <x:v>author_added_for_simulation</x:v>
      </x:c>
      <x:c r="F411" s="56" t="str">
        <x:v>是</x:v>
      </x:c>
      <x:c r="G411" s="56" t="str">
        <x:v>程序未检出确定性冲突；仍待语义复核</x:v>
      </x:c>
      <x:c r="H411" s="56" t="str">
        <x:v>可能</x:v>
      </x:c>
      <x:c r="I411" s="56" t="str">
        <x:v>是</x:v>
      </x:c>
      <x:c r="J411" s="59" t="str">
        <x:v>待确认</x:v>
      </x:c>
      <x:c r="K411" s="56" t="str"/>
      <x:c r="L411" s="56" t="str"/>
      <x:c r="M411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12">
      <x:c r="A412" s="56" t="str">
        <x:v>P031</x:v>
      </x:c>
      <x:c r="B412" s="56" t="str">
        <x:v>HX-ADD-019</x:v>
      </x:c>
      <x:c r="C412" s="56" t="str">
        <x:v>antiplateletUse</x:v>
      </x:c>
      <x:c r="D412" s="56" t="str">
        <x:v>{"status":"absent","patientAnswerZh":"我没有服用阿司匹林或氯吡格雷。","patientAnswerEn":"I do not take antiplatelet medication.","provenance":"author_added_for_simulation","teacherReviewRequired":true}</x:v>
      </x:c>
      <x:c r="E412" s="56" t="str">
        <x:v>author_added_for_simulation</x:v>
      </x:c>
      <x:c r="F412" s="56" t="str">
        <x:v>是</x:v>
      </x:c>
      <x:c r="G412" s="56" t="str">
        <x:v>程序未检出确定性冲突；仍待语义复核</x:v>
      </x:c>
      <x:c r="H412" s="56" t="str">
        <x:v>可能</x:v>
      </x:c>
      <x:c r="I412" s="56" t="str">
        <x:v>是</x:v>
      </x:c>
      <x:c r="J412" s="59" t="str">
        <x:v>待确认</x:v>
      </x:c>
      <x:c r="K412" s="56" t="str"/>
      <x:c r="L412" s="56" t="str"/>
      <x:c r="M412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13">
      <x:c r="A413" s="56" t="str">
        <x:v>P031</x:v>
      </x:c>
      <x:c r="B413" s="56" t="str">
        <x:v>HX-ADD-019</x:v>
      </x:c>
      <x:c r="C413" s="56" t="str">
        <x:v>familyHistory</x:v>
      </x:c>
      <x:c r="D413" s="56" t="str">
        <x:v>{"status":"absent","patientAnswerZh":"家里没有人得过类似血尿或遗传性肾病。","patientAnswerEn":"No one in my family has had similar hematuria or hereditary kidney disease.","provenance":"author_added_for_simulation","teacherReviewRequired":true}</x:v>
      </x:c>
      <x:c r="E413" s="56" t="str">
        <x:v>author_added_for_simulation</x:v>
      </x:c>
      <x:c r="F413" s="56" t="str">
        <x:v>是</x:v>
      </x:c>
      <x:c r="G413" s="56" t="str">
        <x:v>程序未检出确定性冲突；仍待语义复核</x:v>
      </x:c>
      <x:c r="H413" s="56" t="str">
        <x:v>可能</x:v>
      </x:c>
      <x:c r="I413" s="56" t="str">
        <x:v>是</x:v>
      </x:c>
      <x:c r="J413" s="59" t="str">
        <x:v>待确认</x:v>
      </x:c>
      <x:c r="K413" s="56" t="str"/>
      <x:c r="L413" s="56" t="str"/>
      <x:c r="M413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14">
      <x:c r="A414" s="56" t="str">
        <x:v>P032</x:v>
      </x:c>
      <x:c r="B414" s="56" t="str">
        <x:v>HX-ADD-020</x:v>
      </x:c>
      <x:c r="C414" s="56" t="str">
        <x:v>alcoholHistory</x:v>
      </x:c>
      <x:c r="D414" s="56" t="str">
        <x:v>{"status":"never","type":"","amount":"0","frequency":"never","years":0,"patientAnswerZh":"我平时不喝酒。","patientAnswerEn":"I do not drink alcohol.","provenance":"author_added_for_simulation","teacherReviewRequired":true}</x:v>
      </x:c>
      <x:c r="E414" s="56" t="str">
        <x:v>author_added_for_simulation</x:v>
      </x:c>
      <x:c r="F414" s="56" t="str">
        <x:v>是</x:v>
      </x:c>
      <x:c r="G414" s="56" t="str">
        <x:v>程序未检出确定性冲突；仍待语义复核</x:v>
      </x:c>
      <x:c r="H414" s="56" t="str">
        <x:v>待确认</x:v>
      </x:c>
      <x:c r="I414" s="56" t="str">
        <x:v>待确认</x:v>
      </x:c>
      <x:c r="J414" s="59" t="str">
        <x:v>待确认</x:v>
      </x:c>
      <x:c r="K414" s="56" t="str"/>
      <x:c r="L414" s="56" t="str"/>
      <x:c r="M414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15">
      <x:c r="A415" s="56" t="str">
        <x:v>P032</x:v>
      </x:c>
      <x:c r="B415" s="56" t="str">
        <x:v>HX-ADD-020</x:v>
      </x:c>
      <x:c r="C415" s="56" t="str">
        <x:v>hypertension</x:v>
      </x:c>
      <x:c r="D415" s="56" t="str">
        <x:v>{"status":"absent","patientAnswerZh":"没有高血压。","patientAnswerEn":"I do not have hypertension.","provenance":"source","teacherReviewRequired":false}</x:v>
      </x:c>
      <x:c r="E415" s="56" t="str">
        <x:v>source</x:v>
      </x:c>
      <x:c r="F415" s="56" t="str">
        <x:v>是</x:v>
      </x:c>
      <x:c r="G415" s="56" t="str">
        <x:v>程序未检出确定性冲突；仍待语义复核</x:v>
      </x:c>
      <x:c r="H415" s="56" t="str">
        <x:v>待确认</x:v>
      </x:c>
      <x:c r="I415" s="56" t="str">
        <x:v>是</x:v>
      </x:c>
      <x:c r="J415" s="59" t="str">
        <x:v>待确认</x:v>
      </x:c>
      <x:c r="K415" s="56" t="str"/>
      <x:c r="L415" s="56" t="str"/>
      <x:c r="M415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16">
      <x:c r="A416" s="56" t="str">
        <x:v>P032</x:v>
      </x:c>
      <x:c r="B416" s="56" t="str">
        <x:v>HX-ADD-020</x:v>
      </x:c>
      <x:c r="C416" s="56" t="str">
        <x:v>diabetes</x:v>
      </x:c>
      <x:c r="D416" s="56" t="str">
        <x:v>{"status":"absent","patientAnswerZh":"没有糖尿病。","patientAnswerEn":"I do not have diabetes.","provenance":"source","teacherReviewRequired":false}</x:v>
      </x:c>
      <x:c r="E416" s="56" t="str">
        <x:v>source</x:v>
      </x:c>
      <x:c r="F416" s="56" t="str">
        <x:v>是</x:v>
      </x:c>
      <x:c r="G416" s="56" t="str">
        <x:v>程序未检出确定性冲突；仍待语义复核</x:v>
      </x:c>
      <x:c r="H416" s="56" t="str">
        <x:v>待确认</x:v>
      </x:c>
      <x:c r="I416" s="56" t="str">
        <x:v>待确认</x:v>
      </x:c>
      <x:c r="J416" s="59" t="str">
        <x:v>待确认</x:v>
      </x:c>
      <x:c r="K416" s="56" t="str"/>
      <x:c r="L416" s="56" t="str"/>
      <x:c r="M416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17">
      <x:c r="A417" s="56" t="str">
        <x:v>P032</x:v>
      </x:c>
      <x:c r="B417" s="56" t="str">
        <x:v>HX-ADD-020</x:v>
      </x:c>
      <x:c r="C417" s="56" t="str">
        <x:v>coronaryDisease</x:v>
      </x:c>
      <x:c r="D417" s="56" t="str">
        <x:v>{"status":"absent","patientAnswerZh":"没有冠心病。","patientAnswerEn":"I do not have coronary heart disease.","provenance":"source","teacherReviewRequired":false}</x:v>
      </x:c>
      <x:c r="E417" s="56" t="str">
        <x:v>source</x:v>
      </x:c>
      <x:c r="F417" s="56" t="str">
        <x:v>是</x:v>
      </x:c>
      <x:c r="G417" s="56" t="str">
        <x:v>程序未检出确定性冲突；仍待语义复核</x:v>
      </x:c>
      <x:c r="H417" s="56" t="str">
        <x:v>待确认</x:v>
      </x:c>
      <x:c r="I417" s="56" t="str">
        <x:v>待确认</x:v>
      </x:c>
      <x:c r="J417" s="59" t="str">
        <x:v>待确认</x:v>
      </x:c>
      <x:c r="K417" s="56" t="str"/>
      <x:c r="L417" s="56" t="str"/>
      <x:c r="M417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18">
      <x:c r="A418" s="56" t="str">
        <x:v>P032</x:v>
      </x:c>
      <x:c r="B418" s="56" t="str">
        <x:v>HX-ADD-020</x:v>
      </x:c>
      <x:c r="C418" s="56" t="str">
        <x:v>stroke</x:v>
      </x:c>
      <x:c r="D418" s="56" t="str">
        <x:v>{"status":"absent","patientAnswerZh":"没有脑卒中。","patientAnswerEn":"I do not have stroke.","provenance":"author_added_for_simulation","teacherReviewRequired":true}</x:v>
      </x:c>
      <x:c r="E418" s="56" t="str">
        <x:v>author_added_for_simulation</x:v>
      </x:c>
      <x:c r="F418" s="56" t="str">
        <x:v>是</x:v>
      </x:c>
      <x:c r="G418" s="56" t="str">
        <x:v>程序未检出确定性冲突；仍待语义复核</x:v>
      </x:c>
      <x:c r="H418" s="56" t="str">
        <x:v>待确认</x:v>
      </x:c>
      <x:c r="I418" s="56" t="str">
        <x:v>待确认</x:v>
      </x:c>
      <x:c r="J418" s="59" t="str">
        <x:v>待确认</x:v>
      </x:c>
      <x:c r="K418" s="56" t="str"/>
      <x:c r="L418" s="56" t="str"/>
      <x:c r="M418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19">
      <x:c r="A419" s="56" t="str">
        <x:v>P032</x:v>
      </x:c>
      <x:c r="B419" s="56" t="str">
        <x:v>HX-ADD-020</x:v>
      </x:c>
      <x:c r="C419" s="56" t="str">
        <x:v>liverDisease</x:v>
      </x:c>
      <x:c r="D419" s="56" t="str">
        <x:v>{"status":"absent","patientAnswerZh":"没有肝病。","patientAnswerEn":"I do not have liver disease.","provenance":"source","teacherReviewRequired":false}</x:v>
      </x:c>
      <x:c r="E419" s="56" t="str">
        <x:v>source</x:v>
      </x:c>
      <x:c r="F419" s="56" t="str">
        <x:v>是</x:v>
      </x:c>
      <x:c r="G419" s="56" t="str">
        <x:v>程序未检出确定性冲突；仍待语义复核</x:v>
      </x:c>
      <x:c r="H419" s="56" t="str">
        <x:v>待确认</x:v>
      </x:c>
      <x:c r="I419" s="56" t="str">
        <x:v>待确认</x:v>
      </x:c>
      <x:c r="J419" s="59" t="str">
        <x:v>待确认</x:v>
      </x:c>
      <x:c r="K419" s="56" t="str"/>
      <x:c r="L419" s="56" t="str"/>
      <x:c r="M419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20">
      <x:c r="A420" s="56" t="str">
        <x:v>P032</x:v>
      </x:c>
      <x:c r="B420" s="56" t="str">
        <x:v>HX-ADD-020</x:v>
      </x:c>
      <x:c r="C420" s="56" t="str">
        <x:v>tuberculosis</x:v>
      </x:c>
      <x:c r="D420" s="56" t="str">
        <x:v>{"status":"absent","patientAnswerZh":"没有结核病。","patientAnswerEn":"I do not have tuberculosis.","provenance":"source","teacherReviewRequired":false}</x:v>
      </x:c>
      <x:c r="E420" s="56" t="str">
        <x:v>source</x:v>
      </x:c>
      <x:c r="F420" s="56" t="str">
        <x:v>是</x:v>
      </x:c>
      <x:c r="G420" s="56" t="str">
        <x:v>程序未检出确定性冲突；仍待语义复核</x:v>
      </x:c>
      <x:c r="H420" s="56" t="str">
        <x:v>待确认</x:v>
      </x:c>
      <x:c r="I420" s="56" t="str">
        <x:v>待确认</x:v>
      </x:c>
      <x:c r="J420" s="59" t="str">
        <x:v>待确认</x:v>
      </x:c>
      <x:c r="K420" s="56" t="str"/>
      <x:c r="L420" s="56" t="str"/>
      <x:c r="M420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21">
      <x:c r="A421" s="56" t="str">
        <x:v>P032</x:v>
      </x:c>
      <x:c r="B421" s="56" t="str">
        <x:v>HX-ADD-020</x:v>
      </x:c>
      <x:c r="C421" s="56" t="str">
        <x:v>urinaryProcedureHistory</x:v>
      </x:c>
      <x:c r="D421" s="56" t="str">
        <x:v>{"status":"absent","patientAnswerZh":"以前没有做过导尿、膀胱镜等泌尿操作。","patientAnswerEn":"I have not had catheterization, cystoscopy, or other urinary procedures.","provenance":"author_added_for_simulation","teacherReviewRequired":true}</x:v>
      </x:c>
      <x:c r="E421" s="56" t="str">
        <x:v>author_added_for_simulation</x:v>
      </x:c>
      <x:c r="F421" s="56" t="str">
        <x:v>是</x:v>
      </x:c>
      <x:c r="G421" s="56" t="str">
        <x:v>程序未检出确定性冲突；仍待语义复核</x:v>
      </x:c>
      <x:c r="H421" s="56" t="str">
        <x:v>待确认</x:v>
      </x:c>
      <x:c r="I421" s="56" t="str">
        <x:v>待确认</x:v>
      </x:c>
      <x:c r="J421" s="59" t="str">
        <x:v>待确认</x:v>
      </x:c>
      <x:c r="K421" s="56" t="str"/>
      <x:c r="L421" s="56" t="str"/>
      <x:c r="M421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22">
      <x:c r="A422" s="56" t="str">
        <x:v>P032</x:v>
      </x:c>
      <x:c r="B422" s="56" t="str">
        <x:v>HX-ADD-020</x:v>
      </x:c>
      <x:c r="C422" s="56" t="str">
        <x:v>surgeryHistory</x:v>
      </x:c>
      <x:c r="D422" s="56" t="str">
        <x:v>{"status":"absent","patientAnswerZh":"我以前没有做过手术。","patientAnswerEn":"I have never had surgery.","provenance":"author_added_for_simulation","teacherReviewRequired":true}</x:v>
      </x:c>
      <x:c r="E422" s="56" t="str">
        <x:v>author_added_for_simulation</x:v>
      </x:c>
      <x:c r="F422" s="56" t="str">
        <x:v>是</x:v>
      </x:c>
      <x:c r="G422" s="56" t="str">
        <x:v>程序未检出确定性冲突；仍待语义复核</x:v>
      </x:c>
      <x:c r="H422" s="56" t="str">
        <x:v>待确认</x:v>
      </x:c>
      <x:c r="I422" s="56" t="str">
        <x:v>是</x:v>
      </x:c>
      <x:c r="J422" s="59" t="str">
        <x:v>待确认</x:v>
      </x:c>
      <x:c r="K422" s="56" t="str"/>
      <x:c r="L422" s="56" t="str"/>
      <x:c r="M422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23">
      <x:c r="A423" s="56" t="str">
        <x:v>P032</x:v>
      </x:c>
      <x:c r="B423" s="56" t="str">
        <x:v>HX-ADD-020</x:v>
      </x:c>
      <x:c r="C423" s="56" t="str">
        <x:v>transfusionHistory</x:v>
      </x:c>
      <x:c r="D423" s="56" t="str">
        <x:v>{"status":"absent","patientAnswerZh":"我以前没有输过血。","patientAnswerEn":"I have never had a blood transfusion.","provenance":"author_added_for_simulation","teacherReviewRequired":true}</x:v>
      </x:c>
      <x:c r="E423" s="56" t="str">
        <x:v>author_added_for_simulation</x:v>
      </x:c>
      <x:c r="F423" s="56" t="str">
        <x:v>是</x:v>
      </x:c>
      <x:c r="G423" s="56" t="str">
        <x:v>程序未检出确定性冲突；仍待语义复核</x:v>
      </x:c>
      <x:c r="H423" s="56" t="str">
        <x:v>待确认</x:v>
      </x:c>
      <x:c r="I423" s="56" t="str">
        <x:v>待确认</x:v>
      </x:c>
      <x:c r="J423" s="59" t="str">
        <x:v>待确认</x:v>
      </x:c>
      <x:c r="K423" s="56" t="str"/>
      <x:c r="L423" s="56" t="str"/>
      <x:c r="M423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24">
      <x:c r="A424" s="56" t="str">
        <x:v>P032</x:v>
      </x:c>
      <x:c r="B424" s="56" t="str">
        <x:v>HX-ADD-020</x:v>
      </x:c>
      <x:c r="C424" s="56" t="str">
        <x:v>allergyHistory</x:v>
      </x:c>
      <x:c r="D424" s="56" t="str">
        <x:v>{"status":"absent","patientAnswerZh":"我没有已知药物或食物过敏。","patientAnswerEn":"I have no known drug or food allergies.","provenance":"author_added_for_simulation","teacherReviewRequired":true}</x:v>
      </x:c>
      <x:c r="E424" s="56" t="str">
        <x:v>author_added_for_simulation</x:v>
      </x:c>
      <x:c r="F424" s="56" t="str">
        <x:v>是</x:v>
      </x:c>
      <x:c r="G424" s="56" t="str">
        <x:v>程序未检出确定性冲突；仍待语义复核</x:v>
      </x:c>
      <x:c r="H424" s="56" t="str">
        <x:v>待确认</x:v>
      </x:c>
      <x:c r="I424" s="56" t="str">
        <x:v>是</x:v>
      </x:c>
      <x:c r="J424" s="59" t="str">
        <x:v>待确认</x:v>
      </x:c>
      <x:c r="K424" s="56" t="str"/>
      <x:c r="L424" s="56" t="str"/>
      <x:c r="M424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25">
      <x:c r="A425" s="56" t="str">
        <x:v>P032</x:v>
      </x:c>
      <x:c r="B425" s="56" t="str">
        <x:v>HX-ADD-020</x:v>
      </x:c>
      <x:c r="C425" s="56" t="str">
        <x:v>anticoagulantUse</x:v>
      </x:c>
      <x:c r="D425" s="56" t="str">
        <x:v>{"status":"absent","patientAnswerZh":"我没有服用华法林、利伐沙班等抗凝药。","patientAnswerEn":"I do not take anticoagulants.","provenance":"author_added_for_simulation","teacherReviewRequired":true}</x:v>
      </x:c>
      <x:c r="E425" s="56" t="str">
        <x:v>author_added_for_simulation</x:v>
      </x:c>
      <x:c r="F425" s="56" t="str">
        <x:v>是</x:v>
      </x:c>
      <x:c r="G425" s="56" t="str">
        <x:v>程序未检出确定性冲突；仍待语义复核</x:v>
      </x:c>
      <x:c r="H425" s="56" t="str">
        <x:v>可能</x:v>
      </x:c>
      <x:c r="I425" s="56" t="str">
        <x:v>是</x:v>
      </x:c>
      <x:c r="J425" s="59" t="str">
        <x:v>待确认</x:v>
      </x:c>
      <x:c r="K425" s="56" t="str"/>
      <x:c r="L425" s="56" t="str"/>
      <x:c r="M425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26">
      <x:c r="A426" s="56" t="str">
        <x:v>P032</x:v>
      </x:c>
      <x:c r="B426" s="56" t="str">
        <x:v>HX-ADD-020</x:v>
      </x:c>
      <x:c r="C426" s="56" t="str">
        <x:v>antiplateletUse</x:v>
      </x:c>
      <x:c r="D426" s="56" t="str">
        <x:v>{"status":"absent","patientAnswerZh":"我没有服用阿司匹林或氯吡格雷。","patientAnswerEn":"I do not take antiplatelet medication.","provenance":"author_added_for_simulation","teacherReviewRequired":true}</x:v>
      </x:c>
      <x:c r="E426" s="56" t="str">
        <x:v>author_added_for_simulation</x:v>
      </x:c>
      <x:c r="F426" s="56" t="str">
        <x:v>是</x:v>
      </x:c>
      <x:c r="G426" s="56" t="str">
        <x:v>程序未检出确定性冲突；仍待语义复核</x:v>
      </x:c>
      <x:c r="H426" s="56" t="str">
        <x:v>可能</x:v>
      </x:c>
      <x:c r="I426" s="56" t="str">
        <x:v>是</x:v>
      </x:c>
      <x:c r="J426" s="59" t="str">
        <x:v>待确认</x:v>
      </x:c>
      <x:c r="K426" s="56" t="str"/>
      <x:c r="L426" s="56" t="str"/>
      <x:c r="M426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27">
      <x:c r="A427" s="56" t="str">
        <x:v>P032</x:v>
      </x:c>
      <x:c r="B427" s="56" t="str">
        <x:v>HX-ADD-020</x:v>
      </x:c>
      <x:c r="C427" s="56" t="str">
        <x:v>familyHistory</x:v>
      </x:c>
      <x:c r="D427" s="56" t="str">
        <x:v>{"status":"absent","patientAnswerZh":"家里没有人得过类似血尿或遗传性肾病。","patientAnswerEn":"No one in my family has had similar hematuria or hereditary kidney disease.","provenance":"author_added_for_simulation","teacherReviewRequired":true}</x:v>
      </x:c>
      <x:c r="E427" s="56" t="str">
        <x:v>author_added_for_simulation</x:v>
      </x:c>
      <x:c r="F427" s="56" t="str">
        <x:v>是</x:v>
      </x:c>
      <x:c r="G427" s="56" t="str">
        <x:v>程序未检出确定性冲突；仍待语义复核</x:v>
      </x:c>
      <x:c r="H427" s="56" t="str">
        <x:v>可能</x:v>
      </x:c>
      <x:c r="I427" s="56" t="str">
        <x:v>是</x:v>
      </x:c>
      <x:c r="J427" s="59" t="str">
        <x:v>待确认</x:v>
      </x:c>
      <x:c r="K427" s="56" t="str"/>
      <x:c r="L427" s="56" t="str"/>
      <x:c r="M427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28">
      <x:c r="A428" s="56" t="str">
        <x:v>P033</x:v>
      </x:c>
      <x:c r="B428" s="56" t="str">
        <x:v>HX-ADD-021</x:v>
      </x:c>
      <x:c r="C428" s="56" t="str">
        <x:v>alcoholHistory</x:v>
      </x:c>
      <x:c r="D428" s="56" t="str">
        <x:v>{"status":"never","type":"","amount":"0","frequency":"never","years":0,"patientAnswerZh":"我平时不喝酒。","patientAnswerEn":"I do not drink alcohol.","provenance":"author_added_for_simulation","teacherReviewRequired":true}</x:v>
      </x:c>
      <x:c r="E428" s="56" t="str">
        <x:v>author_added_for_simulation</x:v>
      </x:c>
      <x:c r="F428" s="56" t="str">
        <x:v>是</x:v>
      </x:c>
      <x:c r="G428" s="56" t="str">
        <x:v>程序未检出确定性冲突；仍待语义复核</x:v>
      </x:c>
      <x:c r="H428" s="56" t="str">
        <x:v>待确认</x:v>
      </x:c>
      <x:c r="I428" s="56" t="str">
        <x:v>待确认</x:v>
      </x:c>
      <x:c r="J428" s="59" t="str">
        <x:v>待确认</x:v>
      </x:c>
      <x:c r="K428" s="56" t="str"/>
      <x:c r="L428" s="56" t="str"/>
      <x:c r="M428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29">
      <x:c r="A429" s="56" t="str">
        <x:v>P033</x:v>
      </x:c>
      <x:c r="B429" s="56" t="str">
        <x:v>HX-ADD-021</x:v>
      </x:c>
      <x:c r="C429" s="56" t="str">
        <x:v>hypertension</x:v>
      </x:c>
      <x:c r="D429" s="56" t="str">
        <x:v>{"status":"absent","patientAnswerZh":"没有高血压。","patientAnswerEn":"I do not have hypertension.","provenance":"source","teacherReviewRequired":false}</x:v>
      </x:c>
      <x:c r="E429" s="56" t="str">
        <x:v>source</x:v>
      </x:c>
      <x:c r="F429" s="56" t="str">
        <x:v>是</x:v>
      </x:c>
      <x:c r="G429" s="56" t="str">
        <x:v>程序未检出确定性冲突；仍待语义复核</x:v>
      </x:c>
      <x:c r="H429" s="56" t="str">
        <x:v>待确认</x:v>
      </x:c>
      <x:c r="I429" s="56" t="str">
        <x:v>是</x:v>
      </x:c>
      <x:c r="J429" s="59" t="str">
        <x:v>待确认</x:v>
      </x:c>
      <x:c r="K429" s="56" t="str"/>
      <x:c r="L429" s="56" t="str"/>
      <x:c r="M429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30">
      <x:c r="A430" s="56" t="str">
        <x:v>P033</x:v>
      </x:c>
      <x:c r="B430" s="56" t="str">
        <x:v>HX-ADD-021</x:v>
      </x:c>
      <x:c r="C430" s="56" t="str">
        <x:v>diabetes</x:v>
      </x:c>
      <x:c r="D430" s="56" t="str">
        <x:v>{"status":"absent","patientAnswerZh":"没有糖尿病。","patientAnswerEn":"I do not have diabetes.","provenance":"source","teacherReviewRequired":false}</x:v>
      </x:c>
      <x:c r="E430" s="56" t="str">
        <x:v>source</x:v>
      </x:c>
      <x:c r="F430" s="56" t="str">
        <x:v>是</x:v>
      </x:c>
      <x:c r="G430" s="56" t="str">
        <x:v>程序未检出确定性冲突；仍待语义复核</x:v>
      </x:c>
      <x:c r="H430" s="56" t="str">
        <x:v>待确认</x:v>
      </x:c>
      <x:c r="I430" s="56" t="str">
        <x:v>待确认</x:v>
      </x:c>
      <x:c r="J430" s="59" t="str">
        <x:v>待确认</x:v>
      </x:c>
      <x:c r="K430" s="56" t="str"/>
      <x:c r="L430" s="56" t="str"/>
      <x:c r="M430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31">
      <x:c r="A431" s="56" t="str">
        <x:v>P033</x:v>
      </x:c>
      <x:c r="B431" s="56" t="str">
        <x:v>HX-ADD-021</x:v>
      </x:c>
      <x:c r="C431" s="56" t="str">
        <x:v>coronaryDisease</x:v>
      </x:c>
      <x:c r="D431" s="56" t="str">
        <x:v>{"status":"absent","patientAnswerZh":"没有冠心病。","patientAnswerEn":"I do not have coronary heart disease.","provenance":"author_added_for_simulation","teacherReviewRequired":true}</x:v>
      </x:c>
      <x:c r="E431" s="56" t="str">
        <x:v>author_added_for_simulation</x:v>
      </x:c>
      <x:c r="F431" s="56" t="str">
        <x:v>是</x:v>
      </x:c>
      <x:c r="G431" s="56" t="str">
        <x:v>程序未检出确定性冲突；仍待语义复核</x:v>
      </x:c>
      <x:c r="H431" s="56" t="str">
        <x:v>待确认</x:v>
      </x:c>
      <x:c r="I431" s="56" t="str">
        <x:v>待确认</x:v>
      </x:c>
      <x:c r="J431" s="59" t="str">
        <x:v>待确认</x:v>
      </x:c>
      <x:c r="K431" s="56" t="str"/>
      <x:c r="L431" s="56" t="str"/>
      <x:c r="M431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32">
      <x:c r="A432" s="56" t="str">
        <x:v>P033</x:v>
      </x:c>
      <x:c r="B432" s="56" t="str">
        <x:v>HX-ADD-021</x:v>
      </x:c>
      <x:c r="C432" s="56" t="str">
        <x:v>stroke</x:v>
      </x:c>
      <x:c r="D432" s="56" t="str">
        <x:v>{"status":"absent","patientAnswerZh":"没有脑卒中。","patientAnswerEn":"I do not have stroke.","provenance":"author_added_for_simulation","teacherReviewRequired":true}</x:v>
      </x:c>
      <x:c r="E432" s="56" t="str">
        <x:v>author_added_for_simulation</x:v>
      </x:c>
      <x:c r="F432" s="56" t="str">
        <x:v>是</x:v>
      </x:c>
      <x:c r="G432" s="56" t="str">
        <x:v>程序未检出确定性冲突；仍待语义复核</x:v>
      </x:c>
      <x:c r="H432" s="56" t="str">
        <x:v>待确认</x:v>
      </x:c>
      <x:c r="I432" s="56" t="str">
        <x:v>待确认</x:v>
      </x:c>
      <x:c r="J432" s="59" t="str">
        <x:v>待确认</x:v>
      </x:c>
      <x:c r="K432" s="56" t="str"/>
      <x:c r="L432" s="56" t="str"/>
      <x:c r="M432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33">
      <x:c r="A433" s="56" t="str">
        <x:v>P033</x:v>
      </x:c>
      <x:c r="B433" s="56" t="str">
        <x:v>HX-ADD-021</x:v>
      </x:c>
      <x:c r="C433" s="56" t="str">
        <x:v>liverDisease</x:v>
      </x:c>
      <x:c r="D433" s="56" t="str">
        <x:v>{"status":"absent","patientAnswerZh":"没有肝病。","patientAnswerEn":"I do not have liver disease.","provenance":"source","teacherReviewRequired":false}</x:v>
      </x:c>
      <x:c r="E433" s="56" t="str">
        <x:v>source</x:v>
      </x:c>
      <x:c r="F433" s="56" t="str">
        <x:v>是</x:v>
      </x:c>
      <x:c r="G433" s="56" t="str">
        <x:v>程序未检出确定性冲突；仍待语义复核</x:v>
      </x:c>
      <x:c r="H433" s="56" t="str">
        <x:v>待确认</x:v>
      </x:c>
      <x:c r="I433" s="56" t="str">
        <x:v>待确认</x:v>
      </x:c>
      <x:c r="J433" s="59" t="str">
        <x:v>待确认</x:v>
      </x:c>
      <x:c r="K433" s="56" t="str"/>
      <x:c r="L433" s="56" t="str"/>
      <x:c r="M433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34">
      <x:c r="A434" s="56" t="str">
        <x:v>P033</x:v>
      </x:c>
      <x:c r="B434" s="56" t="str">
        <x:v>HX-ADD-021</x:v>
      </x:c>
      <x:c r="C434" s="56" t="str">
        <x:v>tuberculosis</x:v>
      </x:c>
      <x:c r="D434" s="56" t="str">
        <x:v>{"status":"absent","patientAnswerZh":"没有结核病。","patientAnswerEn":"I do not have tuberculosis.","provenance":"source","teacherReviewRequired":false}</x:v>
      </x:c>
      <x:c r="E434" s="56" t="str">
        <x:v>source</x:v>
      </x:c>
      <x:c r="F434" s="56" t="str">
        <x:v>是</x:v>
      </x:c>
      <x:c r="G434" s="56" t="str">
        <x:v>程序未检出确定性冲突；仍待语义复核</x:v>
      </x:c>
      <x:c r="H434" s="56" t="str">
        <x:v>待确认</x:v>
      </x:c>
      <x:c r="I434" s="56" t="str">
        <x:v>待确认</x:v>
      </x:c>
      <x:c r="J434" s="59" t="str">
        <x:v>待确认</x:v>
      </x:c>
      <x:c r="K434" s="56" t="str"/>
      <x:c r="L434" s="56" t="str"/>
      <x:c r="M434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35">
      <x:c r="A435" s="56" t="str">
        <x:v>P033</x:v>
      </x:c>
      <x:c r="B435" s="56" t="str">
        <x:v>HX-ADD-021</x:v>
      </x:c>
      <x:c r="C435" s="56" t="str">
        <x:v>urinaryProcedureHistory</x:v>
      </x:c>
      <x:c r="D435" s="56" t="str">
        <x:v>{"status":"absent","patientAnswerZh":"以前没有做过导尿、膀胱镜等泌尿操作。","patientAnswerEn":"I have not had catheterization, cystoscopy, or other urinary procedures.","provenance":"author_added_for_simulation","teacherReviewRequired":true}</x:v>
      </x:c>
      <x:c r="E435" s="56" t="str">
        <x:v>author_added_for_simulation</x:v>
      </x:c>
      <x:c r="F435" s="56" t="str">
        <x:v>是</x:v>
      </x:c>
      <x:c r="G435" s="56" t="str">
        <x:v>程序未检出确定性冲突；仍待语义复核</x:v>
      </x:c>
      <x:c r="H435" s="56" t="str">
        <x:v>待确认</x:v>
      </x:c>
      <x:c r="I435" s="56" t="str">
        <x:v>待确认</x:v>
      </x:c>
      <x:c r="J435" s="59" t="str">
        <x:v>待确认</x:v>
      </x:c>
      <x:c r="K435" s="56" t="str"/>
      <x:c r="L435" s="56" t="str"/>
      <x:c r="M435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36">
      <x:c r="A436" s="56" t="str">
        <x:v>P033</x:v>
      </x:c>
      <x:c r="B436" s="56" t="str">
        <x:v>HX-ADD-021</x:v>
      </x:c>
      <x:c r="C436" s="56" t="str">
        <x:v>surgeryHistory</x:v>
      </x:c>
      <x:c r="D436" s="56" t="str">
        <x:v>{"status":"absent","patientAnswerZh":"我以前没有做过手术。","patientAnswerEn":"I have never had surgery.","provenance":"author_added_for_simulation","teacherReviewRequired":true}</x:v>
      </x:c>
      <x:c r="E436" s="56" t="str">
        <x:v>author_added_for_simulation</x:v>
      </x:c>
      <x:c r="F436" s="56" t="str">
        <x:v>是</x:v>
      </x:c>
      <x:c r="G436" s="56" t="str">
        <x:v>程序未检出确定性冲突；仍待语义复核</x:v>
      </x:c>
      <x:c r="H436" s="56" t="str">
        <x:v>待确认</x:v>
      </x:c>
      <x:c r="I436" s="56" t="str">
        <x:v>是</x:v>
      </x:c>
      <x:c r="J436" s="59" t="str">
        <x:v>待确认</x:v>
      </x:c>
      <x:c r="K436" s="56" t="str"/>
      <x:c r="L436" s="56" t="str"/>
      <x:c r="M436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37">
      <x:c r="A437" s="56" t="str">
        <x:v>P033</x:v>
      </x:c>
      <x:c r="B437" s="56" t="str">
        <x:v>HX-ADD-021</x:v>
      </x:c>
      <x:c r="C437" s="56" t="str">
        <x:v>transfusionHistory</x:v>
      </x:c>
      <x:c r="D437" s="56" t="str">
        <x:v>{"status":"absent","patientAnswerZh":"我以前没有输过血。","patientAnswerEn":"I have never had a blood transfusion.","provenance":"author_added_for_simulation","teacherReviewRequired":true}</x:v>
      </x:c>
      <x:c r="E437" s="56" t="str">
        <x:v>author_added_for_simulation</x:v>
      </x:c>
      <x:c r="F437" s="56" t="str">
        <x:v>是</x:v>
      </x:c>
      <x:c r="G437" s="56" t="str">
        <x:v>程序未检出确定性冲突；仍待语义复核</x:v>
      </x:c>
      <x:c r="H437" s="56" t="str">
        <x:v>待确认</x:v>
      </x:c>
      <x:c r="I437" s="56" t="str">
        <x:v>待确认</x:v>
      </x:c>
      <x:c r="J437" s="59" t="str">
        <x:v>待确认</x:v>
      </x:c>
      <x:c r="K437" s="56" t="str"/>
      <x:c r="L437" s="56" t="str"/>
      <x:c r="M437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38">
      <x:c r="A438" s="56" t="str">
        <x:v>P033</x:v>
      </x:c>
      <x:c r="B438" s="56" t="str">
        <x:v>HX-ADD-021</x:v>
      </x:c>
      <x:c r="C438" s="56" t="str">
        <x:v>allergyHistory</x:v>
      </x:c>
      <x:c r="D438" s="56" t="str">
        <x:v>{"status":"absent","patientAnswerZh":"我没有已知药物或食物过敏。","patientAnswerEn":"I have no known drug or food allergies.","provenance":"author_added_for_simulation","teacherReviewRequired":true}</x:v>
      </x:c>
      <x:c r="E438" s="56" t="str">
        <x:v>author_added_for_simulation</x:v>
      </x:c>
      <x:c r="F438" s="56" t="str">
        <x:v>是</x:v>
      </x:c>
      <x:c r="G438" s="56" t="str">
        <x:v>程序未检出确定性冲突；仍待语义复核</x:v>
      </x:c>
      <x:c r="H438" s="56" t="str">
        <x:v>待确认</x:v>
      </x:c>
      <x:c r="I438" s="56" t="str">
        <x:v>是</x:v>
      </x:c>
      <x:c r="J438" s="59" t="str">
        <x:v>待确认</x:v>
      </x:c>
      <x:c r="K438" s="56" t="str"/>
      <x:c r="L438" s="56" t="str"/>
      <x:c r="M438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39">
      <x:c r="A439" s="56" t="str">
        <x:v>P033</x:v>
      </x:c>
      <x:c r="B439" s="56" t="str">
        <x:v>HX-ADD-021</x:v>
      </x:c>
      <x:c r="C439" s="56" t="str">
        <x:v>anticoagulantUse</x:v>
      </x:c>
      <x:c r="D439" s="56" t="str">
        <x:v>{"status":"absent","patientAnswerZh":"我没有服用华法林、利伐沙班等抗凝药。","patientAnswerEn":"I do not take anticoagulants.","provenance":"author_added_for_simulation","teacherReviewRequired":true}</x:v>
      </x:c>
      <x:c r="E439" s="56" t="str">
        <x:v>author_added_for_simulation</x:v>
      </x:c>
      <x:c r="F439" s="56" t="str">
        <x:v>是</x:v>
      </x:c>
      <x:c r="G439" s="56" t="str">
        <x:v>程序未检出确定性冲突；仍待语义复核</x:v>
      </x:c>
      <x:c r="H439" s="56" t="str">
        <x:v>可能</x:v>
      </x:c>
      <x:c r="I439" s="56" t="str">
        <x:v>是</x:v>
      </x:c>
      <x:c r="J439" s="59" t="str">
        <x:v>待确认</x:v>
      </x:c>
      <x:c r="K439" s="56" t="str"/>
      <x:c r="L439" s="56" t="str"/>
      <x:c r="M439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40">
      <x:c r="A440" s="56" t="str">
        <x:v>P033</x:v>
      </x:c>
      <x:c r="B440" s="56" t="str">
        <x:v>HX-ADD-021</x:v>
      </x:c>
      <x:c r="C440" s="56" t="str">
        <x:v>antiplateletUse</x:v>
      </x:c>
      <x:c r="D440" s="56" t="str">
        <x:v>{"status":"absent","patientAnswerZh":"我没有服用阿司匹林或氯吡格雷。","patientAnswerEn":"I do not take antiplatelet medication.","provenance":"author_added_for_simulation","teacherReviewRequired":true}</x:v>
      </x:c>
      <x:c r="E440" s="56" t="str">
        <x:v>author_added_for_simulation</x:v>
      </x:c>
      <x:c r="F440" s="56" t="str">
        <x:v>是</x:v>
      </x:c>
      <x:c r="G440" s="56" t="str">
        <x:v>程序未检出确定性冲突；仍待语义复核</x:v>
      </x:c>
      <x:c r="H440" s="56" t="str">
        <x:v>可能</x:v>
      </x:c>
      <x:c r="I440" s="56" t="str">
        <x:v>是</x:v>
      </x:c>
      <x:c r="J440" s="59" t="str">
        <x:v>待确认</x:v>
      </x:c>
      <x:c r="K440" s="56" t="str"/>
      <x:c r="L440" s="56" t="str"/>
      <x:c r="M440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41">
      <x:c r="A441" s="56" t="str">
        <x:v>P033</x:v>
      </x:c>
      <x:c r="B441" s="56" t="str">
        <x:v>HX-ADD-021</x:v>
      </x:c>
      <x:c r="C441" s="56" t="str">
        <x:v>familyHistory</x:v>
      </x:c>
      <x:c r="D441" s="56" t="str">
        <x:v>{"status":"absent","patientAnswerZh":"家里没有人得过类似血尿或遗传性肾病。","patientAnswerEn":"No one in my family has had similar hematuria or hereditary kidney disease.","provenance":"author_added_for_simulation","teacherReviewRequired":true}</x:v>
      </x:c>
      <x:c r="E441" s="56" t="str">
        <x:v>author_added_for_simulation</x:v>
      </x:c>
      <x:c r="F441" s="56" t="str">
        <x:v>是</x:v>
      </x:c>
      <x:c r="G441" s="56" t="str">
        <x:v>程序未检出确定性冲突；仍待语义复核</x:v>
      </x:c>
      <x:c r="H441" s="56" t="str">
        <x:v>可能</x:v>
      </x:c>
      <x:c r="I441" s="56" t="str">
        <x:v>是</x:v>
      </x:c>
      <x:c r="J441" s="59" t="str">
        <x:v>待确认</x:v>
      </x:c>
      <x:c r="K441" s="56" t="str"/>
      <x:c r="L441" s="56" t="str"/>
      <x:c r="M441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42">
      <x:c r="A442" s="56" t="str">
        <x:v>P033</x:v>
      </x:c>
      <x:c r="B442" s="56" t="str">
        <x:v>HX-ADD-021</x:v>
      </x:c>
      <x:c r="C442" s="56" t="str">
        <x:v>menstrualHistory</x:v>
      </x:c>
      <x:c r="D442" s="56" t="str">
        <x:v>{"status":"absent","patientAnswerZh":"月经情况正常，这次尿色异常不是在月经期。","patientAnswerEn":"My periods are regular, and this episode did not occur during menstruation.","provenance":"author_added_for_simulation","teacherReviewRequired":true}</x:v>
      </x:c>
      <x:c r="E442" s="56" t="str">
        <x:v>author_added_for_simulation</x:v>
      </x:c>
      <x:c r="F442" s="56" t="str">
        <x:v>是</x:v>
      </x:c>
      <x:c r="G442" s="56" t="str">
        <x:v>程序未检出确定性冲突；仍待语义复核</x:v>
      </x:c>
      <x:c r="H442" s="56" t="str">
        <x:v>可能</x:v>
      </x:c>
      <x:c r="I442" s="56" t="str">
        <x:v>待确认</x:v>
      </x:c>
      <x:c r="J442" s="59" t="str">
        <x:v>待确认</x:v>
      </x:c>
      <x:c r="K442" s="56" t="str"/>
      <x:c r="L442" s="56" t="str"/>
      <x:c r="M442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43">
      <x:c r="A443" s="56" t="str">
        <x:v>P033</x:v>
      </x:c>
      <x:c r="B443" s="56" t="str">
        <x:v>HX-ADD-021</x:v>
      </x:c>
      <x:c r="C443" s="56" t="str">
        <x:v>pregnancyHistory</x:v>
      </x:c>
      <x:c r="D443" s="56" t="str">
        <x:v>{"status":"absent","patientAnswerZh":"目前没有怀孕。","patientAnswerEn":"I am not currently pregnant.","provenance":"author_added_for_simulation","teacherReviewRequired":true}</x:v>
      </x:c>
      <x:c r="E443" s="56" t="str">
        <x:v>author_added_for_simulation</x:v>
      </x:c>
      <x:c r="F443" s="56" t="str">
        <x:v>是</x:v>
      </x:c>
      <x:c r="G443" s="56" t="str">
        <x:v>程序未检出确定性冲突；仍待语义复核</x:v>
      </x:c>
      <x:c r="H443" s="56" t="str">
        <x:v>可能</x:v>
      </x:c>
      <x:c r="I443" s="56" t="str">
        <x:v>待确认</x:v>
      </x:c>
      <x:c r="J443" s="59" t="str">
        <x:v>待确认</x:v>
      </x:c>
      <x:c r="K443" s="56" t="str"/>
      <x:c r="L443" s="56" t="str"/>
      <x:c r="M443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44">
      <x:c r="A444" s="56" t="str">
        <x:v>P034</x:v>
      </x:c>
      <x:c r="B444" s="56" t="str">
        <x:v>HX-ADD-022</x:v>
      </x:c>
      <x:c r="C444" s="56" t="str">
        <x:v>alcoholHistory</x:v>
      </x:c>
      <x:c r="D444" s="56" t="str">
        <x:v>{"status":"never","type":"","amount":"0","frequency":"never","years":0,"patientAnswerZh":"我平时不喝酒。","patientAnswerEn":"I do not drink alcohol.","provenance":"author_added_for_simulation","teacherReviewRequired":true}</x:v>
      </x:c>
      <x:c r="E444" s="56" t="str">
        <x:v>author_added_for_simulation</x:v>
      </x:c>
      <x:c r="F444" s="56" t="str">
        <x:v>是</x:v>
      </x:c>
      <x:c r="G444" s="56" t="str">
        <x:v>程序未检出确定性冲突；仍待语义复核</x:v>
      </x:c>
      <x:c r="H444" s="56" t="str">
        <x:v>待确认</x:v>
      </x:c>
      <x:c r="I444" s="56" t="str">
        <x:v>待确认</x:v>
      </x:c>
      <x:c r="J444" s="59" t="str">
        <x:v>待确认</x:v>
      </x:c>
      <x:c r="K444" s="56" t="str"/>
      <x:c r="L444" s="56" t="str"/>
      <x:c r="M444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45">
      <x:c r="A445" s="56" t="str">
        <x:v>P034</x:v>
      </x:c>
      <x:c r="B445" s="56" t="str">
        <x:v>HX-ADD-022</x:v>
      </x:c>
      <x:c r="C445" s="56" t="str">
        <x:v>hypertension</x:v>
      </x:c>
      <x:c r="D445" s="56" t="str">
        <x:v>{"status":"absent","patientAnswerZh":"没有高血压。","patientAnswerEn":"I do not have hypertension.","provenance":"source","teacherReviewRequired":false}</x:v>
      </x:c>
      <x:c r="E445" s="56" t="str">
        <x:v>source</x:v>
      </x:c>
      <x:c r="F445" s="56" t="str">
        <x:v>是</x:v>
      </x:c>
      <x:c r="G445" s="56" t="str">
        <x:v>程序未检出确定性冲突；仍待语义复核</x:v>
      </x:c>
      <x:c r="H445" s="56" t="str">
        <x:v>待确认</x:v>
      </x:c>
      <x:c r="I445" s="56" t="str">
        <x:v>是</x:v>
      </x:c>
      <x:c r="J445" s="59" t="str">
        <x:v>待确认</x:v>
      </x:c>
      <x:c r="K445" s="56" t="str"/>
      <x:c r="L445" s="56" t="str"/>
      <x:c r="M445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46">
      <x:c r="A446" s="56" t="str">
        <x:v>P034</x:v>
      </x:c>
      <x:c r="B446" s="56" t="str">
        <x:v>HX-ADD-022</x:v>
      </x:c>
      <x:c r="C446" s="56" t="str">
        <x:v>diabetes</x:v>
      </x:c>
      <x:c r="D446" s="56" t="str">
        <x:v>{"status":"absent","patientAnswerZh":"没有糖尿病。","patientAnswerEn":"I do not have diabetes.","provenance":"source","teacherReviewRequired":false}</x:v>
      </x:c>
      <x:c r="E446" s="56" t="str">
        <x:v>source</x:v>
      </x:c>
      <x:c r="F446" s="56" t="str">
        <x:v>是</x:v>
      </x:c>
      <x:c r="G446" s="56" t="str">
        <x:v>程序未检出确定性冲突；仍待语义复核</x:v>
      </x:c>
      <x:c r="H446" s="56" t="str">
        <x:v>待确认</x:v>
      </x:c>
      <x:c r="I446" s="56" t="str">
        <x:v>待确认</x:v>
      </x:c>
      <x:c r="J446" s="59" t="str">
        <x:v>待确认</x:v>
      </x:c>
      <x:c r="K446" s="56" t="str"/>
      <x:c r="L446" s="56" t="str"/>
      <x:c r="M446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47">
      <x:c r="A447" s="56" t="str">
        <x:v>P034</x:v>
      </x:c>
      <x:c r="B447" s="56" t="str">
        <x:v>HX-ADD-022</x:v>
      </x:c>
      <x:c r="C447" s="56" t="str">
        <x:v>coronaryDisease</x:v>
      </x:c>
      <x:c r="D447" s="56" t="str">
        <x:v>{"status":"absent","patientAnswerZh":"没有冠心病。","patientAnswerEn":"I do not have coronary heart disease.","provenance":"author_added_for_simulation","teacherReviewRequired":true}</x:v>
      </x:c>
      <x:c r="E447" s="56" t="str">
        <x:v>author_added_for_simulation</x:v>
      </x:c>
      <x:c r="F447" s="56" t="str">
        <x:v>是</x:v>
      </x:c>
      <x:c r="G447" s="56" t="str">
        <x:v>程序未检出确定性冲突；仍待语义复核</x:v>
      </x:c>
      <x:c r="H447" s="56" t="str">
        <x:v>待确认</x:v>
      </x:c>
      <x:c r="I447" s="56" t="str">
        <x:v>待确认</x:v>
      </x:c>
      <x:c r="J447" s="59" t="str">
        <x:v>待确认</x:v>
      </x:c>
      <x:c r="K447" s="56" t="str"/>
      <x:c r="L447" s="56" t="str"/>
      <x:c r="M447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48">
      <x:c r="A448" s="56" t="str">
        <x:v>P034</x:v>
      </x:c>
      <x:c r="B448" s="56" t="str">
        <x:v>HX-ADD-022</x:v>
      </x:c>
      <x:c r="C448" s="56" t="str">
        <x:v>stroke</x:v>
      </x:c>
      <x:c r="D448" s="56" t="str">
        <x:v>{"status":"absent","patientAnswerZh":"没有脑卒中。","patientAnswerEn":"I do not have stroke.","provenance":"author_added_for_simulation","teacherReviewRequired":true}</x:v>
      </x:c>
      <x:c r="E448" s="56" t="str">
        <x:v>author_added_for_simulation</x:v>
      </x:c>
      <x:c r="F448" s="56" t="str">
        <x:v>是</x:v>
      </x:c>
      <x:c r="G448" s="56" t="str">
        <x:v>程序未检出确定性冲突；仍待语义复核</x:v>
      </x:c>
      <x:c r="H448" s="56" t="str">
        <x:v>待确认</x:v>
      </x:c>
      <x:c r="I448" s="56" t="str">
        <x:v>待确认</x:v>
      </x:c>
      <x:c r="J448" s="59" t="str">
        <x:v>待确认</x:v>
      </x:c>
      <x:c r="K448" s="56" t="str"/>
      <x:c r="L448" s="56" t="str"/>
      <x:c r="M448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49">
      <x:c r="A449" s="56" t="str">
        <x:v>P034</x:v>
      </x:c>
      <x:c r="B449" s="56" t="str">
        <x:v>HX-ADD-022</x:v>
      </x:c>
      <x:c r="C449" s="56" t="str">
        <x:v>liverDisease</x:v>
      </x:c>
      <x:c r="D449" s="56" t="str">
        <x:v>{"status":"absent","patientAnswerZh":"没有肝病。","patientAnswerEn":"I do not have liver disease.","provenance":"source","teacherReviewRequired":false}</x:v>
      </x:c>
      <x:c r="E449" s="56" t="str">
        <x:v>source</x:v>
      </x:c>
      <x:c r="F449" s="56" t="str">
        <x:v>是</x:v>
      </x:c>
      <x:c r="G449" s="56" t="str">
        <x:v>程序未检出确定性冲突；仍待语义复核</x:v>
      </x:c>
      <x:c r="H449" s="56" t="str">
        <x:v>待确认</x:v>
      </x:c>
      <x:c r="I449" s="56" t="str">
        <x:v>待确认</x:v>
      </x:c>
      <x:c r="J449" s="59" t="str">
        <x:v>待确认</x:v>
      </x:c>
      <x:c r="K449" s="56" t="str"/>
      <x:c r="L449" s="56" t="str"/>
      <x:c r="M449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50">
      <x:c r="A450" s="56" t="str">
        <x:v>P034</x:v>
      </x:c>
      <x:c r="B450" s="56" t="str">
        <x:v>HX-ADD-022</x:v>
      </x:c>
      <x:c r="C450" s="56" t="str">
        <x:v>tuberculosis</x:v>
      </x:c>
      <x:c r="D450" s="56" t="str">
        <x:v>{"status":"absent","patientAnswerZh":"没有结核病。","patientAnswerEn":"I do not have tuberculosis.","provenance":"source","teacherReviewRequired":false}</x:v>
      </x:c>
      <x:c r="E450" s="56" t="str">
        <x:v>source</x:v>
      </x:c>
      <x:c r="F450" s="56" t="str">
        <x:v>是</x:v>
      </x:c>
      <x:c r="G450" s="56" t="str">
        <x:v>程序未检出确定性冲突；仍待语义复核</x:v>
      </x:c>
      <x:c r="H450" s="56" t="str">
        <x:v>待确认</x:v>
      </x:c>
      <x:c r="I450" s="56" t="str">
        <x:v>待确认</x:v>
      </x:c>
      <x:c r="J450" s="59" t="str">
        <x:v>待确认</x:v>
      </x:c>
      <x:c r="K450" s="56" t="str"/>
      <x:c r="L450" s="56" t="str"/>
      <x:c r="M450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51">
      <x:c r="A451" s="56" t="str">
        <x:v>P034</x:v>
      </x:c>
      <x:c r="B451" s="56" t="str">
        <x:v>HX-ADD-022</x:v>
      </x:c>
      <x:c r="C451" s="56" t="str">
        <x:v>urinaryProcedureHistory</x:v>
      </x:c>
      <x:c r="D451" s="56" t="str">
        <x:v>{"status":"absent","patientAnswerZh":"以前没有做过导尿、膀胱镜等泌尿操作。","patientAnswerEn":"I have not had catheterization, cystoscopy, or other urinary procedures.","provenance":"author_added_for_simulation","teacherReviewRequired":true}</x:v>
      </x:c>
      <x:c r="E451" s="56" t="str">
        <x:v>author_added_for_simulation</x:v>
      </x:c>
      <x:c r="F451" s="56" t="str">
        <x:v>是</x:v>
      </x:c>
      <x:c r="G451" s="56" t="str">
        <x:v>程序未检出确定性冲突；仍待语义复核</x:v>
      </x:c>
      <x:c r="H451" s="56" t="str">
        <x:v>待确认</x:v>
      </x:c>
      <x:c r="I451" s="56" t="str">
        <x:v>待确认</x:v>
      </x:c>
      <x:c r="J451" s="59" t="str">
        <x:v>待确认</x:v>
      </x:c>
      <x:c r="K451" s="56" t="str"/>
      <x:c r="L451" s="56" t="str"/>
      <x:c r="M451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52">
      <x:c r="A452" s="56" t="str">
        <x:v>P034</x:v>
      </x:c>
      <x:c r="B452" s="56" t="str">
        <x:v>HX-ADD-022</x:v>
      </x:c>
      <x:c r="C452" s="56" t="str">
        <x:v>surgeryHistory</x:v>
      </x:c>
      <x:c r="D452" s="56" t="str">
        <x:v>{"status":"absent","patientAnswerZh":"我以前没有做过手术。","patientAnswerEn":"I have never had surgery.","provenance":"author_added_for_simulation","teacherReviewRequired":true}</x:v>
      </x:c>
      <x:c r="E452" s="56" t="str">
        <x:v>author_added_for_simulation</x:v>
      </x:c>
      <x:c r="F452" s="56" t="str">
        <x:v>是</x:v>
      </x:c>
      <x:c r="G452" s="56" t="str">
        <x:v>程序未检出确定性冲突；仍待语义复核</x:v>
      </x:c>
      <x:c r="H452" s="56" t="str">
        <x:v>待确认</x:v>
      </x:c>
      <x:c r="I452" s="56" t="str">
        <x:v>是</x:v>
      </x:c>
      <x:c r="J452" s="59" t="str">
        <x:v>待确认</x:v>
      </x:c>
      <x:c r="K452" s="56" t="str"/>
      <x:c r="L452" s="56" t="str"/>
      <x:c r="M452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53">
      <x:c r="A453" s="56" t="str">
        <x:v>P034</x:v>
      </x:c>
      <x:c r="B453" s="56" t="str">
        <x:v>HX-ADD-022</x:v>
      </x:c>
      <x:c r="C453" s="56" t="str">
        <x:v>transfusionHistory</x:v>
      </x:c>
      <x:c r="D453" s="56" t="str">
        <x:v>{"status":"absent","patientAnswerZh":"我以前没有输过血。","patientAnswerEn":"I have never had a blood transfusion.","provenance":"author_added_for_simulation","teacherReviewRequired":true}</x:v>
      </x:c>
      <x:c r="E453" s="56" t="str">
        <x:v>author_added_for_simulation</x:v>
      </x:c>
      <x:c r="F453" s="56" t="str">
        <x:v>是</x:v>
      </x:c>
      <x:c r="G453" s="56" t="str">
        <x:v>程序未检出确定性冲突；仍待语义复核</x:v>
      </x:c>
      <x:c r="H453" s="56" t="str">
        <x:v>待确认</x:v>
      </x:c>
      <x:c r="I453" s="56" t="str">
        <x:v>待确认</x:v>
      </x:c>
      <x:c r="J453" s="59" t="str">
        <x:v>待确认</x:v>
      </x:c>
      <x:c r="K453" s="56" t="str"/>
      <x:c r="L453" s="56" t="str"/>
      <x:c r="M453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54">
      <x:c r="A454" s="56" t="str">
        <x:v>P034</x:v>
      </x:c>
      <x:c r="B454" s="56" t="str">
        <x:v>HX-ADD-022</x:v>
      </x:c>
      <x:c r="C454" s="56" t="str">
        <x:v>allergyHistory</x:v>
      </x:c>
      <x:c r="D454" s="56" t="str">
        <x:v>{"status":"absent","patientAnswerZh":"我没有已知药物或食物过敏。","patientAnswerEn":"I have no known drug or food allergies.","provenance":"author_added_for_simulation","teacherReviewRequired":true}</x:v>
      </x:c>
      <x:c r="E454" s="56" t="str">
        <x:v>author_added_for_simulation</x:v>
      </x:c>
      <x:c r="F454" s="56" t="str">
        <x:v>是</x:v>
      </x:c>
      <x:c r="G454" s="56" t="str">
        <x:v>程序未检出确定性冲突；仍待语义复核</x:v>
      </x:c>
      <x:c r="H454" s="56" t="str">
        <x:v>待确认</x:v>
      </x:c>
      <x:c r="I454" s="56" t="str">
        <x:v>是</x:v>
      </x:c>
      <x:c r="J454" s="59" t="str">
        <x:v>待确认</x:v>
      </x:c>
      <x:c r="K454" s="56" t="str"/>
      <x:c r="L454" s="56" t="str"/>
      <x:c r="M454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55">
      <x:c r="A455" s="56" t="str">
        <x:v>P034</x:v>
      </x:c>
      <x:c r="B455" s="56" t="str">
        <x:v>HX-ADD-022</x:v>
      </x:c>
      <x:c r="C455" s="56" t="str">
        <x:v>anticoagulantUse</x:v>
      </x:c>
      <x:c r="D455" s="56" t="str">
        <x:v>{"status":"absent","patientAnswerZh":"我没有服用华法林、利伐沙班等抗凝药。","patientAnswerEn":"I do not take anticoagulants.","provenance":"author_added_for_simulation","teacherReviewRequired":true}</x:v>
      </x:c>
      <x:c r="E455" s="56" t="str">
        <x:v>author_added_for_simulation</x:v>
      </x:c>
      <x:c r="F455" s="56" t="str">
        <x:v>是</x:v>
      </x:c>
      <x:c r="G455" s="56" t="str">
        <x:v>程序未检出确定性冲突；仍待语义复核</x:v>
      </x:c>
      <x:c r="H455" s="56" t="str">
        <x:v>可能</x:v>
      </x:c>
      <x:c r="I455" s="56" t="str">
        <x:v>是</x:v>
      </x:c>
      <x:c r="J455" s="59" t="str">
        <x:v>待确认</x:v>
      </x:c>
      <x:c r="K455" s="56" t="str"/>
      <x:c r="L455" s="56" t="str"/>
      <x:c r="M455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56">
      <x:c r="A456" s="56" t="str">
        <x:v>P034</x:v>
      </x:c>
      <x:c r="B456" s="56" t="str">
        <x:v>HX-ADD-022</x:v>
      </x:c>
      <x:c r="C456" s="56" t="str">
        <x:v>antiplateletUse</x:v>
      </x:c>
      <x:c r="D456" s="56" t="str">
        <x:v>{"status":"absent","patientAnswerZh":"我没有服用阿司匹林或氯吡格雷。","patientAnswerEn":"I do not take antiplatelet medication.","provenance":"author_added_for_simulation","teacherReviewRequired":true}</x:v>
      </x:c>
      <x:c r="E456" s="56" t="str">
        <x:v>author_added_for_simulation</x:v>
      </x:c>
      <x:c r="F456" s="56" t="str">
        <x:v>是</x:v>
      </x:c>
      <x:c r="G456" s="56" t="str">
        <x:v>程序未检出确定性冲突；仍待语义复核</x:v>
      </x:c>
      <x:c r="H456" s="56" t="str">
        <x:v>可能</x:v>
      </x:c>
      <x:c r="I456" s="56" t="str">
        <x:v>是</x:v>
      </x:c>
      <x:c r="J456" s="59" t="str">
        <x:v>待确认</x:v>
      </x:c>
      <x:c r="K456" s="56" t="str"/>
      <x:c r="L456" s="56" t="str"/>
      <x:c r="M456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57">
      <x:c r="A457" s="56" t="str">
        <x:v>P034</x:v>
      </x:c>
      <x:c r="B457" s="56" t="str">
        <x:v>HX-ADD-022</x:v>
      </x:c>
      <x:c r="C457" s="56" t="str">
        <x:v>familyHistory</x:v>
      </x:c>
      <x:c r="D457" s="56" t="str">
        <x:v>{"status":"absent","patientAnswerZh":"家里没有人得过类似血尿或遗传性肾病。","patientAnswerEn":"No one in my family has had similar hematuria or hereditary kidney disease.","provenance":"author_added_for_simulation","teacherReviewRequired":true}</x:v>
      </x:c>
      <x:c r="E457" s="56" t="str">
        <x:v>author_added_for_simulation</x:v>
      </x:c>
      <x:c r="F457" s="56" t="str">
        <x:v>是</x:v>
      </x:c>
      <x:c r="G457" s="56" t="str">
        <x:v>程序未检出确定性冲突；仍待语义复核</x:v>
      </x:c>
      <x:c r="H457" s="56" t="str">
        <x:v>可能</x:v>
      </x:c>
      <x:c r="I457" s="56" t="str">
        <x:v>是</x:v>
      </x:c>
      <x:c r="J457" s="59" t="str">
        <x:v>待确认</x:v>
      </x:c>
      <x:c r="K457" s="56" t="str"/>
      <x:c r="L457" s="56" t="str"/>
      <x:c r="M457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58">
      <x:c r="A458" s="56" t="str">
        <x:v>P035</x:v>
      </x:c>
      <x:c r="B458" s="56" t="str">
        <x:v>HX-ADD-023</x:v>
      </x:c>
      <x:c r="C458" s="56" t="str">
        <x:v>alcoholHistory</x:v>
      </x:c>
      <x:c r="D458" s="56" t="str">
        <x:v>{"status":"never","type":"","amount":"0","frequency":"never","years":0,"patientAnswerZh":"我平时不喝酒。","patientAnswerEn":"I do not drink alcohol.","provenance":"author_added_for_simulation","teacherReviewRequired":true}</x:v>
      </x:c>
      <x:c r="E458" s="56" t="str">
        <x:v>author_added_for_simulation</x:v>
      </x:c>
      <x:c r="F458" s="56" t="str">
        <x:v>是</x:v>
      </x:c>
      <x:c r="G458" s="56" t="str">
        <x:v>程序未检出确定性冲突；仍待语义复核</x:v>
      </x:c>
      <x:c r="H458" s="56" t="str">
        <x:v>待确认</x:v>
      </x:c>
      <x:c r="I458" s="56" t="str">
        <x:v>待确认</x:v>
      </x:c>
      <x:c r="J458" s="59" t="str">
        <x:v>待确认</x:v>
      </x:c>
      <x:c r="K458" s="56" t="str"/>
      <x:c r="L458" s="56" t="str"/>
      <x:c r="M458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59">
      <x:c r="A459" s="56" t="str">
        <x:v>P035</x:v>
      </x:c>
      <x:c r="B459" s="56" t="str">
        <x:v>HX-ADD-023</x:v>
      </x:c>
      <x:c r="C459" s="56" t="str">
        <x:v>hypertension</x:v>
      </x:c>
      <x:c r="D459" s="56" t="str">
        <x:v>{"status":"absent","patientAnswerZh":"没有高血压。","patientAnswerEn":"I do not have hypertension.","provenance":"source","teacherReviewRequired":false}</x:v>
      </x:c>
      <x:c r="E459" s="56" t="str">
        <x:v>source</x:v>
      </x:c>
      <x:c r="F459" s="56" t="str">
        <x:v>是</x:v>
      </x:c>
      <x:c r="G459" s="56" t="str">
        <x:v>程序未检出确定性冲突；仍待语义复核</x:v>
      </x:c>
      <x:c r="H459" s="56" t="str">
        <x:v>待确认</x:v>
      </x:c>
      <x:c r="I459" s="56" t="str">
        <x:v>是</x:v>
      </x:c>
      <x:c r="J459" s="59" t="str">
        <x:v>待确认</x:v>
      </x:c>
      <x:c r="K459" s="56" t="str"/>
      <x:c r="L459" s="56" t="str"/>
      <x:c r="M459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60">
      <x:c r="A460" s="56" t="str">
        <x:v>P035</x:v>
      </x:c>
      <x:c r="B460" s="56" t="str">
        <x:v>HX-ADD-023</x:v>
      </x:c>
      <x:c r="C460" s="56" t="str">
        <x:v>diabetes</x:v>
      </x:c>
      <x:c r="D460" s="56" t="str">
        <x:v>{"status":"absent","patientAnswerZh":"没有糖尿病。","patientAnswerEn":"I do not have diabetes.","provenance":"source","teacherReviewRequired":false}</x:v>
      </x:c>
      <x:c r="E460" s="56" t="str">
        <x:v>source</x:v>
      </x:c>
      <x:c r="F460" s="56" t="str">
        <x:v>是</x:v>
      </x:c>
      <x:c r="G460" s="56" t="str">
        <x:v>程序未检出确定性冲突；仍待语义复核</x:v>
      </x:c>
      <x:c r="H460" s="56" t="str">
        <x:v>待确认</x:v>
      </x:c>
      <x:c r="I460" s="56" t="str">
        <x:v>待确认</x:v>
      </x:c>
      <x:c r="J460" s="59" t="str">
        <x:v>待确认</x:v>
      </x:c>
      <x:c r="K460" s="56" t="str"/>
      <x:c r="L460" s="56" t="str"/>
      <x:c r="M460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61">
      <x:c r="A461" s="56" t="str">
        <x:v>P035</x:v>
      </x:c>
      <x:c r="B461" s="56" t="str">
        <x:v>HX-ADD-023</x:v>
      </x:c>
      <x:c r="C461" s="56" t="str">
        <x:v>coronaryDisease</x:v>
      </x:c>
      <x:c r="D461" s="56" t="str">
        <x:v>{"status":"absent","patientAnswerZh":"没有冠心病。","patientAnswerEn":"I do not have coronary heart disease.","provenance":"author_added_for_simulation","teacherReviewRequired":true}</x:v>
      </x:c>
      <x:c r="E461" s="56" t="str">
        <x:v>author_added_for_simulation</x:v>
      </x:c>
      <x:c r="F461" s="56" t="str">
        <x:v>是</x:v>
      </x:c>
      <x:c r="G461" s="56" t="str">
        <x:v>程序未检出确定性冲突；仍待语义复核</x:v>
      </x:c>
      <x:c r="H461" s="56" t="str">
        <x:v>待确认</x:v>
      </x:c>
      <x:c r="I461" s="56" t="str">
        <x:v>待确认</x:v>
      </x:c>
      <x:c r="J461" s="59" t="str">
        <x:v>待确认</x:v>
      </x:c>
      <x:c r="K461" s="56" t="str"/>
      <x:c r="L461" s="56" t="str"/>
      <x:c r="M461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62">
      <x:c r="A462" s="56" t="str">
        <x:v>P035</x:v>
      </x:c>
      <x:c r="B462" s="56" t="str">
        <x:v>HX-ADD-023</x:v>
      </x:c>
      <x:c r="C462" s="56" t="str">
        <x:v>stroke</x:v>
      </x:c>
      <x:c r="D462" s="56" t="str">
        <x:v>{"status":"absent","patientAnswerZh":"没有脑卒中。","patientAnswerEn":"I do not have stroke.","provenance":"author_added_for_simulation","teacherReviewRequired":true}</x:v>
      </x:c>
      <x:c r="E462" s="56" t="str">
        <x:v>author_added_for_simulation</x:v>
      </x:c>
      <x:c r="F462" s="56" t="str">
        <x:v>是</x:v>
      </x:c>
      <x:c r="G462" s="56" t="str">
        <x:v>程序未检出确定性冲突；仍待语义复核</x:v>
      </x:c>
      <x:c r="H462" s="56" t="str">
        <x:v>待确认</x:v>
      </x:c>
      <x:c r="I462" s="56" t="str">
        <x:v>待确认</x:v>
      </x:c>
      <x:c r="J462" s="59" t="str">
        <x:v>待确认</x:v>
      </x:c>
      <x:c r="K462" s="56" t="str"/>
      <x:c r="L462" s="56" t="str"/>
      <x:c r="M462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63">
      <x:c r="A463" s="56" t="str">
        <x:v>P035</x:v>
      </x:c>
      <x:c r="B463" s="56" t="str">
        <x:v>HX-ADD-023</x:v>
      </x:c>
      <x:c r="C463" s="56" t="str">
        <x:v>liverDisease</x:v>
      </x:c>
      <x:c r="D463" s="56" t="str">
        <x:v>{"status":"absent","patientAnswerZh":"没有肝病。","patientAnswerEn":"I do not have liver disease.","provenance":"source","teacherReviewRequired":false}</x:v>
      </x:c>
      <x:c r="E463" s="56" t="str">
        <x:v>source</x:v>
      </x:c>
      <x:c r="F463" s="56" t="str">
        <x:v>是</x:v>
      </x:c>
      <x:c r="G463" s="56" t="str">
        <x:v>程序未检出确定性冲突；仍待语义复核</x:v>
      </x:c>
      <x:c r="H463" s="56" t="str">
        <x:v>待确认</x:v>
      </x:c>
      <x:c r="I463" s="56" t="str">
        <x:v>待确认</x:v>
      </x:c>
      <x:c r="J463" s="59" t="str">
        <x:v>待确认</x:v>
      </x:c>
      <x:c r="K463" s="56" t="str"/>
      <x:c r="L463" s="56" t="str"/>
      <x:c r="M463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64">
      <x:c r="A464" s="56" t="str">
        <x:v>P035</x:v>
      </x:c>
      <x:c r="B464" s="56" t="str">
        <x:v>HX-ADD-023</x:v>
      </x:c>
      <x:c r="C464" s="56" t="str">
        <x:v>tuberculosis</x:v>
      </x:c>
      <x:c r="D464" s="56" t="str">
        <x:v>{"status":"absent","patientAnswerZh":"没有结核病。","patientAnswerEn":"I do not have tuberculosis.","provenance":"source","teacherReviewRequired":false}</x:v>
      </x:c>
      <x:c r="E464" s="56" t="str">
        <x:v>source</x:v>
      </x:c>
      <x:c r="F464" s="56" t="str">
        <x:v>是</x:v>
      </x:c>
      <x:c r="G464" s="56" t="str">
        <x:v>程序未检出确定性冲突；仍待语义复核</x:v>
      </x:c>
      <x:c r="H464" s="56" t="str">
        <x:v>待确认</x:v>
      </x:c>
      <x:c r="I464" s="56" t="str">
        <x:v>待确认</x:v>
      </x:c>
      <x:c r="J464" s="59" t="str">
        <x:v>待确认</x:v>
      </x:c>
      <x:c r="K464" s="56" t="str"/>
      <x:c r="L464" s="56" t="str"/>
      <x:c r="M464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65">
      <x:c r="A465" s="56" t="str">
        <x:v>P035</x:v>
      </x:c>
      <x:c r="B465" s="56" t="str">
        <x:v>HX-ADD-023</x:v>
      </x:c>
      <x:c r="C465" s="56" t="str">
        <x:v>urinaryProcedureHistory</x:v>
      </x:c>
      <x:c r="D465" s="56" t="str">
        <x:v>{"status":"absent","patientAnswerZh":"以前没有做过导尿、膀胱镜等泌尿操作。","patientAnswerEn":"I have not had catheterization, cystoscopy, or other urinary procedures.","provenance":"author_added_for_simulation","teacherReviewRequired":true}</x:v>
      </x:c>
      <x:c r="E465" s="56" t="str">
        <x:v>author_added_for_simulation</x:v>
      </x:c>
      <x:c r="F465" s="56" t="str">
        <x:v>是</x:v>
      </x:c>
      <x:c r="G465" s="56" t="str">
        <x:v>程序未检出确定性冲突；仍待语义复核</x:v>
      </x:c>
      <x:c r="H465" s="56" t="str">
        <x:v>待确认</x:v>
      </x:c>
      <x:c r="I465" s="56" t="str">
        <x:v>待确认</x:v>
      </x:c>
      <x:c r="J465" s="59" t="str">
        <x:v>待确认</x:v>
      </x:c>
      <x:c r="K465" s="56" t="str"/>
      <x:c r="L465" s="56" t="str"/>
      <x:c r="M465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66">
      <x:c r="A466" s="56" t="str">
        <x:v>P035</x:v>
      </x:c>
      <x:c r="B466" s="56" t="str">
        <x:v>HX-ADD-023</x:v>
      </x:c>
      <x:c r="C466" s="56" t="str">
        <x:v>surgeryHistory</x:v>
      </x:c>
      <x:c r="D466" s="56" t="str">
        <x:v>{"status":"absent","patientAnswerZh":"我以前没有做过手术。","patientAnswerEn":"I have never had surgery.","provenance":"author_added_for_simulation","teacherReviewRequired":true}</x:v>
      </x:c>
      <x:c r="E466" s="56" t="str">
        <x:v>author_added_for_simulation</x:v>
      </x:c>
      <x:c r="F466" s="56" t="str">
        <x:v>是</x:v>
      </x:c>
      <x:c r="G466" s="56" t="str">
        <x:v>程序未检出确定性冲突；仍待语义复核</x:v>
      </x:c>
      <x:c r="H466" s="56" t="str">
        <x:v>待确认</x:v>
      </x:c>
      <x:c r="I466" s="56" t="str">
        <x:v>是</x:v>
      </x:c>
      <x:c r="J466" s="59" t="str">
        <x:v>待确认</x:v>
      </x:c>
      <x:c r="K466" s="56" t="str"/>
      <x:c r="L466" s="56" t="str"/>
      <x:c r="M466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67">
      <x:c r="A467" s="56" t="str">
        <x:v>P035</x:v>
      </x:c>
      <x:c r="B467" s="56" t="str">
        <x:v>HX-ADD-023</x:v>
      </x:c>
      <x:c r="C467" s="56" t="str">
        <x:v>transfusionHistory</x:v>
      </x:c>
      <x:c r="D467" s="56" t="str">
        <x:v>{"status":"absent","patientAnswerZh":"我以前没有输过血。","patientAnswerEn":"I have never had a blood transfusion.","provenance":"author_added_for_simulation","teacherReviewRequired":true}</x:v>
      </x:c>
      <x:c r="E467" s="56" t="str">
        <x:v>author_added_for_simulation</x:v>
      </x:c>
      <x:c r="F467" s="56" t="str">
        <x:v>是</x:v>
      </x:c>
      <x:c r="G467" s="56" t="str">
        <x:v>程序未检出确定性冲突；仍待语义复核</x:v>
      </x:c>
      <x:c r="H467" s="56" t="str">
        <x:v>待确认</x:v>
      </x:c>
      <x:c r="I467" s="56" t="str">
        <x:v>待确认</x:v>
      </x:c>
      <x:c r="J467" s="59" t="str">
        <x:v>待确认</x:v>
      </x:c>
      <x:c r="K467" s="56" t="str"/>
      <x:c r="L467" s="56" t="str"/>
      <x:c r="M467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68">
      <x:c r="A468" s="56" t="str">
        <x:v>P035</x:v>
      </x:c>
      <x:c r="B468" s="56" t="str">
        <x:v>HX-ADD-023</x:v>
      </x:c>
      <x:c r="C468" s="56" t="str">
        <x:v>allergyHistory</x:v>
      </x:c>
      <x:c r="D468" s="56" t="str">
        <x:v>{"status":"absent","patientAnswerZh":"我没有已知药物或食物过敏。","patientAnswerEn":"I have no known drug or food allergies.","provenance":"author_added_for_simulation","teacherReviewRequired":true}</x:v>
      </x:c>
      <x:c r="E468" s="56" t="str">
        <x:v>author_added_for_simulation</x:v>
      </x:c>
      <x:c r="F468" s="56" t="str">
        <x:v>是</x:v>
      </x:c>
      <x:c r="G468" s="56" t="str">
        <x:v>程序未检出确定性冲突；仍待语义复核</x:v>
      </x:c>
      <x:c r="H468" s="56" t="str">
        <x:v>待确认</x:v>
      </x:c>
      <x:c r="I468" s="56" t="str">
        <x:v>是</x:v>
      </x:c>
      <x:c r="J468" s="59" t="str">
        <x:v>待确认</x:v>
      </x:c>
      <x:c r="K468" s="56" t="str"/>
      <x:c r="L468" s="56" t="str"/>
      <x:c r="M468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69">
      <x:c r="A469" s="56" t="str">
        <x:v>P035</x:v>
      </x:c>
      <x:c r="B469" s="56" t="str">
        <x:v>HX-ADD-023</x:v>
      </x:c>
      <x:c r="C469" s="56" t="str">
        <x:v>anticoagulantUse</x:v>
      </x:c>
      <x:c r="D469" s="56" t="str">
        <x:v>{"status":"absent","patientAnswerZh":"我没有服用华法林、利伐沙班等抗凝药。","patientAnswerEn":"I do not take anticoagulants.","provenance":"author_added_for_simulation","teacherReviewRequired":true}</x:v>
      </x:c>
      <x:c r="E469" s="56" t="str">
        <x:v>author_added_for_simulation</x:v>
      </x:c>
      <x:c r="F469" s="56" t="str">
        <x:v>是</x:v>
      </x:c>
      <x:c r="G469" s="56" t="str">
        <x:v>程序未检出确定性冲突；仍待语义复核</x:v>
      </x:c>
      <x:c r="H469" s="56" t="str">
        <x:v>可能</x:v>
      </x:c>
      <x:c r="I469" s="56" t="str">
        <x:v>是</x:v>
      </x:c>
      <x:c r="J469" s="59" t="str">
        <x:v>待确认</x:v>
      </x:c>
      <x:c r="K469" s="56" t="str"/>
      <x:c r="L469" s="56" t="str"/>
      <x:c r="M469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70">
      <x:c r="A470" s="56" t="str">
        <x:v>P035</x:v>
      </x:c>
      <x:c r="B470" s="56" t="str">
        <x:v>HX-ADD-023</x:v>
      </x:c>
      <x:c r="C470" s="56" t="str">
        <x:v>antiplateletUse</x:v>
      </x:c>
      <x:c r="D470" s="56" t="str">
        <x:v>{"status":"absent","patientAnswerZh":"我没有服用阿司匹林或氯吡格雷。","patientAnswerEn":"I do not take antiplatelet medication.","provenance":"author_added_for_simulation","teacherReviewRequired":true}</x:v>
      </x:c>
      <x:c r="E470" s="56" t="str">
        <x:v>author_added_for_simulation</x:v>
      </x:c>
      <x:c r="F470" s="56" t="str">
        <x:v>是</x:v>
      </x:c>
      <x:c r="G470" s="56" t="str">
        <x:v>程序未检出确定性冲突；仍待语义复核</x:v>
      </x:c>
      <x:c r="H470" s="56" t="str">
        <x:v>可能</x:v>
      </x:c>
      <x:c r="I470" s="56" t="str">
        <x:v>是</x:v>
      </x:c>
      <x:c r="J470" s="59" t="str">
        <x:v>待确认</x:v>
      </x:c>
      <x:c r="K470" s="56" t="str"/>
      <x:c r="L470" s="56" t="str"/>
      <x:c r="M470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71">
      <x:c r="A471" s="56" t="str">
        <x:v>P035</x:v>
      </x:c>
      <x:c r="B471" s="56" t="str">
        <x:v>HX-ADD-023</x:v>
      </x:c>
      <x:c r="C471" s="56" t="str">
        <x:v>familyHistory</x:v>
      </x:c>
      <x:c r="D471" s="56" t="str">
        <x:v>{"status":"absent","patientAnswerZh":"家里没有人得过类似血尿或遗传性肾病。","patientAnswerEn":"No one in my family has had similar hematuria or hereditary kidney disease.","provenance":"author_added_for_simulation","teacherReviewRequired":true}</x:v>
      </x:c>
      <x:c r="E471" s="56" t="str">
        <x:v>author_added_for_simulation</x:v>
      </x:c>
      <x:c r="F471" s="56" t="str">
        <x:v>是</x:v>
      </x:c>
      <x:c r="G471" s="56" t="str">
        <x:v>程序未检出确定性冲突；仍待语义复核</x:v>
      </x:c>
      <x:c r="H471" s="56" t="str">
        <x:v>可能</x:v>
      </x:c>
      <x:c r="I471" s="56" t="str">
        <x:v>是</x:v>
      </x:c>
      <x:c r="J471" s="59" t="str">
        <x:v>待确认</x:v>
      </x:c>
      <x:c r="K471" s="56" t="str"/>
      <x:c r="L471" s="56" t="str"/>
      <x:c r="M471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72">
      <x:c r="A472" s="56" t="str">
        <x:v>P035</x:v>
      </x:c>
      <x:c r="B472" s="56" t="str">
        <x:v>HX-ADD-023</x:v>
      </x:c>
      <x:c r="C472" s="56" t="str">
        <x:v>menstrualHistory</x:v>
      </x:c>
      <x:c r="D472" s="56" t="str">
        <x:v>{"status":"absent","patientAnswerZh":"月经情况正常，这次尿色异常不是在月经期。","patientAnswerEn":"My periods are regular, and this episode did not occur during menstruation.","provenance":"author_added_for_simulation","teacherReviewRequired":true}</x:v>
      </x:c>
      <x:c r="E472" s="56" t="str">
        <x:v>author_added_for_simulation</x:v>
      </x:c>
      <x:c r="F472" s="56" t="str">
        <x:v>是</x:v>
      </x:c>
      <x:c r="G472" s="56" t="str">
        <x:v>程序未检出确定性冲突；仍待语义复核</x:v>
      </x:c>
      <x:c r="H472" s="56" t="str">
        <x:v>可能</x:v>
      </x:c>
      <x:c r="I472" s="56" t="str">
        <x:v>待确认</x:v>
      </x:c>
      <x:c r="J472" s="59" t="str">
        <x:v>待确认</x:v>
      </x:c>
      <x:c r="K472" s="56" t="str"/>
      <x:c r="L472" s="56" t="str"/>
      <x:c r="M472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73">
      <x:c r="A473" s="56" t="str">
        <x:v>P035</x:v>
      </x:c>
      <x:c r="B473" s="56" t="str">
        <x:v>HX-ADD-023</x:v>
      </x:c>
      <x:c r="C473" s="56" t="str">
        <x:v>pregnancyHistory</x:v>
      </x:c>
      <x:c r="D473" s="56" t="str">
        <x:v>{"status":"absent","patientAnswerZh":"目前没有怀孕。","patientAnswerEn":"I am not currently pregnant.","provenance":"author_added_for_simulation","teacherReviewRequired":true}</x:v>
      </x:c>
      <x:c r="E473" s="56" t="str">
        <x:v>author_added_for_simulation</x:v>
      </x:c>
      <x:c r="F473" s="56" t="str">
        <x:v>是</x:v>
      </x:c>
      <x:c r="G473" s="56" t="str">
        <x:v>程序未检出确定性冲突；仍待语义复核</x:v>
      </x:c>
      <x:c r="H473" s="56" t="str">
        <x:v>可能</x:v>
      </x:c>
      <x:c r="I473" s="56" t="str">
        <x:v>待确认</x:v>
      </x:c>
      <x:c r="J473" s="59" t="str">
        <x:v>待确认</x:v>
      </x:c>
      <x:c r="K473" s="56" t="str"/>
      <x:c r="L473" s="56" t="str"/>
      <x:c r="M473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74">
      <x:c r="A474" s="56" t="str">
        <x:v>P036</x:v>
      </x:c>
      <x:c r="B474" s="56" t="str">
        <x:v>HX-ADD-024</x:v>
      </x:c>
      <x:c r="C474" s="56" t="str">
        <x:v>alcoholHistory</x:v>
      </x:c>
      <x:c r="D474" s="56" t="str">
        <x:v>{"status":"never","type":"","amount":"0","frequency":"never","years":0,"patientAnswerZh":"我平时不喝酒。","patientAnswerEn":"I do not drink alcohol.","provenance":"author_added_for_simulation","teacherReviewRequired":true}</x:v>
      </x:c>
      <x:c r="E474" s="56" t="str">
        <x:v>author_added_for_simulation</x:v>
      </x:c>
      <x:c r="F474" s="56" t="str">
        <x:v>是</x:v>
      </x:c>
      <x:c r="G474" s="56" t="str">
        <x:v>程序未检出确定性冲突；仍待语义复核</x:v>
      </x:c>
      <x:c r="H474" s="56" t="str">
        <x:v>待确认</x:v>
      </x:c>
      <x:c r="I474" s="56" t="str">
        <x:v>待确认</x:v>
      </x:c>
      <x:c r="J474" s="59" t="str">
        <x:v>待确认</x:v>
      </x:c>
      <x:c r="K474" s="56" t="str"/>
      <x:c r="L474" s="56" t="str"/>
      <x:c r="M474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75">
      <x:c r="A475" s="56" t="str">
        <x:v>P036</x:v>
      </x:c>
      <x:c r="B475" s="56" t="str">
        <x:v>HX-ADD-024</x:v>
      </x:c>
      <x:c r="C475" s="56" t="str">
        <x:v>hypertension</x:v>
      </x:c>
      <x:c r="D475" s="56" t="str">
        <x:v>{"status":"absent","patientAnswerZh":"没有高血压。","patientAnswerEn":"I do not have hypertension.","provenance":"source","teacherReviewRequired":false}</x:v>
      </x:c>
      <x:c r="E475" s="56" t="str">
        <x:v>source</x:v>
      </x:c>
      <x:c r="F475" s="56" t="str">
        <x:v>是</x:v>
      </x:c>
      <x:c r="G475" s="56" t="str">
        <x:v>程序未检出确定性冲突；仍待语义复核</x:v>
      </x:c>
      <x:c r="H475" s="56" t="str">
        <x:v>待确认</x:v>
      </x:c>
      <x:c r="I475" s="56" t="str">
        <x:v>是</x:v>
      </x:c>
      <x:c r="J475" s="59" t="str">
        <x:v>待确认</x:v>
      </x:c>
      <x:c r="K475" s="56" t="str"/>
      <x:c r="L475" s="56" t="str"/>
      <x:c r="M475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76">
      <x:c r="A476" s="56" t="str">
        <x:v>P036</x:v>
      </x:c>
      <x:c r="B476" s="56" t="str">
        <x:v>HX-ADD-024</x:v>
      </x:c>
      <x:c r="C476" s="56" t="str">
        <x:v>diabetes</x:v>
      </x:c>
      <x:c r="D476" s="56" t="str">
        <x:v>{"status":"absent","patientAnswerZh":"没有糖尿病。","patientAnswerEn":"I do not have diabetes.","provenance":"source","teacherReviewRequired":false}</x:v>
      </x:c>
      <x:c r="E476" s="56" t="str">
        <x:v>source</x:v>
      </x:c>
      <x:c r="F476" s="56" t="str">
        <x:v>是</x:v>
      </x:c>
      <x:c r="G476" s="56" t="str">
        <x:v>程序未检出确定性冲突；仍待语义复核</x:v>
      </x:c>
      <x:c r="H476" s="56" t="str">
        <x:v>待确认</x:v>
      </x:c>
      <x:c r="I476" s="56" t="str">
        <x:v>待确认</x:v>
      </x:c>
      <x:c r="J476" s="59" t="str">
        <x:v>待确认</x:v>
      </x:c>
      <x:c r="K476" s="56" t="str"/>
      <x:c r="L476" s="56" t="str"/>
      <x:c r="M476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77">
      <x:c r="A477" s="56" t="str">
        <x:v>P036</x:v>
      </x:c>
      <x:c r="B477" s="56" t="str">
        <x:v>HX-ADD-024</x:v>
      </x:c>
      <x:c r="C477" s="56" t="str">
        <x:v>coronaryDisease</x:v>
      </x:c>
      <x:c r="D477" s="56" t="str">
        <x:v>{"status":"absent","patientAnswerZh":"没有冠心病。","patientAnswerEn":"I do not have coronary heart disease.","provenance":"author_added_for_simulation","teacherReviewRequired":true}</x:v>
      </x:c>
      <x:c r="E477" s="56" t="str">
        <x:v>author_added_for_simulation</x:v>
      </x:c>
      <x:c r="F477" s="56" t="str">
        <x:v>是</x:v>
      </x:c>
      <x:c r="G477" s="56" t="str">
        <x:v>程序未检出确定性冲突；仍待语义复核</x:v>
      </x:c>
      <x:c r="H477" s="56" t="str">
        <x:v>待确认</x:v>
      </x:c>
      <x:c r="I477" s="56" t="str">
        <x:v>待确认</x:v>
      </x:c>
      <x:c r="J477" s="59" t="str">
        <x:v>待确认</x:v>
      </x:c>
      <x:c r="K477" s="56" t="str"/>
      <x:c r="L477" s="56" t="str"/>
      <x:c r="M477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78">
      <x:c r="A478" s="56" t="str">
        <x:v>P036</x:v>
      </x:c>
      <x:c r="B478" s="56" t="str">
        <x:v>HX-ADD-024</x:v>
      </x:c>
      <x:c r="C478" s="56" t="str">
        <x:v>stroke</x:v>
      </x:c>
      <x:c r="D478" s="56" t="str">
        <x:v>{"status":"absent","patientAnswerZh":"没有脑卒中。","patientAnswerEn":"I do not have stroke.","provenance":"author_added_for_simulation","teacherReviewRequired":true}</x:v>
      </x:c>
      <x:c r="E478" s="56" t="str">
        <x:v>author_added_for_simulation</x:v>
      </x:c>
      <x:c r="F478" s="56" t="str">
        <x:v>是</x:v>
      </x:c>
      <x:c r="G478" s="56" t="str">
        <x:v>程序未检出确定性冲突；仍待语义复核</x:v>
      </x:c>
      <x:c r="H478" s="56" t="str">
        <x:v>待确认</x:v>
      </x:c>
      <x:c r="I478" s="56" t="str">
        <x:v>待确认</x:v>
      </x:c>
      <x:c r="J478" s="59" t="str">
        <x:v>待确认</x:v>
      </x:c>
      <x:c r="K478" s="56" t="str"/>
      <x:c r="L478" s="56" t="str"/>
      <x:c r="M478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79">
      <x:c r="A479" s="56" t="str">
        <x:v>P036</x:v>
      </x:c>
      <x:c r="B479" s="56" t="str">
        <x:v>HX-ADD-024</x:v>
      </x:c>
      <x:c r="C479" s="56" t="str">
        <x:v>liverDisease</x:v>
      </x:c>
      <x:c r="D479" s="56" t="str">
        <x:v>{"status":"absent","patientAnswerZh":"没有肝病。","patientAnswerEn":"I do not have liver disease.","provenance":"source","teacherReviewRequired":false}</x:v>
      </x:c>
      <x:c r="E479" s="56" t="str">
        <x:v>source</x:v>
      </x:c>
      <x:c r="F479" s="56" t="str">
        <x:v>是</x:v>
      </x:c>
      <x:c r="G479" s="56" t="str">
        <x:v>程序未检出确定性冲突；仍待语义复核</x:v>
      </x:c>
      <x:c r="H479" s="56" t="str">
        <x:v>待确认</x:v>
      </x:c>
      <x:c r="I479" s="56" t="str">
        <x:v>待确认</x:v>
      </x:c>
      <x:c r="J479" s="59" t="str">
        <x:v>待确认</x:v>
      </x:c>
      <x:c r="K479" s="56" t="str"/>
      <x:c r="L479" s="56" t="str"/>
      <x:c r="M479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80">
      <x:c r="A480" s="56" t="str">
        <x:v>P036</x:v>
      </x:c>
      <x:c r="B480" s="56" t="str">
        <x:v>HX-ADD-024</x:v>
      </x:c>
      <x:c r="C480" s="56" t="str">
        <x:v>tuberculosis</x:v>
      </x:c>
      <x:c r="D480" s="56" t="str">
        <x:v>{"status":"absent","patientAnswerZh":"没有结核病。","patientAnswerEn":"I do not have tuberculosis.","provenance":"source","teacherReviewRequired":false}</x:v>
      </x:c>
      <x:c r="E480" s="56" t="str">
        <x:v>source</x:v>
      </x:c>
      <x:c r="F480" s="56" t="str">
        <x:v>是</x:v>
      </x:c>
      <x:c r="G480" s="56" t="str">
        <x:v>程序未检出确定性冲突；仍待语义复核</x:v>
      </x:c>
      <x:c r="H480" s="56" t="str">
        <x:v>待确认</x:v>
      </x:c>
      <x:c r="I480" s="56" t="str">
        <x:v>待确认</x:v>
      </x:c>
      <x:c r="J480" s="59" t="str">
        <x:v>待确认</x:v>
      </x:c>
      <x:c r="K480" s="56" t="str"/>
      <x:c r="L480" s="56" t="str"/>
      <x:c r="M480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81">
      <x:c r="A481" s="56" t="str">
        <x:v>P036</x:v>
      </x:c>
      <x:c r="B481" s="56" t="str">
        <x:v>HX-ADD-024</x:v>
      </x:c>
      <x:c r="C481" s="56" t="str">
        <x:v>urinaryProcedureHistory</x:v>
      </x:c>
      <x:c r="D481" s="56" t="str">
        <x:v>{"status":"absent","patientAnswerZh":"以前没有做过导尿、膀胱镜等泌尿操作。","patientAnswerEn":"I have not had catheterization, cystoscopy, or other urinary procedures.","provenance":"author_added_for_simulation","teacherReviewRequired":true}</x:v>
      </x:c>
      <x:c r="E481" s="56" t="str">
        <x:v>author_added_for_simulation</x:v>
      </x:c>
      <x:c r="F481" s="56" t="str">
        <x:v>是</x:v>
      </x:c>
      <x:c r="G481" s="56" t="str">
        <x:v>程序未检出确定性冲突；仍待语义复核</x:v>
      </x:c>
      <x:c r="H481" s="56" t="str">
        <x:v>待确认</x:v>
      </x:c>
      <x:c r="I481" s="56" t="str">
        <x:v>待确认</x:v>
      </x:c>
      <x:c r="J481" s="59" t="str">
        <x:v>待确认</x:v>
      </x:c>
      <x:c r="K481" s="56" t="str"/>
      <x:c r="L481" s="56" t="str"/>
      <x:c r="M481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82">
      <x:c r="A482" s="56" t="str">
        <x:v>P036</x:v>
      </x:c>
      <x:c r="B482" s="56" t="str">
        <x:v>HX-ADD-024</x:v>
      </x:c>
      <x:c r="C482" s="56" t="str">
        <x:v>surgeryHistory</x:v>
      </x:c>
      <x:c r="D482" s="56" t="str">
        <x:v>{"status":"absent","patientAnswerZh":"我以前没有做过手术。","patientAnswerEn":"I have never had surgery.","provenance":"author_added_for_simulation","teacherReviewRequired":true}</x:v>
      </x:c>
      <x:c r="E482" s="56" t="str">
        <x:v>author_added_for_simulation</x:v>
      </x:c>
      <x:c r="F482" s="56" t="str">
        <x:v>是</x:v>
      </x:c>
      <x:c r="G482" s="56" t="str">
        <x:v>程序未检出确定性冲突；仍待语义复核</x:v>
      </x:c>
      <x:c r="H482" s="56" t="str">
        <x:v>待确认</x:v>
      </x:c>
      <x:c r="I482" s="56" t="str">
        <x:v>是</x:v>
      </x:c>
      <x:c r="J482" s="59" t="str">
        <x:v>待确认</x:v>
      </x:c>
      <x:c r="K482" s="56" t="str"/>
      <x:c r="L482" s="56" t="str"/>
      <x:c r="M482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83">
      <x:c r="A483" s="56" t="str">
        <x:v>P036</x:v>
      </x:c>
      <x:c r="B483" s="56" t="str">
        <x:v>HX-ADD-024</x:v>
      </x:c>
      <x:c r="C483" s="56" t="str">
        <x:v>transfusionHistory</x:v>
      </x:c>
      <x:c r="D483" s="56" t="str">
        <x:v>{"status":"absent","patientAnswerZh":"我以前没有输过血。","patientAnswerEn":"I have never had a blood transfusion.","provenance":"author_added_for_simulation","teacherReviewRequired":true}</x:v>
      </x:c>
      <x:c r="E483" s="56" t="str">
        <x:v>author_added_for_simulation</x:v>
      </x:c>
      <x:c r="F483" s="56" t="str">
        <x:v>是</x:v>
      </x:c>
      <x:c r="G483" s="56" t="str">
        <x:v>程序未检出确定性冲突；仍待语义复核</x:v>
      </x:c>
      <x:c r="H483" s="56" t="str">
        <x:v>待确认</x:v>
      </x:c>
      <x:c r="I483" s="56" t="str">
        <x:v>待确认</x:v>
      </x:c>
      <x:c r="J483" s="59" t="str">
        <x:v>待确认</x:v>
      </x:c>
      <x:c r="K483" s="56" t="str"/>
      <x:c r="L483" s="56" t="str"/>
      <x:c r="M483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84">
      <x:c r="A484" s="56" t="str">
        <x:v>P036</x:v>
      </x:c>
      <x:c r="B484" s="56" t="str">
        <x:v>HX-ADD-024</x:v>
      </x:c>
      <x:c r="C484" s="56" t="str">
        <x:v>allergyHistory</x:v>
      </x:c>
      <x:c r="D484" s="56" t="str">
        <x:v>{"status":"absent","patientAnswerZh":"我没有已知药物或食物过敏。","patientAnswerEn":"I have no known drug or food allergies.","provenance":"author_added_for_simulation","teacherReviewRequired":true}</x:v>
      </x:c>
      <x:c r="E484" s="56" t="str">
        <x:v>author_added_for_simulation</x:v>
      </x:c>
      <x:c r="F484" s="56" t="str">
        <x:v>是</x:v>
      </x:c>
      <x:c r="G484" s="56" t="str">
        <x:v>程序未检出确定性冲突；仍待语义复核</x:v>
      </x:c>
      <x:c r="H484" s="56" t="str">
        <x:v>待确认</x:v>
      </x:c>
      <x:c r="I484" s="56" t="str">
        <x:v>是</x:v>
      </x:c>
      <x:c r="J484" s="59" t="str">
        <x:v>待确认</x:v>
      </x:c>
      <x:c r="K484" s="56" t="str"/>
      <x:c r="L484" s="56" t="str"/>
      <x:c r="M484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85">
      <x:c r="A485" s="56" t="str">
        <x:v>P036</x:v>
      </x:c>
      <x:c r="B485" s="56" t="str">
        <x:v>HX-ADD-024</x:v>
      </x:c>
      <x:c r="C485" s="56" t="str">
        <x:v>anticoagulantUse</x:v>
      </x:c>
      <x:c r="D485" s="56" t="str">
        <x:v>{"status":"absent","patientAnswerZh":"我没有服用华法林、利伐沙班等抗凝药。","patientAnswerEn":"I do not take anticoagulants.","provenance":"author_added_for_simulation","teacherReviewRequired":true}</x:v>
      </x:c>
      <x:c r="E485" s="56" t="str">
        <x:v>author_added_for_simulation</x:v>
      </x:c>
      <x:c r="F485" s="56" t="str">
        <x:v>是</x:v>
      </x:c>
      <x:c r="G485" s="56" t="str">
        <x:v>程序未检出确定性冲突；仍待语义复核</x:v>
      </x:c>
      <x:c r="H485" s="56" t="str">
        <x:v>可能</x:v>
      </x:c>
      <x:c r="I485" s="56" t="str">
        <x:v>是</x:v>
      </x:c>
      <x:c r="J485" s="59" t="str">
        <x:v>待确认</x:v>
      </x:c>
      <x:c r="K485" s="56" t="str"/>
      <x:c r="L485" s="56" t="str"/>
      <x:c r="M485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86">
      <x:c r="A486" s="56" t="str">
        <x:v>P036</x:v>
      </x:c>
      <x:c r="B486" s="56" t="str">
        <x:v>HX-ADD-024</x:v>
      </x:c>
      <x:c r="C486" s="56" t="str">
        <x:v>antiplateletUse</x:v>
      </x:c>
      <x:c r="D486" s="56" t="str">
        <x:v>{"status":"absent","patientAnswerZh":"我没有服用阿司匹林或氯吡格雷。","patientAnswerEn":"I do not take antiplatelet medication.","provenance":"author_added_for_simulation","teacherReviewRequired":true}</x:v>
      </x:c>
      <x:c r="E486" s="56" t="str">
        <x:v>author_added_for_simulation</x:v>
      </x:c>
      <x:c r="F486" s="56" t="str">
        <x:v>是</x:v>
      </x:c>
      <x:c r="G486" s="56" t="str">
        <x:v>程序未检出确定性冲突；仍待语义复核</x:v>
      </x:c>
      <x:c r="H486" s="56" t="str">
        <x:v>可能</x:v>
      </x:c>
      <x:c r="I486" s="56" t="str">
        <x:v>是</x:v>
      </x:c>
      <x:c r="J486" s="59" t="str">
        <x:v>待确认</x:v>
      </x:c>
      <x:c r="K486" s="56" t="str"/>
      <x:c r="L486" s="56" t="str"/>
      <x:c r="M486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87">
      <x:c r="A487" s="56" t="str">
        <x:v>P036</x:v>
      </x:c>
      <x:c r="B487" s="56" t="str">
        <x:v>HX-ADD-024</x:v>
      </x:c>
      <x:c r="C487" s="56" t="str">
        <x:v>familyHistory</x:v>
      </x:c>
      <x:c r="D487" s="56" t="str">
        <x:v>{"status":"absent","patientAnswerZh":"家里没有人得过类似血尿或遗传性肾病。","patientAnswerEn":"No one in my family has had similar hematuria or hereditary kidney disease.","provenance":"author_added_for_simulation","teacherReviewRequired":true}</x:v>
      </x:c>
      <x:c r="E487" s="56" t="str">
        <x:v>author_added_for_simulation</x:v>
      </x:c>
      <x:c r="F487" s="56" t="str">
        <x:v>是</x:v>
      </x:c>
      <x:c r="G487" s="56" t="str">
        <x:v>程序未检出确定性冲突；仍待语义复核</x:v>
      </x:c>
      <x:c r="H487" s="56" t="str">
        <x:v>可能</x:v>
      </x:c>
      <x:c r="I487" s="56" t="str">
        <x:v>是</x:v>
      </x:c>
      <x:c r="J487" s="59" t="str">
        <x:v>待确认</x:v>
      </x:c>
      <x:c r="K487" s="56" t="str"/>
      <x:c r="L487" s="56" t="str"/>
      <x:c r="M487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88">
      <x:c r="A488" s="56" t="str">
        <x:v>P037</x:v>
      </x:c>
      <x:c r="B488" s="56" t="str">
        <x:v>HX-ADD-025</x:v>
      </x:c>
      <x:c r="C488" s="56" t="str">
        <x:v>alcoholHistory</x:v>
      </x:c>
      <x:c r="D488" s="56" t="str">
        <x:v>{"status":"never","type":"","amount":"0","frequency":"never","years":0,"patientAnswerZh":"我平时不喝酒。","patientAnswerEn":"I do not drink alcohol.","provenance":"author_added_for_simulation","teacherReviewRequired":true}</x:v>
      </x:c>
      <x:c r="E488" s="56" t="str">
        <x:v>author_added_for_simulation</x:v>
      </x:c>
      <x:c r="F488" s="56" t="str">
        <x:v>是</x:v>
      </x:c>
      <x:c r="G488" s="56" t="str">
        <x:v>程序未检出确定性冲突；仍待语义复核</x:v>
      </x:c>
      <x:c r="H488" s="56" t="str">
        <x:v>待确认</x:v>
      </x:c>
      <x:c r="I488" s="56" t="str">
        <x:v>待确认</x:v>
      </x:c>
      <x:c r="J488" s="59" t="str">
        <x:v>待确认</x:v>
      </x:c>
      <x:c r="K488" s="56" t="str"/>
      <x:c r="L488" s="56" t="str"/>
      <x:c r="M488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89">
      <x:c r="A489" s="56" t="str">
        <x:v>P037</x:v>
      </x:c>
      <x:c r="B489" s="56" t="str">
        <x:v>HX-ADD-025</x:v>
      </x:c>
      <x:c r="C489" s="56" t="str">
        <x:v>hypertension</x:v>
      </x:c>
      <x:c r="D489" s="56" t="str">
        <x:v>{"status":"absent","patientAnswerZh":"没有高血压。","patientAnswerEn":"I do not have hypertension.","provenance":"source","teacherReviewRequired":false}</x:v>
      </x:c>
      <x:c r="E489" s="56" t="str">
        <x:v>source</x:v>
      </x:c>
      <x:c r="F489" s="56" t="str">
        <x:v>是</x:v>
      </x:c>
      <x:c r="G489" s="56" t="str">
        <x:v>程序未检出确定性冲突；仍待语义复核</x:v>
      </x:c>
      <x:c r="H489" s="56" t="str">
        <x:v>待确认</x:v>
      </x:c>
      <x:c r="I489" s="56" t="str">
        <x:v>是</x:v>
      </x:c>
      <x:c r="J489" s="59" t="str">
        <x:v>待确认</x:v>
      </x:c>
      <x:c r="K489" s="56" t="str"/>
      <x:c r="L489" s="56" t="str"/>
      <x:c r="M489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90">
      <x:c r="A490" s="56" t="str">
        <x:v>P037</x:v>
      </x:c>
      <x:c r="B490" s="56" t="str">
        <x:v>HX-ADD-025</x:v>
      </x:c>
      <x:c r="C490" s="56" t="str">
        <x:v>diabetes</x:v>
      </x:c>
      <x:c r="D490" s="56" t="str">
        <x:v>{"status":"absent","patientAnswerZh":"没有糖尿病。","patientAnswerEn":"I do not have diabetes.","provenance":"source","teacherReviewRequired":false}</x:v>
      </x:c>
      <x:c r="E490" s="56" t="str">
        <x:v>source</x:v>
      </x:c>
      <x:c r="F490" s="56" t="str">
        <x:v>是</x:v>
      </x:c>
      <x:c r="G490" s="56" t="str">
        <x:v>程序未检出确定性冲突；仍待语义复核</x:v>
      </x:c>
      <x:c r="H490" s="56" t="str">
        <x:v>待确认</x:v>
      </x:c>
      <x:c r="I490" s="56" t="str">
        <x:v>待确认</x:v>
      </x:c>
      <x:c r="J490" s="59" t="str">
        <x:v>待确认</x:v>
      </x:c>
      <x:c r="K490" s="56" t="str"/>
      <x:c r="L490" s="56" t="str"/>
      <x:c r="M490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91">
      <x:c r="A491" s="56" t="str">
        <x:v>P037</x:v>
      </x:c>
      <x:c r="B491" s="56" t="str">
        <x:v>HX-ADD-025</x:v>
      </x:c>
      <x:c r="C491" s="56" t="str">
        <x:v>coronaryDisease</x:v>
      </x:c>
      <x:c r="D491" s="56" t="str">
        <x:v>{"status":"absent","patientAnswerZh":"没有冠心病。","patientAnswerEn":"I do not have coronary heart disease.","provenance":"author_added_for_simulation","teacherReviewRequired":true}</x:v>
      </x:c>
      <x:c r="E491" s="56" t="str">
        <x:v>author_added_for_simulation</x:v>
      </x:c>
      <x:c r="F491" s="56" t="str">
        <x:v>是</x:v>
      </x:c>
      <x:c r="G491" s="56" t="str">
        <x:v>程序未检出确定性冲突；仍待语义复核</x:v>
      </x:c>
      <x:c r="H491" s="56" t="str">
        <x:v>待确认</x:v>
      </x:c>
      <x:c r="I491" s="56" t="str">
        <x:v>待确认</x:v>
      </x:c>
      <x:c r="J491" s="59" t="str">
        <x:v>待确认</x:v>
      </x:c>
      <x:c r="K491" s="56" t="str"/>
      <x:c r="L491" s="56" t="str"/>
      <x:c r="M491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92">
      <x:c r="A492" s="56" t="str">
        <x:v>P037</x:v>
      </x:c>
      <x:c r="B492" s="56" t="str">
        <x:v>HX-ADD-025</x:v>
      </x:c>
      <x:c r="C492" s="56" t="str">
        <x:v>stroke</x:v>
      </x:c>
      <x:c r="D492" s="56" t="str">
        <x:v>{"status":"absent","patientAnswerZh":"没有脑卒中。","patientAnswerEn":"I do not have stroke.","provenance":"author_added_for_simulation","teacherReviewRequired":true}</x:v>
      </x:c>
      <x:c r="E492" s="56" t="str">
        <x:v>author_added_for_simulation</x:v>
      </x:c>
      <x:c r="F492" s="56" t="str">
        <x:v>是</x:v>
      </x:c>
      <x:c r="G492" s="56" t="str">
        <x:v>程序未检出确定性冲突；仍待语义复核</x:v>
      </x:c>
      <x:c r="H492" s="56" t="str">
        <x:v>待确认</x:v>
      </x:c>
      <x:c r="I492" s="56" t="str">
        <x:v>待确认</x:v>
      </x:c>
      <x:c r="J492" s="59" t="str">
        <x:v>待确认</x:v>
      </x:c>
      <x:c r="K492" s="56" t="str"/>
      <x:c r="L492" s="56" t="str"/>
      <x:c r="M492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93">
      <x:c r="A493" s="56" t="str">
        <x:v>P037</x:v>
      </x:c>
      <x:c r="B493" s="56" t="str">
        <x:v>HX-ADD-025</x:v>
      </x:c>
      <x:c r="C493" s="56" t="str">
        <x:v>liverDisease</x:v>
      </x:c>
      <x:c r="D493" s="56" t="str">
        <x:v>{"status":"absent","patientAnswerZh":"没有肝病。","patientAnswerEn":"I do not have liver disease.","provenance":"source","teacherReviewRequired":false}</x:v>
      </x:c>
      <x:c r="E493" s="56" t="str">
        <x:v>source</x:v>
      </x:c>
      <x:c r="F493" s="56" t="str">
        <x:v>是</x:v>
      </x:c>
      <x:c r="G493" s="56" t="str">
        <x:v>程序未检出确定性冲突；仍待语义复核</x:v>
      </x:c>
      <x:c r="H493" s="56" t="str">
        <x:v>待确认</x:v>
      </x:c>
      <x:c r="I493" s="56" t="str">
        <x:v>待确认</x:v>
      </x:c>
      <x:c r="J493" s="59" t="str">
        <x:v>待确认</x:v>
      </x:c>
      <x:c r="K493" s="56" t="str"/>
      <x:c r="L493" s="56" t="str"/>
      <x:c r="M493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94">
      <x:c r="A494" s="56" t="str">
        <x:v>P037</x:v>
      </x:c>
      <x:c r="B494" s="56" t="str">
        <x:v>HX-ADD-025</x:v>
      </x:c>
      <x:c r="C494" s="56" t="str">
        <x:v>tuberculosis</x:v>
      </x:c>
      <x:c r="D494" s="56" t="str">
        <x:v>{"status":"absent","patientAnswerZh":"没有结核病。","patientAnswerEn":"I do not have tuberculosis.","provenance":"source","teacherReviewRequired":false}</x:v>
      </x:c>
      <x:c r="E494" s="56" t="str">
        <x:v>source</x:v>
      </x:c>
      <x:c r="F494" s="56" t="str">
        <x:v>是</x:v>
      </x:c>
      <x:c r="G494" s="56" t="str">
        <x:v>程序未检出确定性冲突；仍待语义复核</x:v>
      </x:c>
      <x:c r="H494" s="56" t="str">
        <x:v>待确认</x:v>
      </x:c>
      <x:c r="I494" s="56" t="str">
        <x:v>待确认</x:v>
      </x:c>
      <x:c r="J494" s="59" t="str">
        <x:v>待确认</x:v>
      </x:c>
      <x:c r="K494" s="56" t="str"/>
      <x:c r="L494" s="56" t="str"/>
      <x:c r="M494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95">
      <x:c r="A495" s="56" t="str">
        <x:v>P037</x:v>
      </x:c>
      <x:c r="B495" s="56" t="str">
        <x:v>HX-ADD-025</x:v>
      </x:c>
      <x:c r="C495" s="56" t="str">
        <x:v>urinaryProcedureHistory</x:v>
      </x:c>
      <x:c r="D495" s="56" t="str">
        <x:v>{"status":"absent","patientAnswerZh":"以前没有做过导尿、膀胱镜等泌尿操作。","patientAnswerEn":"I have not had catheterization, cystoscopy, or other urinary procedures.","provenance":"author_added_for_simulation","teacherReviewRequired":true}</x:v>
      </x:c>
      <x:c r="E495" s="56" t="str">
        <x:v>author_added_for_simulation</x:v>
      </x:c>
      <x:c r="F495" s="56" t="str">
        <x:v>是</x:v>
      </x:c>
      <x:c r="G495" s="56" t="str">
        <x:v>程序未检出确定性冲突；仍待语义复核</x:v>
      </x:c>
      <x:c r="H495" s="56" t="str">
        <x:v>待确认</x:v>
      </x:c>
      <x:c r="I495" s="56" t="str">
        <x:v>待确认</x:v>
      </x:c>
      <x:c r="J495" s="59" t="str">
        <x:v>待确认</x:v>
      </x:c>
      <x:c r="K495" s="56" t="str"/>
      <x:c r="L495" s="56" t="str"/>
      <x:c r="M495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96">
      <x:c r="A496" s="56" t="str">
        <x:v>P037</x:v>
      </x:c>
      <x:c r="B496" s="56" t="str">
        <x:v>HX-ADD-025</x:v>
      </x:c>
      <x:c r="C496" s="56" t="str">
        <x:v>surgeryHistory</x:v>
      </x:c>
      <x:c r="D496" s="56" t="str">
        <x:v>{"status":"absent","patientAnswerZh":"我以前没有做过手术。","patientAnswerEn":"I have never had surgery.","provenance":"author_added_for_simulation","teacherReviewRequired":true}</x:v>
      </x:c>
      <x:c r="E496" s="56" t="str">
        <x:v>author_added_for_simulation</x:v>
      </x:c>
      <x:c r="F496" s="56" t="str">
        <x:v>是</x:v>
      </x:c>
      <x:c r="G496" s="56" t="str">
        <x:v>程序未检出确定性冲突；仍待语义复核</x:v>
      </x:c>
      <x:c r="H496" s="56" t="str">
        <x:v>待确认</x:v>
      </x:c>
      <x:c r="I496" s="56" t="str">
        <x:v>是</x:v>
      </x:c>
      <x:c r="J496" s="59" t="str">
        <x:v>待确认</x:v>
      </x:c>
      <x:c r="K496" s="56" t="str"/>
      <x:c r="L496" s="56" t="str"/>
      <x:c r="M496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97">
      <x:c r="A497" s="56" t="str">
        <x:v>P037</x:v>
      </x:c>
      <x:c r="B497" s="56" t="str">
        <x:v>HX-ADD-025</x:v>
      </x:c>
      <x:c r="C497" s="56" t="str">
        <x:v>transfusionHistory</x:v>
      </x:c>
      <x:c r="D497" s="56" t="str">
        <x:v>{"status":"absent","patientAnswerZh":"我以前没有输过血。","patientAnswerEn":"I have never had a blood transfusion.","provenance":"author_added_for_simulation","teacherReviewRequired":true}</x:v>
      </x:c>
      <x:c r="E497" s="56" t="str">
        <x:v>author_added_for_simulation</x:v>
      </x:c>
      <x:c r="F497" s="56" t="str">
        <x:v>是</x:v>
      </x:c>
      <x:c r="G497" s="56" t="str">
        <x:v>程序未检出确定性冲突；仍待语义复核</x:v>
      </x:c>
      <x:c r="H497" s="56" t="str">
        <x:v>待确认</x:v>
      </x:c>
      <x:c r="I497" s="56" t="str">
        <x:v>待确认</x:v>
      </x:c>
      <x:c r="J497" s="59" t="str">
        <x:v>待确认</x:v>
      </x:c>
      <x:c r="K497" s="56" t="str"/>
      <x:c r="L497" s="56" t="str"/>
      <x:c r="M497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98">
      <x:c r="A498" s="56" t="str">
        <x:v>P037</x:v>
      </x:c>
      <x:c r="B498" s="56" t="str">
        <x:v>HX-ADD-025</x:v>
      </x:c>
      <x:c r="C498" s="56" t="str">
        <x:v>allergyHistory</x:v>
      </x:c>
      <x:c r="D498" s="56" t="str">
        <x:v>{"status":"absent","patientAnswerZh":"我没有已知药物或食物过敏。","patientAnswerEn":"I have no known drug or food allergies.","provenance":"author_added_for_simulation","teacherReviewRequired":true}</x:v>
      </x:c>
      <x:c r="E498" s="56" t="str">
        <x:v>author_added_for_simulation</x:v>
      </x:c>
      <x:c r="F498" s="56" t="str">
        <x:v>是</x:v>
      </x:c>
      <x:c r="G498" s="56" t="str">
        <x:v>程序未检出确定性冲突；仍待语义复核</x:v>
      </x:c>
      <x:c r="H498" s="56" t="str">
        <x:v>待确认</x:v>
      </x:c>
      <x:c r="I498" s="56" t="str">
        <x:v>是</x:v>
      </x:c>
      <x:c r="J498" s="59" t="str">
        <x:v>待确认</x:v>
      </x:c>
      <x:c r="K498" s="56" t="str"/>
      <x:c r="L498" s="56" t="str"/>
      <x:c r="M498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499">
      <x:c r="A499" s="56" t="str">
        <x:v>P037</x:v>
      </x:c>
      <x:c r="B499" s="56" t="str">
        <x:v>HX-ADD-025</x:v>
      </x:c>
      <x:c r="C499" s="56" t="str">
        <x:v>anticoagulantUse</x:v>
      </x:c>
      <x:c r="D499" s="56" t="str">
        <x:v>{"status":"absent","patientAnswerZh":"我没有服用华法林、利伐沙班等抗凝药。","patientAnswerEn":"I do not take anticoagulants.","provenance":"author_added_for_simulation","teacherReviewRequired":true}</x:v>
      </x:c>
      <x:c r="E499" s="56" t="str">
        <x:v>author_added_for_simulation</x:v>
      </x:c>
      <x:c r="F499" s="56" t="str">
        <x:v>是</x:v>
      </x:c>
      <x:c r="G499" s="56" t="str">
        <x:v>程序未检出确定性冲突；仍待语义复核</x:v>
      </x:c>
      <x:c r="H499" s="56" t="str">
        <x:v>可能</x:v>
      </x:c>
      <x:c r="I499" s="56" t="str">
        <x:v>是</x:v>
      </x:c>
      <x:c r="J499" s="59" t="str">
        <x:v>待确认</x:v>
      </x:c>
      <x:c r="K499" s="56" t="str"/>
      <x:c r="L499" s="56" t="str"/>
      <x:c r="M499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00">
      <x:c r="A500" s="56" t="str">
        <x:v>P037</x:v>
      </x:c>
      <x:c r="B500" s="56" t="str">
        <x:v>HX-ADD-025</x:v>
      </x:c>
      <x:c r="C500" s="56" t="str">
        <x:v>antiplateletUse</x:v>
      </x:c>
      <x:c r="D500" s="56" t="str">
        <x:v>{"status":"absent","patientAnswerZh":"我没有服用阿司匹林或氯吡格雷。","patientAnswerEn":"I do not take antiplatelet medication.","provenance":"author_added_for_simulation","teacherReviewRequired":true}</x:v>
      </x:c>
      <x:c r="E500" s="56" t="str">
        <x:v>author_added_for_simulation</x:v>
      </x:c>
      <x:c r="F500" s="56" t="str">
        <x:v>是</x:v>
      </x:c>
      <x:c r="G500" s="56" t="str">
        <x:v>程序未检出确定性冲突；仍待语义复核</x:v>
      </x:c>
      <x:c r="H500" s="56" t="str">
        <x:v>可能</x:v>
      </x:c>
      <x:c r="I500" s="56" t="str">
        <x:v>是</x:v>
      </x:c>
      <x:c r="J500" s="59" t="str">
        <x:v>待确认</x:v>
      </x:c>
      <x:c r="K500" s="56" t="str"/>
      <x:c r="L500" s="56" t="str"/>
      <x:c r="M500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01">
      <x:c r="A501" s="56" t="str">
        <x:v>P037</x:v>
      </x:c>
      <x:c r="B501" s="56" t="str">
        <x:v>HX-ADD-025</x:v>
      </x:c>
      <x:c r="C501" s="56" t="str">
        <x:v>familyHistory</x:v>
      </x:c>
      <x:c r="D501" s="56" t="str">
        <x:v>{"status":"absent","patientAnswerZh":"家里没有人得过类似血尿或遗传性肾病。","patientAnswerEn":"No one in my family has had similar hematuria or hereditary kidney disease.","provenance":"author_added_for_simulation","teacherReviewRequired":true}</x:v>
      </x:c>
      <x:c r="E501" s="56" t="str">
        <x:v>author_added_for_simulation</x:v>
      </x:c>
      <x:c r="F501" s="56" t="str">
        <x:v>是</x:v>
      </x:c>
      <x:c r="G501" s="56" t="str">
        <x:v>程序未检出确定性冲突；仍待语义复核</x:v>
      </x:c>
      <x:c r="H501" s="56" t="str">
        <x:v>可能</x:v>
      </x:c>
      <x:c r="I501" s="56" t="str">
        <x:v>是</x:v>
      </x:c>
      <x:c r="J501" s="59" t="str">
        <x:v>待确认</x:v>
      </x:c>
      <x:c r="K501" s="56" t="str"/>
      <x:c r="L501" s="56" t="str"/>
      <x:c r="M501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02">
      <x:c r="A502" s="56" t="str">
        <x:v>P037</x:v>
      </x:c>
      <x:c r="B502" s="56" t="str">
        <x:v>HX-ADD-025</x:v>
      </x:c>
      <x:c r="C502" s="56" t="str">
        <x:v>menstrualHistory</x:v>
      </x:c>
      <x:c r="D502" s="56" t="str">
        <x:v>{"status":"absent","patientAnswerZh":"月经情况正常，这次尿色异常不是在月经期。","patientAnswerEn":"My periods are regular, and this episode did not occur during menstruation.","provenance":"author_added_for_simulation","teacherReviewRequired":true}</x:v>
      </x:c>
      <x:c r="E502" s="56" t="str">
        <x:v>author_added_for_simulation</x:v>
      </x:c>
      <x:c r="F502" s="56" t="str">
        <x:v>是</x:v>
      </x:c>
      <x:c r="G502" s="56" t="str">
        <x:v>程序未检出确定性冲突；仍待语义复核</x:v>
      </x:c>
      <x:c r="H502" s="56" t="str">
        <x:v>可能</x:v>
      </x:c>
      <x:c r="I502" s="56" t="str">
        <x:v>待确认</x:v>
      </x:c>
      <x:c r="J502" s="59" t="str">
        <x:v>待确认</x:v>
      </x:c>
      <x:c r="K502" s="56" t="str"/>
      <x:c r="L502" s="56" t="str"/>
      <x:c r="M502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03">
      <x:c r="A503" s="56" t="str">
        <x:v>P037</x:v>
      </x:c>
      <x:c r="B503" s="56" t="str">
        <x:v>HX-ADD-025</x:v>
      </x:c>
      <x:c r="C503" s="56" t="str">
        <x:v>pregnancyHistory</x:v>
      </x:c>
      <x:c r="D503" s="56" t="str">
        <x:v>{"status":"absent","patientAnswerZh":"目前没有怀孕。","patientAnswerEn":"I am not currently pregnant.","provenance":"author_added_for_simulation","teacherReviewRequired":true}</x:v>
      </x:c>
      <x:c r="E503" s="56" t="str">
        <x:v>author_added_for_simulation</x:v>
      </x:c>
      <x:c r="F503" s="56" t="str">
        <x:v>是</x:v>
      </x:c>
      <x:c r="G503" s="56" t="str">
        <x:v>程序未检出确定性冲突；仍待语义复核</x:v>
      </x:c>
      <x:c r="H503" s="56" t="str">
        <x:v>可能</x:v>
      </x:c>
      <x:c r="I503" s="56" t="str">
        <x:v>待确认</x:v>
      </x:c>
      <x:c r="J503" s="59" t="str">
        <x:v>待确认</x:v>
      </x:c>
      <x:c r="K503" s="56" t="str"/>
      <x:c r="L503" s="56" t="str"/>
      <x:c r="M503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04">
      <x:c r="A504" s="56" t="str">
        <x:v>P038</x:v>
      </x:c>
      <x:c r="B504" s="56" t="str">
        <x:v>HX-ADD-026</x:v>
      </x:c>
      <x:c r="C504" s="56" t="str">
        <x:v>alcoholHistory</x:v>
      </x:c>
      <x:c r="D504" s="56" t="str">
        <x:v>{"status":"never","type":"","amount":"0","frequency":"never","years":0,"patientAnswerZh":"我平时不喝酒。","patientAnswerEn":"I do not drink alcohol.","provenance":"author_added_for_simulation","teacherReviewRequired":true}</x:v>
      </x:c>
      <x:c r="E504" s="56" t="str">
        <x:v>author_added_for_simulation</x:v>
      </x:c>
      <x:c r="F504" s="56" t="str">
        <x:v>是</x:v>
      </x:c>
      <x:c r="G504" s="56" t="str">
        <x:v>程序未检出确定性冲突；仍待语义复核</x:v>
      </x:c>
      <x:c r="H504" s="56" t="str">
        <x:v>待确认</x:v>
      </x:c>
      <x:c r="I504" s="56" t="str">
        <x:v>待确认</x:v>
      </x:c>
      <x:c r="J504" s="59" t="str">
        <x:v>待确认</x:v>
      </x:c>
      <x:c r="K504" s="56" t="str"/>
      <x:c r="L504" s="56" t="str"/>
      <x:c r="M504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05">
      <x:c r="A505" s="56" t="str">
        <x:v>P038</x:v>
      </x:c>
      <x:c r="B505" s="56" t="str">
        <x:v>HX-ADD-026</x:v>
      </x:c>
      <x:c r="C505" s="56" t="str">
        <x:v>hypertension</x:v>
      </x:c>
      <x:c r="D505" s="56" t="str">
        <x:v>{"status":"absent","patientAnswerZh":"没有高血压。","patientAnswerEn":"I do not have hypertension.","provenance":"source","teacherReviewRequired":false}</x:v>
      </x:c>
      <x:c r="E505" s="56" t="str">
        <x:v>source</x:v>
      </x:c>
      <x:c r="F505" s="56" t="str">
        <x:v>是</x:v>
      </x:c>
      <x:c r="G505" s="56" t="str">
        <x:v>程序未检出确定性冲突；仍待语义复核</x:v>
      </x:c>
      <x:c r="H505" s="56" t="str">
        <x:v>待确认</x:v>
      </x:c>
      <x:c r="I505" s="56" t="str">
        <x:v>是</x:v>
      </x:c>
      <x:c r="J505" s="59" t="str">
        <x:v>待确认</x:v>
      </x:c>
      <x:c r="K505" s="56" t="str"/>
      <x:c r="L505" s="56" t="str"/>
      <x:c r="M505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06">
      <x:c r="A506" s="56" t="str">
        <x:v>P038</x:v>
      </x:c>
      <x:c r="B506" s="56" t="str">
        <x:v>HX-ADD-026</x:v>
      </x:c>
      <x:c r="C506" s="56" t="str">
        <x:v>diabetes</x:v>
      </x:c>
      <x:c r="D506" s="56" t="str">
        <x:v>{"status":"absent","patientAnswerZh":"没有糖尿病。","patientAnswerEn":"I do not have diabetes.","provenance":"source","teacherReviewRequired":false}</x:v>
      </x:c>
      <x:c r="E506" s="56" t="str">
        <x:v>source</x:v>
      </x:c>
      <x:c r="F506" s="56" t="str">
        <x:v>是</x:v>
      </x:c>
      <x:c r="G506" s="56" t="str">
        <x:v>程序未检出确定性冲突；仍待语义复核</x:v>
      </x:c>
      <x:c r="H506" s="56" t="str">
        <x:v>待确认</x:v>
      </x:c>
      <x:c r="I506" s="56" t="str">
        <x:v>待确认</x:v>
      </x:c>
      <x:c r="J506" s="59" t="str">
        <x:v>待确认</x:v>
      </x:c>
      <x:c r="K506" s="56" t="str"/>
      <x:c r="L506" s="56" t="str"/>
      <x:c r="M506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07">
      <x:c r="A507" s="56" t="str">
        <x:v>P038</x:v>
      </x:c>
      <x:c r="B507" s="56" t="str">
        <x:v>HX-ADD-026</x:v>
      </x:c>
      <x:c r="C507" s="56" t="str">
        <x:v>coronaryDisease</x:v>
      </x:c>
      <x:c r="D507" s="56" t="str">
        <x:v>{"status":"absent","patientAnswerZh":"没有冠心病。","patientAnswerEn":"I do not have coronary heart disease.","provenance":"author_added_for_simulation","teacherReviewRequired":true}</x:v>
      </x:c>
      <x:c r="E507" s="56" t="str">
        <x:v>author_added_for_simulation</x:v>
      </x:c>
      <x:c r="F507" s="56" t="str">
        <x:v>是</x:v>
      </x:c>
      <x:c r="G507" s="56" t="str">
        <x:v>程序未检出确定性冲突；仍待语义复核</x:v>
      </x:c>
      <x:c r="H507" s="56" t="str">
        <x:v>待确认</x:v>
      </x:c>
      <x:c r="I507" s="56" t="str">
        <x:v>待确认</x:v>
      </x:c>
      <x:c r="J507" s="59" t="str">
        <x:v>待确认</x:v>
      </x:c>
      <x:c r="K507" s="56" t="str"/>
      <x:c r="L507" s="56" t="str"/>
      <x:c r="M507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08">
      <x:c r="A508" s="56" t="str">
        <x:v>P038</x:v>
      </x:c>
      <x:c r="B508" s="56" t="str">
        <x:v>HX-ADD-026</x:v>
      </x:c>
      <x:c r="C508" s="56" t="str">
        <x:v>stroke</x:v>
      </x:c>
      <x:c r="D508" s="56" t="str">
        <x:v>{"status":"absent","patientAnswerZh":"没有脑卒中。","patientAnswerEn":"I do not have stroke.","provenance":"author_added_for_simulation","teacherReviewRequired":true}</x:v>
      </x:c>
      <x:c r="E508" s="56" t="str">
        <x:v>author_added_for_simulation</x:v>
      </x:c>
      <x:c r="F508" s="56" t="str">
        <x:v>是</x:v>
      </x:c>
      <x:c r="G508" s="56" t="str">
        <x:v>程序未检出确定性冲突；仍待语义复核</x:v>
      </x:c>
      <x:c r="H508" s="56" t="str">
        <x:v>待确认</x:v>
      </x:c>
      <x:c r="I508" s="56" t="str">
        <x:v>待确认</x:v>
      </x:c>
      <x:c r="J508" s="59" t="str">
        <x:v>待确认</x:v>
      </x:c>
      <x:c r="K508" s="56" t="str"/>
      <x:c r="L508" s="56" t="str"/>
      <x:c r="M508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09">
      <x:c r="A509" s="56" t="str">
        <x:v>P038</x:v>
      </x:c>
      <x:c r="B509" s="56" t="str">
        <x:v>HX-ADD-026</x:v>
      </x:c>
      <x:c r="C509" s="56" t="str">
        <x:v>liverDisease</x:v>
      </x:c>
      <x:c r="D509" s="56" t="str">
        <x:v>{"status":"absent","patientAnswerZh":"没有肝病。","patientAnswerEn":"I do not have liver disease.","provenance":"source","teacherReviewRequired":false}</x:v>
      </x:c>
      <x:c r="E509" s="56" t="str">
        <x:v>source</x:v>
      </x:c>
      <x:c r="F509" s="56" t="str">
        <x:v>是</x:v>
      </x:c>
      <x:c r="G509" s="56" t="str">
        <x:v>程序未检出确定性冲突；仍待语义复核</x:v>
      </x:c>
      <x:c r="H509" s="56" t="str">
        <x:v>待确认</x:v>
      </x:c>
      <x:c r="I509" s="56" t="str">
        <x:v>待确认</x:v>
      </x:c>
      <x:c r="J509" s="59" t="str">
        <x:v>待确认</x:v>
      </x:c>
      <x:c r="K509" s="56" t="str"/>
      <x:c r="L509" s="56" t="str"/>
      <x:c r="M509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10">
      <x:c r="A510" s="56" t="str">
        <x:v>P038</x:v>
      </x:c>
      <x:c r="B510" s="56" t="str">
        <x:v>HX-ADD-026</x:v>
      </x:c>
      <x:c r="C510" s="56" t="str">
        <x:v>tuberculosis</x:v>
      </x:c>
      <x:c r="D510" s="56" t="str">
        <x:v>{"status":"absent","patientAnswerZh":"没有结核病。","patientAnswerEn":"I do not have tuberculosis.","provenance":"source","teacherReviewRequired":false}</x:v>
      </x:c>
      <x:c r="E510" s="56" t="str">
        <x:v>source</x:v>
      </x:c>
      <x:c r="F510" s="56" t="str">
        <x:v>是</x:v>
      </x:c>
      <x:c r="G510" s="56" t="str">
        <x:v>程序未检出确定性冲突；仍待语义复核</x:v>
      </x:c>
      <x:c r="H510" s="56" t="str">
        <x:v>待确认</x:v>
      </x:c>
      <x:c r="I510" s="56" t="str">
        <x:v>待确认</x:v>
      </x:c>
      <x:c r="J510" s="59" t="str">
        <x:v>待确认</x:v>
      </x:c>
      <x:c r="K510" s="56" t="str"/>
      <x:c r="L510" s="56" t="str"/>
      <x:c r="M510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11">
      <x:c r="A511" s="56" t="str">
        <x:v>P038</x:v>
      </x:c>
      <x:c r="B511" s="56" t="str">
        <x:v>HX-ADD-026</x:v>
      </x:c>
      <x:c r="C511" s="56" t="str">
        <x:v>urinaryProcedureHistory</x:v>
      </x:c>
      <x:c r="D511" s="56" t="str">
        <x:v>{"status":"absent","patientAnswerZh":"以前没有做过导尿、膀胱镜等泌尿操作。","patientAnswerEn":"I have not had catheterization, cystoscopy, or other urinary procedures.","provenance":"author_added_for_simulation","teacherReviewRequired":true}</x:v>
      </x:c>
      <x:c r="E511" s="56" t="str">
        <x:v>author_added_for_simulation</x:v>
      </x:c>
      <x:c r="F511" s="56" t="str">
        <x:v>是</x:v>
      </x:c>
      <x:c r="G511" s="56" t="str">
        <x:v>程序未检出确定性冲突；仍待语义复核</x:v>
      </x:c>
      <x:c r="H511" s="56" t="str">
        <x:v>待确认</x:v>
      </x:c>
      <x:c r="I511" s="56" t="str">
        <x:v>待确认</x:v>
      </x:c>
      <x:c r="J511" s="59" t="str">
        <x:v>待确认</x:v>
      </x:c>
      <x:c r="K511" s="56" t="str"/>
      <x:c r="L511" s="56" t="str"/>
      <x:c r="M511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12">
      <x:c r="A512" s="56" t="str">
        <x:v>P038</x:v>
      </x:c>
      <x:c r="B512" s="56" t="str">
        <x:v>HX-ADD-026</x:v>
      </x:c>
      <x:c r="C512" s="56" t="str">
        <x:v>surgeryHistory</x:v>
      </x:c>
      <x:c r="D512" s="56" t="str">
        <x:v>{"status":"absent","patientAnswerZh":"我以前没有做过手术。","patientAnswerEn":"I have never had surgery.","provenance":"author_added_for_simulation","teacherReviewRequired":true}</x:v>
      </x:c>
      <x:c r="E512" s="56" t="str">
        <x:v>author_added_for_simulation</x:v>
      </x:c>
      <x:c r="F512" s="56" t="str">
        <x:v>是</x:v>
      </x:c>
      <x:c r="G512" s="56" t="str">
        <x:v>程序未检出确定性冲突；仍待语义复核</x:v>
      </x:c>
      <x:c r="H512" s="56" t="str">
        <x:v>待确认</x:v>
      </x:c>
      <x:c r="I512" s="56" t="str">
        <x:v>是</x:v>
      </x:c>
      <x:c r="J512" s="59" t="str">
        <x:v>待确认</x:v>
      </x:c>
      <x:c r="K512" s="56" t="str"/>
      <x:c r="L512" s="56" t="str"/>
      <x:c r="M512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13">
      <x:c r="A513" s="56" t="str">
        <x:v>P038</x:v>
      </x:c>
      <x:c r="B513" s="56" t="str">
        <x:v>HX-ADD-026</x:v>
      </x:c>
      <x:c r="C513" s="56" t="str">
        <x:v>transfusionHistory</x:v>
      </x:c>
      <x:c r="D513" s="56" t="str">
        <x:v>{"status":"absent","patientAnswerZh":"我以前没有输过血。","patientAnswerEn":"I have never had a blood transfusion.","provenance":"author_added_for_simulation","teacherReviewRequired":true}</x:v>
      </x:c>
      <x:c r="E513" s="56" t="str">
        <x:v>author_added_for_simulation</x:v>
      </x:c>
      <x:c r="F513" s="56" t="str">
        <x:v>是</x:v>
      </x:c>
      <x:c r="G513" s="56" t="str">
        <x:v>程序未检出确定性冲突；仍待语义复核</x:v>
      </x:c>
      <x:c r="H513" s="56" t="str">
        <x:v>待确认</x:v>
      </x:c>
      <x:c r="I513" s="56" t="str">
        <x:v>待确认</x:v>
      </x:c>
      <x:c r="J513" s="59" t="str">
        <x:v>待确认</x:v>
      </x:c>
      <x:c r="K513" s="56" t="str"/>
      <x:c r="L513" s="56" t="str"/>
      <x:c r="M513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14">
      <x:c r="A514" s="56" t="str">
        <x:v>P038</x:v>
      </x:c>
      <x:c r="B514" s="56" t="str">
        <x:v>HX-ADD-026</x:v>
      </x:c>
      <x:c r="C514" s="56" t="str">
        <x:v>allergyHistory</x:v>
      </x:c>
      <x:c r="D514" s="56" t="str">
        <x:v>{"status":"absent","patientAnswerZh":"我没有已知药物或食物过敏。","patientAnswerEn":"I have no known drug or food allergies.","provenance":"author_added_for_simulation","teacherReviewRequired":true}</x:v>
      </x:c>
      <x:c r="E514" s="56" t="str">
        <x:v>author_added_for_simulation</x:v>
      </x:c>
      <x:c r="F514" s="56" t="str">
        <x:v>是</x:v>
      </x:c>
      <x:c r="G514" s="56" t="str">
        <x:v>程序未检出确定性冲突；仍待语义复核</x:v>
      </x:c>
      <x:c r="H514" s="56" t="str">
        <x:v>待确认</x:v>
      </x:c>
      <x:c r="I514" s="56" t="str">
        <x:v>是</x:v>
      </x:c>
      <x:c r="J514" s="59" t="str">
        <x:v>待确认</x:v>
      </x:c>
      <x:c r="K514" s="56" t="str"/>
      <x:c r="L514" s="56" t="str"/>
      <x:c r="M514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15">
      <x:c r="A515" s="56" t="str">
        <x:v>P038</x:v>
      </x:c>
      <x:c r="B515" s="56" t="str">
        <x:v>HX-ADD-026</x:v>
      </x:c>
      <x:c r="C515" s="56" t="str">
        <x:v>anticoagulantUse</x:v>
      </x:c>
      <x:c r="D515" s="56" t="str">
        <x:v>{"status":"absent","patientAnswerZh":"我没有服用华法林、利伐沙班等抗凝药。","patientAnswerEn":"I do not take anticoagulants.","provenance":"author_added_for_simulation","teacherReviewRequired":true}</x:v>
      </x:c>
      <x:c r="E515" s="56" t="str">
        <x:v>author_added_for_simulation</x:v>
      </x:c>
      <x:c r="F515" s="56" t="str">
        <x:v>是</x:v>
      </x:c>
      <x:c r="G515" s="56" t="str">
        <x:v>程序未检出确定性冲突；仍待语义复核</x:v>
      </x:c>
      <x:c r="H515" s="56" t="str">
        <x:v>可能</x:v>
      </x:c>
      <x:c r="I515" s="56" t="str">
        <x:v>是</x:v>
      </x:c>
      <x:c r="J515" s="59" t="str">
        <x:v>待确认</x:v>
      </x:c>
      <x:c r="K515" s="56" t="str"/>
      <x:c r="L515" s="56" t="str"/>
      <x:c r="M515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16">
      <x:c r="A516" s="56" t="str">
        <x:v>P038</x:v>
      </x:c>
      <x:c r="B516" s="56" t="str">
        <x:v>HX-ADD-026</x:v>
      </x:c>
      <x:c r="C516" s="56" t="str">
        <x:v>antiplateletUse</x:v>
      </x:c>
      <x:c r="D516" s="56" t="str">
        <x:v>{"status":"absent","patientAnswerZh":"我没有服用阿司匹林或氯吡格雷。","patientAnswerEn":"I do not take antiplatelet medication.","provenance":"author_added_for_simulation","teacherReviewRequired":true}</x:v>
      </x:c>
      <x:c r="E516" s="56" t="str">
        <x:v>author_added_for_simulation</x:v>
      </x:c>
      <x:c r="F516" s="56" t="str">
        <x:v>是</x:v>
      </x:c>
      <x:c r="G516" s="56" t="str">
        <x:v>程序未检出确定性冲突；仍待语义复核</x:v>
      </x:c>
      <x:c r="H516" s="56" t="str">
        <x:v>可能</x:v>
      </x:c>
      <x:c r="I516" s="56" t="str">
        <x:v>是</x:v>
      </x:c>
      <x:c r="J516" s="59" t="str">
        <x:v>待确认</x:v>
      </x:c>
      <x:c r="K516" s="56" t="str"/>
      <x:c r="L516" s="56" t="str"/>
      <x:c r="M516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17">
      <x:c r="A517" s="56" t="str">
        <x:v>P038</x:v>
      </x:c>
      <x:c r="B517" s="56" t="str">
        <x:v>HX-ADD-026</x:v>
      </x:c>
      <x:c r="C517" s="56" t="str">
        <x:v>familyHistory</x:v>
      </x:c>
      <x:c r="D517" s="56" t="str">
        <x:v>{"status":"absent","patientAnswerZh":"家里没有人得过类似血尿或遗传性肾病。","patientAnswerEn":"No one in my family has had similar hematuria or hereditary kidney disease.","provenance":"author_added_for_simulation","teacherReviewRequired":true}</x:v>
      </x:c>
      <x:c r="E517" s="56" t="str">
        <x:v>author_added_for_simulation</x:v>
      </x:c>
      <x:c r="F517" s="56" t="str">
        <x:v>是</x:v>
      </x:c>
      <x:c r="G517" s="56" t="str">
        <x:v>程序未检出确定性冲突；仍待语义复核</x:v>
      </x:c>
      <x:c r="H517" s="56" t="str">
        <x:v>可能</x:v>
      </x:c>
      <x:c r="I517" s="56" t="str">
        <x:v>是</x:v>
      </x:c>
      <x:c r="J517" s="59" t="str">
        <x:v>待确认</x:v>
      </x:c>
      <x:c r="K517" s="56" t="str"/>
      <x:c r="L517" s="56" t="str"/>
      <x:c r="M517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18">
      <x:c r="A518" s="56" t="str">
        <x:v>P039</x:v>
      </x:c>
      <x:c r="B518" s="56" t="str">
        <x:v>HX-ADD-027</x:v>
      </x:c>
      <x:c r="C518" s="56" t="str">
        <x:v>alcoholHistory</x:v>
      </x:c>
      <x:c r="D518" s="56" t="str">
        <x:v>{"status":"never","type":"","amount":"0","frequency":"never","years":0,"patientAnswerZh":"我平时不喝酒。","patientAnswerEn":"I do not drink alcohol.","provenance":"author_added_for_simulation","teacherReviewRequired":true}</x:v>
      </x:c>
      <x:c r="E518" s="56" t="str">
        <x:v>author_added_for_simulation</x:v>
      </x:c>
      <x:c r="F518" s="56" t="str">
        <x:v>是</x:v>
      </x:c>
      <x:c r="G518" s="56" t="str">
        <x:v>程序未检出确定性冲突；仍待语义复核</x:v>
      </x:c>
      <x:c r="H518" s="56" t="str">
        <x:v>待确认</x:v>
      </x:c>
      <x:c r="I518" s="56" t="str">
        <x:v>待确认</x:v>
      </x:c>
      <x:c r="J518" s="59" t="str">
        <x:v>待确认</x:v>
      </x:c>
      <x:c r="K518" s="56" t="str"/>
      <x:c r="L518" s="56" t="str"/>
      <x:c r="M518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19">
      <x:c r="A519" s="56" t="str">
        <x:v>P039</x:v>
      </x:c>
      <x:c r="B519" s="56" t="str">
        <x:v>HX-ADD-027</x:v>
      </x:c>
      <x:c r="C519" s="56" t="str">
        <x:v>hypertension</x:v>
      </x:c>
      <x:c r="D519" s="56" t="str">
        <x:v>{"status":"absent","patientAnswerZh":"没有高血压。","patientAnswerEn":"I do not have hypertension.","provenance":"source","teacherReviewRequired":false}</x:v>
      </x:c>
      <x:c r="E519" s="56" t="str">
        <x:v>source</x:v>
      </x:c>
      <x:c r="F519" s="56" t="str">
        <x:v>是</x:v>
      </x:c>
      <x:c r="G519" s="56" t="str">
        <x:v>程序未检出确定性冲突；仍待语义复核</x:v>
      </x:c>
      <x:c r="H519" s="56" t="str">
        <x:v>待确认</x:v>
      </x:c>
      <x:c r="I519" s="56" t="str">
        <x:v>是</x:v>
      </x:c>
      <x:c r="J519" s="59" t="str">
        <x:v>待确认</x:v>
      </x:c>
      <x:c r="K519" s="56" t="str"/>
      <x:c r="L519" s="56" t="str"/>
      <x:c r="M519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20">
      <x:c r="A520" s="56" t="str">
        <x:v>P039</x:v>
      </x:c>
      <x:c r="B520" s="56" t="str">
        <x:v>HX-ADD-027</x:v>
      </x:c>
      <x:c r="C520" s="56" t="str">
        <x:v>diabetes</x:v>
      </x:c>
      <x:c r="D520" s="56" t="str">
        <x:v>{"status":"absent","patientAnswerZh":"没有糖尿病。","patientAnswerEn":"I do not have diabetes.","provenance":"source","teacherReviewRequired":false}</x:v>
      </x:c>
      <x:c r="E520" s="56" t="str">
        <x:v>source</x:v>
      </x:c>
      <x:c r="F520" s="56" t="str">
        <x:v>是</x:v>
      </x:c>
      <x:c r="G520" s="56" t="str">
        <x:v>程序未检出确定性冲突；仍待语义复核</x:v>
      </x:c>
      <x:c r="H520" s="56" t="str">
        <x:v>待确认</x:v>
      </x:c>
      <x:c r="I520" s="56" t="str">
        <x:v>待确认</x:v>
      </x:c>
      <x:c r="J520" s="59" t="str">
        <x:v>待确认</x:v>
      </x:c>
      <x:c r="K520" s="56" t="str"/>
      <x:c r="L520" s="56" t="str"/>
      <x:c r="M520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21">
      <x:c r="A521" s="56" t="str">
        <x:v>P039</x:v>
      </x:c>
      <x:c r="B521" s="56" t="str">
        <x:v>HX-ADD-027</x:v>
      </x:c>
      <x:c r="C521" s="56" t="str">
        <x:v>coronaryDisease</x:v>
      </x:c>
      <x:c r="D521" s="56" t="str">
        <x:v>{"status":"absent","patientAnswerZh":"没有冠心病。","patientAnswerEn":"I do not have coronary heart disease.","provenance":"source","teacherReviewRequired":false}</x:v>
      </x:c>
      <x:c r="E521" s="56" t="str">
        <x:v>source</x:v>
      </x:c>
      <x:c r="F521" s="56" t="str">
        <x:v>是</x:v>
      </x:c>
      <x:c r="G521" s="56" t="str">
        <x:v>程序未检出确定性冲突；仍待语义复核</x:v>
      </x:c>
      <x:c r="H521" s="56" t="str">
        <x:v>待确认</x:v>
      </x:c>
      <x:c r="I521" s="56" t="str">
        <x:v>待确认</x:v>
      </x:c>
      <x:c r="J521" s="59" t="str">
        <x:v>待确认</x:v>
      </x:c>
      <x:c r="K521" s="56" t="str"/>
      <x:c r="L521" s="56" t="str"/>
      <x:c r="M521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22">
      <x:c r="A522" s="56" t="str">
        <x:v>P039</x:v>
      </x:c>
      <x:c r="B522" s="56" t="str">
        <x:v>HX-ADD-027</x:v>
      </x:c>
      <x:c r="C522" s="56" t="str">
        <x:v>stroke</x:v>
      </x:c>
      <x:c r="D522" s="56" t="str">
        <x:v>{"status":"absent","patientAnswerZh":"没有脑卒中。","patientAnswerEn":"I do not have stroke.","provenance":"source","teacherReviewRequired":false}</x:v>
      </x:c>
      <x:c r="E522" s="56" t="str">
        <x:v>source</x:v>
      </x:c>
      <x:c r="F522" s="56" t="str">
        <x:v>是</x:v>
      </x:c>
      <x:c r="G522" s="56" t="str">
        <x:v>程序未检出确定性冲突；仍待语义复核</x:v>
      </x:c>
      <x:c r="H522" s="56" t="str">
        <x:v>待确认</x:v>
      </x:c>
      <x:c r="I522" s="56" t="str">
        <x:v>待确认</x:v>
      </x:c>
      <x:c r="J522" s="59" t="str">
        <x:v>待确认</x:v>
      </x:c>
      <x:c r="K522" s="56" t="str"/>
      <x:c r="L522" s="56" t="str"/>
      <x:c r="M522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23">
      <x:c r="A523" s="56" t="str">
        <x:v>P039</x:v>
      </x:c>
      <x:c r="B523" s="56" t="str">
        <x:v>HX-ADD-027</x:v>
      </x:c>
      <x:c r="C523" s="56" t="str">
        <x:v>liverDisease</x:v>
      </x:c>
      <x:c r="D523" s="56" t="str">
        <x:v>{"status":"absent","patientAnswerZh":"没有肝病。","patientAnswerEn":"I do not have liver disease.","provenance":"source","teacherReviewRequired":false}</x:v>
      </x:c>
      <x:c r="E523" s="56" t="str">
        <x:v>source</x:v>
      </x:c>
      <x:c r="F523" s="56" t="str">
        <x:v>是</x:v>
      </x:c>
      <x:c r="G523" s="56" t="str">
        <x:v>程序未检出确定性冲突；仍待语义复核</x:v>
      </x:c>
      <x:c r="H523" s="56" t="str">
        <x:v>待确认</x:v>
      </x:c>
      <x:c r="I523" s="56" t="str">
        <x:v>待确认</x:v>
      </x:c>
      <x:c r="J523" s="59" t="str">
        <x:v>待确认</x:v>
      </x:c>
      <x:c r="K523" s="56" t="str"/>
      <x:c r="L523" s="56" t="str"/>
      <x:c r="M523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24">
      <x:c r="A524" s="56" t="str">
        <x:v>P039</x:v>
      </x:c>
      <x:c r="B524" s="56" t="str">
        <x:v>HX-ADD-027</x:v>
      </x:c>
      <x:c r="C524" s="56" t="str">
        <x:v>tuberculosis</x:v>
      </x:c>
      <x:c r="D524" s="56" t="str">
        <x:v>{"status":"absent","patientAnswerZh":"没有结核病。","patientAnswerEn":"I do not have tuberculosis.","provenance":"source","teacherReviewRequired":false}</x:v>
      </x:c>
      <x:c r="E524" s="56" t="str">
        <x:v>source</x:v>
      </x:c>
      <x:c r="F524" s="56" t="str">
        <x:v>是</x:v>
      </x:c>
      <x:c r="G524" s="56" t="str">
        <x:v>程序未检出确定性冲突；仍待语义复核</x:v>
      </x:c>
      <x:c r="H524" s="56" t="str">
        <x:v>待确认</x:v>
      </x:c>
      <x:c r="I524" s="56" t="str">
        <x:v>待确认</x:v>
      </x:c>
      <x:c r="J524" s="59" t="str">
        <x:v>待确认</x:v>
      </x:c>
      <x:c r="K524" s="56" t="str"/>
      <x:c r="L524" s="56" t="str"/>
      <x:c r="M524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25">
      <x:c r="A525" s="56" t="str">
        <x:v>P039</x:v>
      </x:c>
      <x:c r="B525" s="56" t="str">
        <x:v>HX-ADD-027</x:v>
      </x:c>
      <x:c r="C525" s="56" t="str">
        <x:v>urinaryProcedureHistory</x:v>
      </x:c>
      <x:c r="D525" s="56" t="str">
        <x:v>{"status":"absent","patientAnswerZh":"以前没有做过导尿、膀胱镜等泌尿操作。","patientAnswerEn":"I have not had catheterization, cystoscopy, or other urinary procedures.","provenance":"author_added_for_simulation","teacherReviewRequired":true}</x:v>
      </x:c>
      <x:c r="E525" s="56" t="str">
        <x:v>author_added_for_simulation</x:v>
      </x:c>
      <x:c r="F525" s="56" t="str">
        <x:v>是</x:v>
      </x:c>
      <x:c r="G525" s="56" t="str">
        <x:v>程序未检出确定性冲突；仍待语义复核</x:v>
      </x:c>
      <x:c r="H525" s="56" t="str">
        <x:v>待确认</x:v>
      </x:c>
      <x:c r="I525" s="56" t="str">
        <x:v>待确认</x:v>
      </x:c>
      <x:c r="J525" s="59" t="str">
        <x:v>待确认</x:v>
      </x:c>
      <x:c r="K525" s="56" t="str"/>
      <x:c r="L525" s="56" t="str"/>
      <x:c r="M525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26">
      <x:c r="A526" s="56" t="str">
        <x:v>P039</x:v>
      </x:c>
      <x:c r="B526" s="56" t="str">
        <x:v>HX-ADD-027</x:v>
      </x:c>
      <x:c r="C526" s="56" t="str">
        <x:v>surgeryHistory</x:v>
      </x:c>
      <x:c r="D526" s="56" t="str">
        <x:v>{"status":"absent","patientAnswerZh":"我以前没有做过手术。","patientAnswerEn":"I have never had surgery.","provenance":"author_added_for_simulation","teacherReviewRequired":true}</x:v>
      </x:c>
      <x:c r="E526" s="56" t="str">
        <x:v>author_added_for_simulation</x:v>
      </x:c>
      <x:c r="F526" s="56" t="str">
        <x:v>是</x:v>
      </x:c>
      <x:c r="G526" s="56" t="str">
        <x:v>程序未检出确定性冲突；仍待语义复核</x:v>
      </x:c>
      <x:c r="H526" s="56" t="str">
        <x:v>待确认</x:v>
      </x:c>
      <x:c r="I526" s="56" t="str">
        <x:v>是</x:v>
      </x:c>
      <x:c r="J526" s="59" t="str">
        <x:v>待确认</x:v>
      </x:c>
      <x:c r="K526" s="56" t="str"/>
      <x:c r="L526" s="56" t="str"/>
      <x:c r="M526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27">
      <x:c r="A527" s="56" t="str">
        <x:v>P039</x:v>
      </x:c>
      <x:c r="B527" s="56" t="str">
        <x:v>HX-ADD-027</x:v>
      </x:c>
      <x:c r="C527" s="56" t="str">
        <x:v>transfusionHistory</x:v>
      </x:c>
      <x:c r="D527" s="56" t="str">
        <x:v>{"status":"absent","patientAnswerZh":"我以前没有输过血。","patientAnswerEn":"I have never had a blood transfusion.","provenance":"author_added_for_simulation","teacherReviewRequired":true}</x:v>
      </x:c>
      <x:c r="E527" s="56" t="str">
        <x:v>author_added_for_simulation</x:v>
      </x:c>
      <x:c r="F527" s="56" t="str">
        <x:v>是</x:v>
      </x:c>
      <x:c r="G527" s="56" t="str">
        <x:v>程序未检出确定性冲突；仍待语义复核</x:v>
      </x:c>
      <x:c r="H527" s="56" t="str">
        <x:v>待确认</x:v>
      </x:c>
      <x:c r="I527" s="56" t="str">
        <x:v>待确认</x:v>
      </x:c>
      <x:c r="J527" s="59" t="str">
        <x:v>待确认</x:v>
      </x:c>
      <x:c r="K527" s="56" t="str"/>
      <x:c r="L527" s="56" t="str"/>
      <x:c r="M527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28">
      <x:c r="A528" s="56" t="str">
        <x:v>P039</x:v>
      </x:c>
      <x:c r="B528" s="56" t="str">
        <x:v>HX-ADD-027</x:v>
      </x:c>
      <x:c r="C528" s="56" t="str">
        <x:v>allergyHistory</x:v>
      </x:c>
      <x:c r="D528" s="56" t="str">
        <x:v>{"status":"absent","patientAnswerZh":"我没有已知药物或食物过敏。","patientAnswerEn":"I have no known drug or food allergies.","provenance":"author_added_for_simulation","teacherReviewRequired":true}</x:v>
      </x:c>
      <x:c r="E528" s="56" t="str">
        <x:v>author_added_for_simulation</x:v>
      </x:c>
      <x:c r="F528" s="56" t="str">
        <x:v>是</x:v>
      </x:c>
      <x:c r="G528" s="56" t="str">
        <x:v>程序未检出确定性冲突；仍待语义复核</x:v>
      </x:c>
      <x:c r="H528" s="56" t="str">
        <x:v>待确认</x:v>
      </x:c>
      <x:c r="I528" s="56" t="str">
        <x:v>是</x:v>
      </x:c>
      <x:c r="J528" s="59" t="str">
        <x:v>待确认</x:v>
      </x:c>
      <x:c r="K528" s="56" t="str"/>
      <x:c r="L528" s="56" t="str"/>
      <x:c r="M528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29">
      <x:c r="A529" s="56" t="str">
        <x:v>P039</x:v>
      </x:c>
      <x:c r="B529" s="56" t="str">
        <x:v>HX-ADD-027</x:v>
      </x:c>
      <x:c r="C529" s="56" t="str">
        <x:v>anticoagulantUse</x:v>
      </x:c>
      <x:c r="D529" s="56" t="str">
        <x:v>{"status":"absent","patientAnswerZh":"我没有服用华法林、利伐沙班等抗凝药。","patientAnswerEn":"I do not take anticoagulants.","provenance":"author_added_for_simulation","teacherReviewRequired":true}</x:v>
      </x:c>
      <x:c r="E529" s="56" t="str">
        <x:v>author_added_for_simulation</x:v>
      </x:c>
      <x:c r="F529" s="56" t="str">
        <x:v>是</x:v>
      </x:c>
      <x:c r="G529" s="56" t="str">
        <x:v>程序未检出确定性冲突；仍待语义复核</x:v>
      </x:c>
      <x:c r="H529" s="56" t="str">
        <x:v>可能</x:v>
      </x:c>
      <x:c r="I529" s="56" t="str">
        <x:v>是</x:v>
      </x:c>
      <x:c r="J529" s="59" t="str">
        <x:v>待确认</x:v>
      </x:c>
      <x:c r="K529" s="56" t="str"/>
      <x:c r="L529" s="56" t="str"/>
      <x:c r="M529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30">
      <x:c r="A530" s="56" t="str">
        <x:v>P039</x:v>
      </x:c>
      <x:c r="B530" s="56" t="str">
        <x:v>HX-ADD-027</x:v>
      </x:c>
      <x:c r="C530" s="56" t="str">
        <x:v>antiplateletUse</x:v>
      </x:c>
      <x:c r="D530" s="56" t="str">
        <x:v>{"status":"absent","patientAnswerZh":"我没有服用阿司匹林或氯吡格雷。","patientAnswerEn":"I do not take antiplatelet medication.","provenance":"author_added_for_simulation","teacherReviewRequired":true}</x:v>
      </x:c>
      <x:c r="E530" s="56" t="str">
        <x:v>author_added_for_simulation</x:v>
      </x:c>
      <x:c r="F530" s="56" t="str">
        <x:v>是</x:v>
      </x:c>
      <x:c r="G530" s="56" t="str">
        <x:v>程序未检出确定性冲突；仍待语义复核</x:v>
      </x:c>
      <x:c r="H530" s="56" t="str">
        <x:v>可能</x:v>
      </x:c>
      <x:c r="I530" s="56" t="str">
        <x:v>是</x:v>
      </x:c>
      <x:c r="J530" s="59" t="str">
        <x:v>待确认</x:v>
      </x:c>
      <x:c r="K530" s="56" t="str"/>
      <x:c r="L530" s="56" t="str"/>
      <x:c r="M530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31">
      <x:c r="A531" s="56" t="str">
        <x:v>P039</x:v>
      </x:c>
      <x:c r="B531" s="56" t="str">
        <x:v>HX-ADD-027</x:v>
      </x:c>
      <x:c r="C531" s="56" t="str">
        <x:v>familyHistory</x:v>
      </x:c>
      <x:c r="D531" s="56" t="str">
        <x:v>{"status":"absent","patientAnswerZh":"家里没有人得过类似血尿或遗传性肾病。","patientAnswerEn":"No one in my family has had similar hematuria or hereditary kidney disease.","provenance":"author_added_for_simulation","teacherReviewRequired":true}</x:v>
      </x:c>
      <x:c r="E531" s="56" t="str">
        <x:v>author_added_for_simulation</x:v>
      </x:c>
      <x:c r="F531" s="56" t="str">
        <x:v>是</x:v>
      </x:c>
      <x:c r="G531" s="56" t="str">
        <x:v>程序未检出确定性冲突；仍待语义复核</x:v>
      </x:c>
      <x:c r="H531" s="56" t="str">
        <x:v>可能</x:v>
      </x:c>
      <x:c r="I531" s="56" t="str">
        <x:v>是</x:v>
      </x:c>
      <x:c r="J531" s="59" t="str">
        <x:v>待确认</x:v>
      </x:c>
      <x:c r="K531" s="56" t="str"/>
      <x:c r="L531" s="56" t="str"/>
      <x:c r="M531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32">
      <x:c r="A532" s="56" t="str">
        <x:v>P039</x:v>
      </x:c>
      <x:c r="B532" s="56" t="str">
        <x:v>HX-ADD-027</x:v>
      </x:c>
      <x:c r="C532" s="56" t="str">
        <x:v>menstrualHistory</x:v>
      </x:c>
      <x:c r="D532" s="56" t="str">
        <x:v>{"status":"absent","patientAnswerZh":"月经情况正常，这次尿色异常不是在月经期。","patientAnswerEn":"My periods are regular, and this episode did not occur during menstruation.","provenance":"author_added_for_simulation","teacherReviewRequired":true}</x:v>
      </x:c>
      <x:c r="E532" s="56" t="str">
        <x:v>author_added_for_simulation</x:v>
      </x:c>
      <x:c r="F532" s="56" t="str">
        <x:v>是</x:v>
      </x:c>
      <x:c r="G532" s="56" t="str">
        <x:v>程序未检出确定性冲突；仍待语义复核</x:v>
      </x:c>
      <x:c r="H532" s="56" t="str">
        <x:v>可能</x:v>
      </x:c>
      <x:c r="I532" s="56" t="str">
        <x:v>待确认</x:v>
      </x:c>
      <x:c r="J532" s="59" t="str">
        <x:v>待确认</x:v>
      </x:c>
      <x:c r="K532" s="56" t="str"/>
      <x:c r="L532" s="56" t="str"/>
      <x:c r="M532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33">
      <x:c r="A533" s="56" t="str">
        <x:v>P039</x:v>
      </x:c>
      <x:c r="B533" s="56" t="str">
        <x:v>HX-ADD-027</x:v>
      </x:c>
      <x:c r="C533" s="56" t="str">
        <x:v>pregnancyHistory</x:v>
      </x:c>
      <x:c r="D533" s="56" t="str">
        <x:v>{"status":"absent","patientAnswerZh":"目前没有怀孕。","patientAnswerEn":"I am not currently pregnant.","provenance":"author_added_for_simulation","teacherReviewRequired":true}</x:v>
      </x:c>
      <x:c r="E533" s="56" t="str">
        <x:v>author_added_for_simulation</x:v>
      </x:c>
      <x:c r="F533" s="56" t="str">
        <x:v>是</x:v>
      </x:c>
      <x:c r="G533" s="56" t="str">
        <x:v>程序未检出确定性冲突；仍待语义复核</x:v>
      </x:c>
      <x:c r="H533" s="56" t="str">
        <x:v>可能</x:v>
      </x:c>
      <x:c r="I533" s="56" t="str">
        <x:v>待确认</x:v>
      </x:c>
      <x:c r="J533" s="59" t="str">
        <x:v>待确认</x:v>
      </x:c>
      <x:c r="K533" s="56" t="str"/>
      <x:c r="L533" s="56" t="str"/>
      <x:c r="M533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34">
      <x:c r="A534" s="56" t="str">
        <x:v>P040</x:v>
      </x:c>
      <x:c r="B534" s="56" t="str">
        <x:v>HX-ADD-028</x:v>
      </x:c>
      <x:c r="C534" s="56" t="str">
        <x:v>alcoholHistory</x:v>
      </x:c>
      <x:c r="D534" s="56" t="str">
        <x:v>{"status":"never","type":"","amount":"0","frequency":"never","years":0,"patientAnswerZh":"我平时不喝酒。","patientAnswerEn":"I do not drink alcohol.","provenance":"author_added_for_simulation","teacherReviewRequired":true}</x:v>
      </x:c>
      <x:c r="E534" s="56" t="str">
        <x:v>author_added_for_simulation</x:v>
      </x:c>
      <x:c r="F534" s="56" t="str">
        <x:v>是</x:v>
      </x:c>
      <x:c r="G534" s="56" t="str">
        <x:v>程序未检出确定性冲突；仍待语义复核</x:v>
      </x:c>
      <x:c r="H534" s="56" t="str">
        <x:v>待确认</x:v>
      </x:c>
      <x:c r="I534" s="56" t="str">
        <x:v>待确认</x:v>
      </x:c>
      <x:c r="J534" s="59" t="str">
        <x:v>待确认</x:v>
      </x:c>
      <x:c r="K534" s="56" t="str"/>
      <x:c r="L534" s="56" t="str"/>
      <x:c r="M534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35">
      <x:c r="A535" s="56" t="str">
        <x:v>P040</x:v>
      </x:c>
      <x:c r="B535" s="56" t="str">
        <x:v>HX-ADD-028</x:v>
      </x:c>
      <x:c r="C535" s="56" t="str">
        <x:v>diabetes</x:v>
      </x:c>
      <x:c r="D535" s="56" t="str">
        <x:v>{"status":"absent","patientAnswerZh":"没有糖尿病。","patientAnswerEn":"I do not have diabetes.","provenance":"source","teacherReviewRequired":false}</x:v>
      </x:c>
      <x:c r="E535" s="56" t="str">
        <x:v>source</x:v>
      </x:c>
      <x:c r="F535" s="56" t="str">
        <x:v>是</x:v>
      </x:c>
      <x:c r="G535" s="56" t="str">
        <x:v>程序未检出确定性冲突；仍待语义复核</x:v>
      </x:c>
      <x:c r="H535" s="56" t="str">
        <x:v>待确认</x:v>
      </x:c>
      <x:c r="I535" s="56" t="str">
        <x:v>待确认</x:v>
      </x:c>
      <x:c r="J535" s="59" t="str">
        <x:v>待确认</x:v>
      </x:c>
      <x:c r="K535" s="56" t="str"/>
      <x:c r="L535" s="56" t="str"/>
      <x:c r="M535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36">
      <x:c r="A536" s="56" t="str">
        <x:v>P040</x:v>
      </x:c>
      <x:c r="B536" s="56" t="str">
        <x:v>HX-ADD-028</x:v>
      </x:c>
      <x:c r="C536" s="56" t="str">
        <x:v>coronaryDisease</x:v>
      </x:c>
      <x:c r="D536" s="56" t="str">
        <x:v>{"status":"absent","patientAnswerZh":"没有冠心病。","patientAnswerEn":"I do not have coronary heart disease.","provenance":"source","teacherReviewRequired":false}</x:v>
      </x:c>
      <x:c r="E536" s="56" t="str">
        <x:v>source</x:v>
      </x:c>
      <x:c r="F536" s="56" t="str">
        <x:v>是</x:v>
      </x:c>
      <x:c r="G536" s="56" t="str">
        <x:v>程序未检出确定性冲突；仍待语义复核</x:v>
      </x:c>
      <x:c r="H536" s="56" t="str">
        <x:v>待确认</x:v>
      </x:c>
      <x:c r="I536" s="56" t="str">
        <x:v>待确认</x:v>
      </x:c>
      <x:c r="J536" s="59" t="str">
        <x:v>待确认</x:v>
      </x:c>
      <x:c r="K536" s="56" t="str"/>
      <x:c r="L536" s="56" t="str"/>
      <x:c r="M536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37">
      <x:c r="A537" s="56" t="str">
        <x:v>P040</x:v>
      </x:c>
      <x:c r="B537" s="56" t="str">
        <x:v>HX-ADD-028</x:v>
      </x:c>
      <x:c r="C537" s="56" t="str">
        <x:v>stroke</x:v>
      </x:c>
      <x:c r="D537" s="56" t="str">
        <x:v>{"status":"absent","patientAnswerZh":"没有脑卒中。","patientAnswerEn":"I do not have stroke.","provenance":"source","teacherReviewRequired":false}</x:v>
      </x:c>
      <x:c r="E537" s="56" t="str">
        <x:v>source</x:v>
      </x:c>
      <x:c r="F537" s="56" t="str">
        <x:v>是</x:v>
      </x:c>
      <x:c r="G537" s="56" t="str">
        <x:v>程序未检出确定性冲突；仍待语义复核</x:v>
      </x:c>
      <x:c r="H537" s="56" t="str">
        <x:v>待确认</x:v>
      </x:c>
      <x:c r="I537" s="56" t="str">
        <x:v>待确认</x:v>
      </x:c>
      <x:c r="J537" s="59" t="str">
        <x:v>待确认</x:v>
      </x:c>
      <x:c r="K537" s="56" t="str"/>
      <x:c r="L537" s="56" t="str"/>
      <x:c r="M537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38">
      <x:c r="A538" s="56" t="str">
        <x:v>P040</x:v>
      </x:c>
      <x:c r="B538" s="56" t="str">
        <x:v>HX-ADD-028</x:v>
      </x:c>
      <x:c r="C538" s="56" t="str">
        <x:v>liverDisease</x:v>
      </x:c>
      <x:c r="D538" s="56" t="str">
        <x:v>{"status":"absent","patientAnswerZh":"没有肝病。","patientAnswerEn":"I do not have liver disease.","provenance":"source","teacherReviewRequired":false}</x:v>
      </x:c>
      <x:c r="E538" s="56" t="str">
        <x:v>source</x:v>
      </x:c>
      <x:c r="F538" s="56" t="str">
        <x:v>是</x:v>
      </x:c>
      <x:c r="G538" s="56" t="str">
        <x:v>程序未检出确定性冲突；仍待语义复核</x:v>
      </x:c>
      <x:c r="H538" s="56" t="str">
        <x:v>待确认</x:v>
      </x:c>
      <x:c r="I538" s="56" t="str">
        <x:v>待确认</x:v>
      </x:c>
      <x:c r="J538" s="59" t="str">
        <x:v>待确认</x:v>
      </x:c>
      <x:c r="K538" s="56" t="str"/>
      <x:c r="L538" s="56" t="str"/>
      <x:c r="M538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39">
      <x:c r="A539" s="56" t="str">
        <x:v>P040</x:v>
      </x:c>
      <x:c r="B539" s="56" t="str">
        <x:v>HX-ADD-028</x:v>
      </x:c>
      <x:c r="C539" s="56" t="str">
        <x:v>tuberculosis</x:v>
      </x:c>
      <x:c r="D539" s="56" t="str">
        <x:v>{"status":"absent","patientAnswerZh":"没有结核病。","patientAnswerEn":"I do not have tuberculosis.","provenance":"source","teacherReviewRequired":false}</x:v>
      </x:c>
      <x:c r="E539" s="56" t="str">
        <x:v>source</x:v>
      </x:c>
      <x:c r="F539" s="56" t="str">
        <x:v>是</x:v>
      </x:c>
      <x:c r="G539" s="56" t="str">
        <x:v>程序未检出确定性冲突；仍待语义复核</x:v>
      </x:c>
      <x:c r="H539" s="56" t="str">
        <x:v>待确认</x:v>
      </x:c>
      <x:c r="I539" s="56" t="str">
        <x:v>待确认</x:v>
      </x:c>
      <x:c r="J539" s="59" t="str">
        <x:v>待确认</x:v>
      </x:c>
      <x:c r="K539" s="56" t="str"/>
      <x:c r="L539" s="56" t="str"/>
      <x:c r="M539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40">
      <x:c r="A540" s="56" t="str">
        <x:v>P040</x:v>
      </x:c>
      <x:c r="B540" s="56" t="str">
        <x:v>HX-ADD-028</x:v>
      </x:c>
      <x:c r="C540" s="56" t="str">
        <x:v>urinaryProcedureHistory</x:v>
      </x:c>
      <x:c r="D540" s="56" t="str">
        <x:v>{"status":"absent","patientAnswerZh":"以前没有做过导尿、膀胱镜等泌尿操作。","patientAnswerEn":"I have not had catheterization, cystoscopy, or other urinary procedures.","provenance":"author_added_for_simulation","teacherReviewRequired":true}</x:v>
      </x:c>
      <x:c r="E540" s="56" t="str">
        <x:v>author_added_for_simulation</x:v>
      </x:c>
      <x:c r="F540" s="56" t="str">
        <x:v>是</x:v>
      </x:c>
      <x:c r="G540" s="56" t="str">
        <x:v>程序未检出确定性冲突；仍待语义复核</x:v>
      </x:c>
      <x:c r="H540" s="56" t="str">
        <x:v>待确认</x:v>
      </x:c>
      <x:c r="I540" s="56" t="str">
        <x:v>待确认</x:v>
      </x:c>
      <x:c r="J540" s="59" t="str">
        <x:v>待确认</x:v>
      </x:c>
      <x:c r="K540" s="56" t="str"/>
      <x:c r="L540" s="56" t="str"/>
      <x:c r="M540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41">
      <x:c r="A541" s="56" t="str">
        <x:v>P040</x:v>
      </x:c>
      <x:c r="B541" s="56" t="str">
        <x:v>HX-ADD-028</x:v>
      </x:c>
      <x:c r="C541" s="56" t="str">
        <x:v>surgeryHistory</x:v>
      </x:c>
      <x:c r="D541" s="56" t="str">
        <x:v>{"status":"absent","patientAnswerZh":"我以前没有做过手术。","patientAnswerEn":"I have never had surgery.","provenance":"author_added_for_simulation","teacherReviewRequired":true}</x:v>
      </x:c>
      <x:c r="E541" s="56" t="str">
        <x:v>author_added_for_simulation</x:v>
      </x:c>
      <x:c r="F541" s="56" t="str">
        <x:v>是</x:v>
      </x:c>
      <x:c r="G541" s="56" t="str">
        <x:v>程序未检出确定性冲突；仍待语义复核</x:v>
      </x:c>
      <x:c r="H541" s="56" t="str">
        <x:v>待确认</x:v>
      </x:c>
      <x:c r="I541" s="56" t="str">
        <x:v>是</x:v>
      </x:c>
      <x:c r="J541" s="59" t="str">
        <x:v>待确认</x:v>
      </x:c>
      <x:c r="K541" s="56" t="str"/>
      <x:c r="L541" s="56" t="str"/>
      <x:c r="M541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42">
      <x:c r="A542" s="56" t="str">
        <x:v>P040</x:v>
      </x:c>
      <x:c r="B542" s="56" t="str">
        <x:v>HX-ADD-028</x:v>
      </x:c>
      <x:c r="C542" s="56" t="str">
        <x:v>transfusionHistory</x:v>
      </x:c>
      <x:c r="D542" s="56" t="str">
        <x:v>{"status":"absent","patientAnswerZh":"我以前没有输过血。","patientAnswerEn":"I have never had a blood transfusion.","provenance":"author_added_for_simulation","teacherReviewRequired":true}</x:v>
      </x:c>
      <x:c r="E542" s="56" t="str">
        <x:v>author_added_for_simulation</x:v>
      </x:c>
      <x:c r="F542" s="56" t="str">
        <x:v>是</x:v>
      </x:c>
      <x:c r="G542" s="56" t="str">
        <x:v>程序未检出确定性冲突；仍待语义复核</x:v>
      </x:c>
      <x:c r="H542" s="56" t="str">
        <x:v>待确认</x:v>
      </x:c>
      <x:c r="I542" s="56" t="str">
        <x:v>待确认</x:v>
      </x:c>
      <x:c r="J542" s="59" t="str">
        <x:v>待确认</x:v>
      </x:c>
      <x:c r="K542" s="56" t="str"/>
      <x:c r="L542" s="56" t="str"/>
      <x:c r="M542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43">
      <x:c r="A543" s="56" t="str">
        <x:v>P040</x:v>
      </x:c>
      <x:c r="B543" s="56" t="str">
        <x:v>HX-ADD-028</x:v>
      </x:c>
      <x:c r="C543" s="56" t="str">
        <x:v>allergyHistory</x:v>
      </x:c>
      <x:c r="D543" s="56" t="str">
        <x:v>{"status":"absent","patientAnswerZh":"我没有已知药物或食物过敏。","patientAnswerEn":"I have no known drug or food allergies.","provenance":"author_added_for_simulation","teacherReviewRequired":true}</x:v>
      </x:c>
      <x:c r="E543" s="56" t="str">
        <x:v>author_added_for_simulation</x:v>
      </x:c>
      <x:c r="F543" s="56" t="str">
        <x:v>是</x:v>
      </x:c>
      <x:c r="G543" s="56" t="str">
        <x:v>程序未检出确定性冲突；仍待语义复核</x:v>
      </x:c>
      <x:c r="H543" s="56" t="str">
        <x:v>待确认</x:v>
      </x:c>
      <x:c r="I543" s="56" t="str">
        <x:v>是</x:v>
      </x:c>
      <x:c r="J543" s="59" t="str">
        <x:v>待确认</x:v>
      </x:c>
      <x:c r="K543" s="56" t="str"/>
      <x:c r="L543" s="56" t="str"/>
      <x:c r="M543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44">
      <x:c r="A544" s="56" t="str">
        <x:v>P040</x:v>
      </x:c>
      <x:c r="B544" s="56" t="str">
        <x:v>HX-ADD-028</x:v>
      </x:c>
      <x:c r="C544" s="56" t="str">
        <x:v>anticoagulantUse</x:v>
      </x:c>
      <x:c r="D544" s="56" t="str">
        <x:v>{"status":"absent","patientAnswerZh":"我没有服用华法林、利伐沙班等抗凝药。","patientAnswerEn":"I do not take anticoagulants.","provenance":"author_added_for_simulation","teacherReviewRequired":true}</x:v>
      </x:c>
      <x:c r="E544" s="56" t="str">
        <x:v>author_added_for_simulation</x:v>
      </x:c>
      <x:c r="F544" s="56" t="str">
        <x:v>是</x:v>
      </x:c>
      <x:c r="G544" s="56" t="str">
        <x:v>程序未检出确定性冲突；仍待语义复核</x:v>
      </x:c>
      <x:c r="H544" s="56" t="str">
        <x:v>可能</x:v>
      </x:c>
      <x:c r="I544" s="56" t="str">
        <x:v>是</x:v>
      </x:c>
      <x:c r="J544" s="59" t="str">
        <x:v>待确认</x:v>
      </x:c>
      <x:c r="K544" s="56" t="str"/>
      <x:c r="L544" s="56" t="str"/>
      <x:c r="M544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45">
      <x:c r="A545" s="56" t="str">
        <x:v>P040</x:v>
      </x:c>
      <x:c r="B545" s="56" t="str">
        <x:v>HX-ADD-028</x:v>
      </x:c>
      <x:c r="C545" s="56" t="str">
        <x:v>antiplateletUse</x:v>
      </x:c>
      <x:c r="D545" s="56" t="str">
        <x:v>{"status":"absent","patientAnswerZh":"我没有服用阿司匹林或氯吡格雷。","patientAnswerEn":"I do not take antiplatelet medication.","provenance":"author_added_for_simulation","teacherReviewRequired":true}</x:v>
      </x:c>
      <x:c r="E545" s="56" t="str">
        <x:v>author_added_for_simulation</x:v>
      </x:c>
      <x:c r="F545" s="56" t="str">
        <x:v>是</x:v>
      </x:c>
      <x:c r="G545" s="56" t="str">
        <x:v>程序未检出确定性冲突；仍待语义复核</x:v>
      </x:c>
      <x:c r="H545" s="56" t="str">
        <x:v>可能</x:v>
      </x:c>
      <x:c r="I545" s="56" t="str">
        <x:v>是</x:v>
      </x:c>
      <x:c r="J545" s="59" t="str">
        <x:v>待确认</x:v>
      </x:c>
      <x:c r="K545" s="56" t="str"/>
      <x:c r="L545" s="56" t="str"/>
      <x:c r="M545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46">
      <x:c r="A546" s="56" t="str">
        <x:v>P040</x:v>
      </x:c>
      <x:c r="B546" s="56" t="str">
        <x:v>HX-ADD-028</x:v>
      </x:c>
      <x:c r="C546" s="56" t="str">
        <x:v>familyHistory</x:v>
      </x:c>
      <x:c r="D546" s="56" t="str">
        <x:v>{"status":"absent","patientAnswerZh":"家里没有人得过类似血尿或遗传性肾病。","patientAnswerEn":"No one in my family has had similar hematuria or hereditary kidney disease.","provenance":"author_added_for_simulation","teacherReviewRequired":true}</x:v>
      </x:c>
      <x:c r="E546" s="56" t="str">
        <x:v>author_added_for_simulation</x:v>
      </x:c>
      <x:c r="F546" s="56" t="str">
        <x:v>是</x:v>
      </x:c>
      <x:c r="G546" s="56" t="str">
        <x:v>程序未检出确定性冲突；仍待语义复核</x:v>
      </x:c>
      <x:c r="H546" s="56" t="str">
        <x:v>可能</x:v>
      </x:c>
      <x:c r="I546" s="56" t="str">
        <x:v>是</x:v>
      </x:c>
      <x:c r="J546" s="59" t="str">
        <x:v>待确认</x:v>
      </x:c>
      <x:c r="K546" s="56" t="str"/>
      <x:c r="L546" s="56" t="str"/>
      <x:c r="M546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47">
      <x:c r="A547" s="56" t="str">
        <x:v>P041</x:v>
      </x:c>
      <x:c r="B547" s="56" t="str">
        <x:v>HX-ADD-029</x:v>
      </x:c>
      <x:c r="C547" s="56" t="str">
        <x:v>alcoholHistory</x:v>
      </x:c>
      <x:c r="D547" s="56" t="str">
        <x:v>{"status":"never","type":"","amount":"0","frequency":"never","years":0,"patientAnswerZh":"我平时不喝酒。","patientAnswerEn":"I do not drink alcohol.","provenance":"author_added_for_simulation","teacherReviewRequired":true}</x:v>
      </x:c>
      <x:c r="E547" s="56" t="str">
        <x:v>author_added_for_simulation</x:v>
      </x:c>
      <x:c r="F547" s="56" t="str">
        <x:v>是</x:v>
      </x:c>
      <x:c r="G547" s="56" t="str">
        <x:v>程序未检出确定性冲突；仍待语义复核</x:v>
      </x:c>
      <x:c r="H547" s="56" t="str">
        <x:v>待确认</x:v>
      </x:c>
      <x:c r="I547" s="56" t="str">
        <x:v>待确认</x:v>
      </x:c>
      <x:c r="J547" s="59" t="str">
        <x:v>待确认</x:v>
      </x:c>
      <x:c r="K547" s="56" t="str"/>
      <x:c r="L547" s="56" t="str"/>
      <x:c r="M547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48">
      <x:c r="A548" s="56" t="str">
        <x:v>P041</x:v>
      </x:c>
      <x:c r="B548" s="56" t="str">
        <x:v>HX-ADD-029</x:v>
      </x:c>
      <x:c r="C548" s="56" t="str">
        <x:v>hypertension</x:v>
      </x:c>
      <x:c r="D548" s="56" t="str">
        <x:v>{"status":"absent","patientAnswerZh":"没有高血压。","patientAnswerEn":"I do not have hypertension.","provenance":"source","teacherReviewRequired":false}</x:v>
      </x:c>
      <x:c r="E548" s="56" t="str">
        <x:v>source</x:v>
      </x:c>
      <x:c r="F548" s="56" t="str">
        <x:v>是</x:v>
      </x:c>
      <x:c r="G548" s="56" t="str">
        <x:v>程序未检出确定性冲突；仍待语义复核</x:v>
      </x:c>
      <x:c r="H548" s="56" t="str">
        <x:v>待确认</x:v>
      </x:c>
      <x:c r="I548" s="56" t="str">
        <x:v>是</x:v>
      </x:c>
      <x:c r="J548" s="59" t="str">
        <x:v>待确认</x:v>
      </x:c>
      <x:c r="K548" s="56" t="str"/>
      <x:c r="L548" s="56" t="str"/>
      <x:c r="M548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49">
      <x:c r="A549" s="56" t="str">
        <x:v>P041</x:v>
      </x:c>
      <x:c r="B549" s="56" t="str">
        <x:v>HX-ADD-029</x:v>
      </x:c>
      <x:c r="C549" s="56" t="str">
        <x:v>diabetes</x:v>
      </x:c>
      <x:c r="D549" s="56" t="str">
        <x:v>{"status":"absent","patientAnswerZh":"没有糖尿病。","patientAnswerEn":"I do not have diabetes.","provenance":"source","teacherReviewRequired":false}</x:v>
      </x:c>
      <x:c r="E549" s="56" t="str">
        <x:v>source</x:v>
      </x:c>
      <x:c r="F549" s="56" t="str">
        <x:v>是</x:v>
      </x:c>
      <x:c r="G549" s="56" t="str">
        <x:v>程序未检出确定性冲突；仍待语义复核</x:v>
      </x:c>
      <x:c r="H549" s="56" t="str">
        <x:v>待确认</x:v>
      </x:c>
      <x:c r="I549" s="56" t="str">
        <x:v>待确认</x:v>
      </x:c>
      <x:c r="J549" s="59" t="str">
        <x:v>待确认</x:v>
      </x:c>
      <x:c r="K549" s="56" t="str"/>
      <x:c r="L549" s="56" t="str"/>
      <x:c r="M549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50">
      <x:c r="A550" s="56" t="str">
        <x:v>P041</x:v>
      </x:c>
      <x:c r="B550" s="56" t="str">
        <x:v>HX-ADD-029</x:v>
      </x:c>
      <x:c r="C550" s="56" t="str">
        <x:v>coronaryDisease</x:v>
      </x:c>
      <x:c r="D550" s="56" t="str">
        <x:v>{"status":"absent","patientAnswerZh":"没有冠心病。","patientAnswerEn":"I do not have coronary heart disease.","provenance":"author_added_for_simulation","teacherReviewRequired":true}</x:v>
      </x:c>
      <x:c r="E550" s="56" t="str">
        <x:v>author_added_for_simulation</x:v>
      </x:c>
      <x:c r="F550" s="56" t="str">
        <x:v>是</x:v>
      </x:c>
      <x:c r="G550" s="56" t="str">
        <x:v>程序未检出确定性冲突；仍待语义复核</x:v>
      </x:c>
      <x:c r="H550" s="56" t="str">
        <x:v>待确认</x:v>
      </x:c>
      <x:c r="I550" s="56" t="str">
        <x:v>待确认</x:v>
      </x:c>
      <x:c r="J550" s="59" t="str">
        <x:v>待确认</x:v>
      </x:c>
      <x:c r="K550" s="56" t="str"/>
      <x:c r="L550" s="56" t="str"/>
      <x:c r="M550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51">
      <x:c r="A551" s="56" t="str">
        <x:v>P041</x:v>
      </x:c>
      <x:c r="B551" s="56" t="str">
        <x:v>HX-ADD-029</x:v>
      </x:c>
      <x:c r="C551" s="56" t="str">
        <x:v>stroke</x:v>
      </x:c>
      <x:c r="D551" s="56" t="str">
        <x:v>{"status":"absent","patientAnswerZh":"没有脑卒中。","patientAnswerEn":"I do not have stroke.","provenance":"author_added_for_simulation","teacherReviewRequired":true}</x:v>
      </x:c>
      <x:c r="E551" s="56" t="str">
        <x:v>author_added_for_simulation</x:v>
      </x:c>
      <x:c r="F551" s="56" t="str">
        <x:v>是</x:v>
      </x:c>
      <x:c r="G551" s="56" t="str">
        <x:v>程序未检出确定性冲突；仍待语义复核</x:v>
      </x:c>
      <x:c r="H551" s="56" t="str">
        <x:v>待确认</x:v>
      </x:c>
      <x:c r="I551" s="56" t="str">
        <x:v>待确认</x:v>
      </x:c>
      <x:c r="J551" s="59" t="str">
        <x:v>待确认</x:v>
      </x:c>
      <x:c r="K551" s="56" t="str"/>
      <x:c r="L551" s="56" t="str"/>
      <x:c r="M551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52">
      <x:c r="A552" s="56" t="str">
        <x:v>P041</x:v>
      </x:c>
      <x:c r="B552" s="56" t="str">
        <x:v>HX-ADD-029</x:v>
      </x:c>
      <x:c r="C552" s="56" t="str">
        <x:v>liverDisease</x:v>
      </x:c>
      <x:c r="D552" s="56" t="str">
        <x:v>{"status":"absent","patientAnswerZh":"没有肝病。","patientAnswerEn":"I do not have liver disease.","provenance":"source","teacherReviewRequired":false}</x:v>
      </x:c>
      <x:c r="E552" s="56" t="str">
        <x:v>source</x:v>
      </x:c>
      <x:c r="F552" s="56" t="str">
        <x:v>是</x:v>
      </x:c>
      <x:c r="G552" s="56" t="str">
        <x:v>程序未检出确定性冲突；仍待语义复核</x:v>
      </x:c>
      <x:c r="H552" s="56" t="str">
        <x:v>待确认</x:v>
      </x:c>
      <x:c r="I552" s="56" t="str">
        <x:v>待确认</x:v>
      </x:c>
      <x:c r="J552" s="59" t="str">
        <x:v>待确认</x:v>
      </x:c>
      <x:c r="K552" s="56" t="str"/>
      <x:c r="L552" s="56" t="str"/>
      <x:c r="M552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53">
      <x:c r="A553" s="56" t="str">
        <x:v>P041</x:v>
      </x:c>
      <x:c r="B553" s="56" t="str">
        <x:v>HX-ADD-029</x:v>
      </x:c>
      <x:c r="C553" s="56" t="str">
        <x:v>tuberculosis</x:v>
      </x:c>
      <x:c r="D553" s="56" t="str">
        <x:v>{"status":"absent","patientAnswerZh":"没有结核病。","patientAnswerEn":"I do not have tuberculosis.","provenance":"source","teacherReviewRequired":false}</x:v>
      </x:c>
      <x:c r="E553" s="56" t="str">
        <x:v>source</x:v>
      </x:c>
      <x:c r="F553" s="56" t="str">
        <x:v>是</x:v>
      </x:c>
      <x:c r="G553" s="56" t="str">
        <x:v>程序未检出确定性冲突；仍待语义复核</x:v>
      </x:c>
      <x:c r="H553" s="56" t="str">
        <x:v>待确认</x:v>
      </x:c>
      <x:c r="I553" s="56" t="str">
        <x:v>待确认</x:v>
      </x:c>
      <x:c r="J553" s="59" t="str">
        <x:v>待确认</x:v>
      </x:c>
      <x:c r="K553" s="56" t="str"/>
      <x:c r="L553" s="56" t="str"/>
      <x:c r="M553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54">
      <x:c r="A554" s="56" t="str">
        <x:v>P041</x:v>
      </x:c>
      <x:c r="B554" s="56" t="str">
        <x:v>HX-ADD-029</x:v>
      </x:c>
      <x:c r="C554" s="56" t="str">
        <x:v>urinaryProcedureHistory</x:v>
      </x:c>
      <x:c r="D554" s="56" t="str">
        <x:v>{"status":"absent","patientAnswerZh":"以前没有做过导尿、膀胱镜等泌尿操作。","patientAnswerEn":"I have not had catheterization, cystoscopy, or other urinary procedures.","provenance":"author_added_for_simulation","teacherReviewRequired":true}</x:v>
      </x:c>
      <x:c r="E554" s="56" t="str">
        <x:v>author_added_for_simulation</x:v>
      </x:c>
      <x:c r="F554" s="56" t="str">
        <x:v>是</x:v>
      </x:c>
      <x:c r="G554" s="56" t="str">
        <x:v>程序未检出确定性冲突；仍待语义复核</x:v>
      </x:c>
      <x:c r="H554" s="56" t="str">
        <x:v>待确认</x:v>
      </x:c>
      <x:c r="I554" s="56" t="str">
        <x:v>待确认</x:v>
      </x:c>
      <x:c r="J554" s="59" t="str">
        <x:v>待确认</x:v>
      </x:c>
      <x:c r="K554" s="56" t="str"/>
      <x:c r="L554" s="56" t="str"/>
      <x:c r="M554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55">
      <x:c r="A555" s="56" t="str">
        <x:v>P041</x:v>
      </x:c>
      <x:c r="B555" s="56" t="str">
        <x:v>HX-ADD-029</x:v>
      </x:c>
      <x:c r="C555" s="56" t="str">
        <x:v>surgeryHistory</x:v>
      </x:c>
      <x:c r="D555" s="56" t="str">
        <x:v>{"status":"absent","patientAnswerZh":"我以前没有做过手术。","patientAnswerEn":"I have never had surgery.","provenance":"author_added_for_simulation","teacherReviewRequired":true}</x:v>
      </x:c>
      <x:c r="E555" s="56" t="str">
        <x:v>author_added_for_simulation</x:v>
      </x:c>
      <x:c r="F555" s="56" t="str">
        <x:v>是</x:v>
      </x:c>
      <x:c r="G555" s="56" t="str">
        <x:v>程序未检出确定性冲突；仍待语义复核</x:v>
      </x:c>
      <x:c r="H555" s="56" t="str">
        <x:v>待确认</x:v>
      </x:c>
      <x:c r="I555" s="56" t="str">
        <x:v>是</x:v>
      </x:c>
      <x:c r="J555" s="59" t="str">
        <x:v>待确认</x:v>
      </x:c>
      <x:c r="K555" s="56" t="str"/>
      <x:c r="L555" s="56" t="str"/>
      <x:c r="M555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56">
      <x:c r="A556" s="56" t="str">
        <x:v>P041</x:v>
      </x:c>
      <x:c r="B556" s="56" t="str">
        <x:v>HX-ADD-029</x:v>
      </x:c>
      <x:c r="C556" s="56" t="str">
        <x:v>transfusionHistory</x:v>
      </x:c>
      <x:c r="D556" s="56" t="str">
        <x:v>{"status":"absent","patientAnswerZh":"我以前没有输过血。","patientAnswerEn":"I have never had a blood transfusion.","provenance":"author_added_for_simulation","teacherReviewRequired":true}</x:v>
      </x:c>
      <x:c r="E556" s="56" t="str">
        <x:v>author_added_for_simulation</x:v>
      </x:c>
      <x:c r="F556" s="56" t="str">
        <x:v>是</x:v>
      </x:c>
      <x:c r="G556" s="56" t="str">
        <x:v>程序未检出确定性冲突；仍待语义复核</x:v>
      </x:c>
      <x:c r="H556" s="56" t="str">
        <x:v>待确认</x:v>
      </x:c>
      <x:c r="I556" s="56" t="str">
        <x:v>待确认</x:v>
      </x:c>
      <x:c r="J556" s="59" t="str">
        <x:v>待确认</x:v>
      </x:c>
      <x:c r="K556" s="56" t="str"/>
      <x:c r="L556" s="56" t="str"/>
      <x:c r="M556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57">
      <x:c r="A557" s="56" t="str">
        <x:v>P041</x:v>
      </x:c>
      <x:c r="B557" s="56" t="str">
        <x:v>HX-ADD-029</x:v>
      </x:c>
      <x:c r="C557" s="56" t="str">
        <x:v>allergyHistory</x:v>
      </x:c>
      <x:c r="D557" s="56" t="str">
        <x:v>{"status":"absent","patientAnswerZh":"我没有已知药物或食物过敏。","patientAnswerEn":"I have no known drug or food allergies.","provenance":"author_added_for_simulation","teacherReviewRequired":true}</x:v>
      </x:c>
      <x:c r="E557" s="56" t="str">
        <x:v>author_added_for_simulation</x:v>
      </x:c>
      <x:c r="F557" s="56" t="str">
        <x:v>是</x:v>
      </x:c>
      <x:c r="G557" s="56" t="str">
        <x:v>程序未检出确定性冲突；仍待语义复核</x:v>
      </x:c>
      <x:c r="H557" s="56" t="str">
        <x:v>待确认</x:v>
      </x:c>
      <x:c r="I557" s="56" t="str">
        <x:v>是</x:v>
      </x:c>
      <x:c r="J557" s="59" t="str">
        <x:v>待确认</x:v>
      </x:c>
      <x:c r="K557" s="56" t="str"/>
      <x:c r="L557" s="56" t="str"/>
      <x:c r="M557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58">
      <x:c r="A558" s="56" t="str">
        <x:v>P041</x:v>
      </x:c>
      <x:c r="B558" s="56" t="str">
        <x:v>HX-ADD-029</x:v>
      </x:c>
      <x:c r="C558" s="56" t="str">
        <x:v>anticoagulantUse</x:v>
      </x:c>
      <x:c r="D558" s="56" t="str">
        <x:v>{"status":"absent","patientAnswerZh":"我没有服用华法林、利伐沙班等抗凝药。","patientAnswerEn":"I do not take anticoagulants.","provenance":"author_added_for_simulation","teacherReviewRequired":true}</x:v>
      </x:c>
      <x:c r="E558" s="56" t="str">
        <x:v>author_added_for_simulation</x:v>
      </x:c>
      <x:c r="F558" s="56" t="str">
        <x:v>是</x:v>
      </x:c>
      <x:c r="G558" s="56" t="str">
        <x:v>程序未检出确定性冲突；仍待语义复核</x:v>
      </x:c>
      <x:c r="H558" s="56" t="str">
        <x:v>可能</x:v>
      </x:c>
      <x:c r="I558" s="56" t="str">
        <x:v>是</x:v>
      </x:c>
      <x:c r="J558" s="59" t="str">
        <x:v>待确认</x:v>
      </x:c>
      <x:c r="K558" s="56" t="str"/>
      <x:c r="L558" s="56" t="str"/>
      <x:c r="M558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59">
      <x:c r="A559" s="56" t="str">
        <x:v>P041</x:v>
      </x:c>
      <x:c r="B559" s="56" t="str">
        <x:v>HX-ADD-029</x:v>
      </x:c>
      <x:c r="C559" s="56" t="str">
        <x:v>antiplateletUse</x:v>
      </x:c>
      <x:c r="D559" s="56" t="str">
        <x:v>{"status":"absent","patientAnswerZh":"我没有服用阿司匹林或氯吡格雷。","patientAnswerEn":"I do not take antiplatelet medication.","provenance":"author_added_for_simulation","teacherReviewRequired":true}</x:v>
      </x:c>
      <x:c r="E559" s="56" t="str">
        <x:v>author_added_for_simulation</x:v>
      </x:c>
      <x:c r="F559" s="56" t="str">
        <x:v>是</x:v>
      </x:c>
      <x:c r="G559" s="56" t="str">
        <x:v>程序未检出确定性冲突；仍待语义复核</x:v>
      </x:c>
      <x:c r="H559" s="56" t="str">
        <x:v>可能</x:v>
      </x:c>
      <x:c r="I559" s="56" t="str">
        <x:v>是</x:v>
      </x:c>
      <x:c r="J559" s="59" t="str">
        <x:v>待确认</x:v>
      </x:c>
      <x:c r="K559" s="56" t="str"/>
      <x:c r="L559" s="56" t="str"/>
      <x:c r="M559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60">
      <x:c r="A560" s="56" t="str">
        <x:v>P041</x:v>
      </x:c>
      <x:c r="B560" s="56" t="str">
        <x:v>HX-ADD-029</x:v>
      </x:c>
      <x:c r="C560" s="56" t="str">
        <x:v>familyHistory</x:v>
      </x:c>
      <x:c r="D560" s="56" t="str">
        <x:v>{"status":"absent","patientAnswerZh":"家里没有人得过类似血尿或遗传性肾病。","patientAnswerEn":"No one in my family has had similar hematuria or hereditary kidney disease.","provenance":"author_added_for_simulation","teacherReviewRequired":true}</x:v>
      </x:c>
      <x:c r="E560" s="56" t="str">
        <x:v>author_added_for_simulation</x:v>
      </x:c>
      <x:c r="F560" s="56" t="str">
        <x:v>是</x:v>
      </x:c>
      <x:c r="G560" s="56" t="str">
        <x:v>程序未检出确定性冲突；仍待语义复核</x:v>
      </x:c>
      <x:c r="H560" s="56" t="str">
        <x:v>可能</x:v>
      </x:c>
      <x:c r="I560" s="56" t="str">
        <x:v>是</x:v>
      </x:c>
      <x:c r="J560" s="59" t="str">
        <x:v>待确认</x:v>
      </x:c>
      <x:c r="K560" s="56" t="str"/>
      <x:c r="L560" s="56" t="str"/>
      <x:c r="M560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61">
      <x:c r="A561" s="56" t="str">
        <x:v>P041</x:v>
      </x:c>
      <x:c r="B561" s="56" t="str">
        <x:v>HX-ADD-029</x:v>
      </x:c>
      <x:c r="C561" s="56" t="str">
        <x:v>menstrualHistory</x:v>
      </x:c>
      <x:c r="D561" s="56" t="str">
        <x:v>{"status":"absent","patientAnswerZh":"月经情况正常，这次尿色异常不是在月经期。","patientAnswerEn":"My periods are regular, and this episode did not occur during menstruation.","provenance":"author_added_for_simulation","teacherReviewRequired":true}</x:v>
      </x:c>
      <x:c r="E561" s="56" t="str">
        <x:v>author_added_for_simulation</x:v>
      </x:c>
      <x:c r="F561" s="56" t="str">
        <x:v>是</x:v>
      </x:c>
      <x:c r="G561" s="56" t="str">
        <x:v>程序未检出确定性冲突；仍待语义复核</x:v>
      </x:c>
      <x:c r="H561" s="56" t="str">
        <x:v>可能</x:v>
      </x:c>
      <x:c r="I561" s="56" t="str">
        <x:v>待确认</x:v>
      </x:c>
      <x:c r="J561" s="59" t="str">
        <x:v>待确认</x:v>
      </x:c>
      <x:c r="K561" s="56" t="str"/>
      <x:c r="L561" s="56" t="str"/>
      <x:c r="M561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62">
      <x:c r="A562" s="56" t="str">
        <x:v>P041</x:v>
      </x:c>
      <x:c r="B562" s="56" t="str">
        <x:v>HX-ADD-029</x:v>
      </x:c>
      <x:c r="C562" s="56" t="str">
        <x:v>pregnancyHistory</x:v>
      </x:c>
      <x:c r="D562" s="56" t="str">
        <x:v>{"status":"absent","patientAnswerZh":"目前没有怀孕。","patientAnswerEn":"I am not currently pregnant.","provenance":"author_added_for_simulation","teacherReviewRequired":true}</x:v>
      </x:c>
      <x:c r="E562" s="56" t="str">
        <x:v>author_added_for_simulation</x:v>
      </x:c>
      <x:c r="F562" s="56" t="str">
        <x:v>是</x:v>
      </x:c>
      <x:c r="G562" s="56" t="str">
        <x:v>程序未检出确定性冲突；仍待语义复核</x:v>
      </x:c>
      <x:c r="H562" s="56" t="str">
        <x:v>可能</x:v>
      </x:c>
      <x:c r="I562" s="56" t="str">
        <x:v>待确认</x:v>
      </x:c>
      <x:c r="J562" s="59" t="str">
        <x:v>待确认</x:v>
      </x:c>
      <x:c r="K562" s="56" t="str"/>
      <x:c r="L562" s="56" t="str"/>
      <x:c r="M562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63">
      <x:c r="A563" s="56" t="str">
        <x:v>P042</x:v>
      </x:c>
      <x:c r="B563" s="56" t="str">
        <x:v>HX-ADD-030</x:v>
      </x:c>
      <x:c r="C563" s="56" t="str">
        <x:v>alcoholHistory</x:v>
      </x:c>
      <x:c r="D563" s="56" t="str">
        <x:v>{"status":"never","type":"","amount":"0","frequency":"never","years":0,"patientAnswerZh":"我平时不喝酒。","patientAnswerEn":"I do not drink alcohol.","provenance":"author_added_for_simulation","teacherReviewRequired":true}</x:v>
      </x:c>
      <x:c r="E563" s="56" t="str">
        <x:v>author_added_for_simulation</x:v>
      </x:c>
      <x:c r="F563" s="56" t="str">
        <x:v>是</x:v>
      </x:c>
      <x:c r="G563" s="56" t="str">
        <x:v>程序未检出确定性冲突；仍待语义复核</x:v>
      </x:c>
      <x:c r="H563" s="56" t="str">
        <x:v>待确认</x:v>
      </x:c>
      <x:c r="I563" s="56" t="str">
        <x:v>待确认</x:v>
      </x:c>
      <x:c r="J563" s="59" t="str">
        <x:v>待确认</x:v>
      </x:c>
      <x:c r="K563" s="56" t="str"/>
      <x:c r="L563" s="56" t="str"/>
      <x:c r="M563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64">
      <x:c r="A564" s="56" t="str">
        <x:v>P042</x:v>
      </x:c>
      <x:c r="B564" s="56" t="str">
        <x:v>HX-ADD-030</x:v>
      </x:c>
      <x:c r="C564" s="56" t="str">
        <x:v>diabetes</x:v>
      </x:c>
      <x:c r="D564" s="56" t="str">
        <x:v>{"status":"absent","patientAnswerZh":"没有糖尿病。","patientAnswerEn":"I do not have diabetes.","provenance":"source","teacherReviewRequired":false}</x:v>
      </x:c>
      <x:c r="E564" s="56" t="str">
        <x:v>source</x:v>
      </x:c>
      <x:c r="F564" s="56" t="str">
        <x:v>是</x:v>
      </x:c>
      <x:c r="G564" s="56" t="str">
        <x:v>程序未检出确定性冲突；仍待语义复核</x:v>
      </x:c>
      <x:c r="H564" s="56" t="str">
        <x:v>待确认</x:v>
      </x:c>
      <x:c r="I564" s="56" t="str">
        <x:v>待确认</x:v>
      </x:c>
      <x:c r="J564" s="59" t="str">
        <x:v>待确认</x:v>
      </x:c>
      <x:c r="K564" s="56" t="str"/>
      <x:c r="L564" s="56" t="str"/>
      <x:c r="M564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65">
      <x:c r="A565" s="56" t="str">
        <x:v>P042</x:v>
      </x:c>
      <x:c r="B565" s="56" t="str">
        <x:v>HX-ADD-030</x:v>
      </x:c>
      <x:c r="C565" s="56" t="str">
        <x:v>coronaryDisease</x:v>
      </x:c>
      <x:c r="D565" s="56" t="str">
        <x:v>{"status":"absent","patientAnswerZh":"没有冠心病。","patientAnswerEn":"I do not have coronary heart disease.","provenance":"source","teacherReviewRequired":false}</x:v>
      </x:c>
      <x:c r="E565" s="56" t="str">
        <x:v>source</x:v>
      </x:c>
      <x:c r="F565" s="56" t="str">
        <x:v>是</x:v>
      </x:c>
      <x:c r="G565" s="56" t="str">
        <x:v>程序未检出确定性冲突；仍待语义复核</x:v>
      </x:c>
      <x:c r="H565" s="56" t="str">
        <x:v>待确认</x:v>
      </x:c>
      <x:c r="I565" s="56" t="str">
        <x:v>待确认</x:v>
      </x:c>
      <x:c r="J565" s="59" t="str">
        <x:v>待确认</x:v>
      </x:c>
      <x:c r="K565" s="56" t="str"/>
      <x:c r="L565" s="56" t="str"/>
      <x:c r="M565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66">
      <x:c r="A566" s="56" t="str">
        <x:v>P042</x:v>
      </x:c>
      <x:c r="B566" s="56" t="str">
        <x:v>HX-ADD-030</x:v>
      </x:c>
      <x:c r="C566" s="56" t="str">
        <x:v>stroke</x:v>
      </x:c>
      <x:c r="D566" s="56" t="str">
        <x:v>{"status":"absent","patientAnswerZh":"没有脑卒中。","patientAnswerEn":"I do not have stroke.","provenance":"source","teacherReviewRequired":false}</x:v>
      </x:c>
      <x:c r="E566" s="56" t="str">
        <x:v>source</x:v>
      </x:c>
      <x:c r="F566" s="56" t="str">
        <x:v>是</x:v>
      </x:c>
      <x:c r="G566" s="56" t="str">
        <x:v>程序未检出确定性冲突；仍待语义复核</x:v>
      </x:c>
      <x:c r="H566" s="56" t="str">
        <x:v>待确认</x:v>
      </x:c>
      <x:c r="I566" s="56" t="str">
        <x:v>待确认</x:v>
      </x:c>
      <x:c r="J566" s="59" t="str">
        <x:v>待确认</x:v>
      </x:c>
      <x:c r="K566" s="56" t="str"/>
      <x:c r="L566" s="56" t="str"/>
      <x:c r="M566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67">
      <x:c r="A567" s="56" t="str">
        <x:v>P042</x:v>
      </x:c>
      <x:c r="B567" s="56" t="str">
        <x:v>HX-ADD-030</x:v>
      </x:c>
      <x:c r="C567" s="56" t="str">
        <x:v>liverDisease</x:v>
      </x:c>
      <x:c r="D567" s="56" t="str">
        <x:v>{"status":"absent","patientAnswerZh":"没有肝病。","patientAnswerEn":"I do not have liver disease.","provenance":"source","teacherReviewRequired":false}</x:v>
      </x:c>
      <x:c r="E567" s="56" t="str">
        <x:v>source</x:v>
      </x:c>
      <x:c r="F567" s="56" t="str">
        <x:v>是</x:v>
      </x:c>
      <x:c r="G567" s="56" t="str">
        <x:v>程序未检出确定性冲突；仍待语义复核</x:v>
      </x:c>
      <x:c r="H567" s="56" t="str">
        <x:v>待确认</x:v>
      </x:c>
      <x:c r="I567" s="56" t="str">
        <x:v>待确认</x:v>
      </x:c>
      <x:c r="J567" s="59" t="str">
        <x:v>待确认</x:v>
      </x:c>
      <x:c r="K567" s="56" t="str"/>
      <x:c r="L567" s="56" t="str"/>
      <x:c r="M567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68">
      <x:c r="A568" s="56" t="str">
        <x:v>P042</x:v>
      </x:c>
      <x:c r="B568" s="56" t="str">
        <x:v>HX-ADD-030</x:v>
      </x:c>
      <x:c r="C568" s="56" t="str">
        <x:v>tuberculosis</x:v>
      </x:c>
      <x:c r="D568" s="56" t="str">
        <x:v>{"status":"absent","patientAnswerZh":"没有结核病。","patientAnswerEn":"I do not have tuberculosis.","provenance":"source","teacherReviewRequired":false}</x:v>
      </x:c>
      <x:c r="E568" s="56" t="str">
        <x:v>source</x:v>
      </x:c>
      <x:c r="F568" s="56" t="str">
        <x:v>是</x:v>
      </x:c>
      <x:c r="G568" s="56" t="str">
        <x:v>程序未检出确定性冲突；仍待语义复核</x:v>
      </x:c>
      <x:c r="H568" s="56" t="str">
        <x:v>待确认</x:v>
      </x:c>
      <x:c r="I568" s="56" t="str">
        <x:v>待确认</x:v>
      </x:c>
      <x:c r="J568" s="59" t="str">
        <x:v>待确认</x:v>
      </x:c>
      <x:c r="K568" s="56" t="str"/>
      <x:c r="L568" s="56" t="str"/>
      <x:c r="M568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69">
      <x:c r="A569" s="56" t="str">
        <x:v>P042</x:v>
      </x:c>
      <x:c r="B569" s="56" t="str">
        <x:v>HX-ADD-030</x:v>
      </x:c>
      <x:c r="C569" s="56" t="str">
        <x:v>urinaryProcedureHistory</x:v>
      </x:c>
      <x:c r="D569" s="56" t="str">
        <x:v>{"status":"absent","patientAnswerZh":"以前没有做过导尿、膀胱镜等泌尿操作。","patientAnswerEn":"I have not had catheterization, cystoscopy, or other urinary procedures.","provenance":"author_added_for_simulation","teacherReviewRequired":true}</x:v>
      </x:c>
      <x:c r="E569" s="56" t="str">
        <x:v>author_added_for_simulation</x:v>
      </x:c>
      <x:c r="F569" s="56" t="str">
        <x:v>是</x:v>
      </x:c>
      <x:c r="G569" s="56" t="str">
        <x:v>程序未检出确定性冲突；仍待语义复核</x:v>
      </x:c>
      <x:c r="H569" s="56" t="str">
        <x:v>待确认</x:v>
      </x:c>
      <x:c r="I569" s="56" t="str">
        <x:v>待确认</x:v>
      </x:c>
      <x:c r="J569" s="59" t="str">
        <x:v>待确认</x:v>
      </x:c>
      <x:c r="K569" s="56" t="str"/>
      <x:c r="L569" s="56" t="str"/>
      <x:c r="M569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70">
      <x:c r="A570" s="56" t="str">
        <x:v>P042</x:v>
      </x:c>
      <x:c r="B570" s="56" t="str">
        <x:v>HX-ADD-030</x:v>
      </x:c>
      <x:c r="C570" s="56" t="str">
        <x:v>surgeryHistory</x:v>
      </x:c>
      <x:c r="D570" s="56" t="str">
        <x:v>{"status":"absent","patientAnswerZh":"我以前没有做过手术。","patientAnswerEn":"I have never had surgery.","provenance":"author_added_for_simulation","teacherReviewRequired":true}</x:v>
      </x:c>
      <x:c r="E570" s="56" t="str">
        <x:v>author_added_for_simulation</x:v>
      </x:c>
      <x:c r="F570" s="56" t="str">
        <x:v>是</x:v>
      </x:c>
      <x:c r="G570" s="56" t="str">
        <x:v>程序未检出确定性冲突；仍待语义复核</x:v>
      </x:c>
      <x:c r="H570" s="56" t="str">
        <x:v>待确认</x:v>
      </x:c>
      <x:c r="I570" s="56" t="str">
        <x:v>是</x:v>
      </x:c>
      <x:c r="J570" s="59" t="str">
        <x:v>待确认</x:v>
      </x:c>
      <x:c r="K570" s="56" t="str"/>
      <x:c r="L570" s="56" t="str"/>
      <x:c r="M570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71">
      <x:c r="A571" s="56" t="str">
        <x:v>P042</x:v>
      </x:c>
      <x:c r="B571" s="56" t="str">
        <x:v>HX-ADD-030</x:v>
      </x:c>
      <x:c r="C571" s="56" t="str">
        <x:v>transfusionHistory</x:v>
      </x:c>
      <x:c r="D571" s="56" t="str">
        <x:v>{"status":"absent","patientAnswerZh":"我以前没有输过血。","patientAnswerEn":"I have never had a blood transfusion.","provenance":"author_added_for_simulation","teacherReviewRequired":true}</x:v>
      </x:c>
      <x:c r="E571" s="56" t="str">
        <x:v>author_added_for_simulation</x:v>
      </x:c>
      <x:c r="F571" s="56" t="str">
        <x:v>是</x:v>
      </x:c>
      <x:c r="G571" s="56" t="str">
        <x:v>程序未检出确定性冲突；仍待语义复核</x:v>
      </x:c>
      <x:c r="H571" s="56" t="str">
        <x:v>待确认</x:v>
      </x:c>
      <x:c r="I571" s="56" t="str">
        <x:v>待确认</x:v>
      </x:c>
      <x:c r="J571" s="59" t="str">
        <x:v>待确认</x:v>
      </x:c>
      <x:c r="K571" s="56" t="str"/>
      <x:c r="L571" s="56" t="str"/>
      <x:c r="M571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72">
      <x:c r="A572" s="56" t="str">
        <x:v>P042</x:v>
      </x:c>
      <x:c r="B572" s="56" t="str">
        <x:v>HX-ADD-030</x:v>
      </x:c>
      <x:c r="C572" s="56" t="str">
        <x:v>allergyHistory</x:v>
      </x:c>
      <x:c r="D572" s="56" t="str">
        <x:v>{"status":"absent","patientAnswerZh":"我没有已知药物或食物过敏。","patientAnswerEn":"I have no known drug or food allergies.","provenance":"author_added_for_simulation","teacherReviewRequired":true}</x:v>
      </x:c>
      <x:c r="E572" s="56" t="str">
        <x:v>author_added_for_simulation</x:v>
      </x:c>
      <x:c r="F572" s="56" t="str">
        <x:v>是</x:v>
      </x:c>
      <x:c r="G572" s="56" t="str">
        <x:v>程序未检出确定性冲突；仍待语义复核</x:v>
      </x:c>
      <x:c r="H572" s="56" t="str">
        <x:v>待确认</x:v>
      </x:c>
      <x:c r="I572" s="56" t="str">
        <x:v>是</x:v>
      </x:c>
      <x:c r="J572" s="59" t="str">
        <x:v>待确认</x:v>
      </x:c>
      <x:c r="K572" s="56" t="str"/>
      <x:c r="L572" s="56" t="str"/>
      <x:c r="M572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73">
      <x:c r="A573" s="56" t="str">
        <x:v>P042</x:v>
      </x:c>
      <x:c r="B573" s="56" t="str">
        <x:v>HX-ADD-030</x:v>
      </x:c>
      <x:c r="C573" s="56" t="str">
        <x:v>anticoagulantUse</x:v>
      </x:c>
      <x:c r="D573" s="56" t="str">
        <x:v>{"status":"absent","patientAnswerZh":"我没有服用华法林、利伐沙班等抗凝药。","patientAnswerEn":"I do not take anticoagulants.","provenance":"author_added_for_simulation","teacherReviewRequired":true}</x:v>
      </x:c>
      <x:c r="E573" s="56" t="str">
        <x:v>author_added_for_simulation</x:v>
      </x:c>
      <x:c r="F573" s="56" t="str">
        <x:v>是</x:v>
      </x:c>
      <x:c r="G573" s="56" t="str">
        <x:v>程序未检出确定性冲突；仍待语义复核</x:v>
      </x:c>
      <x:c r="H573" s="56" t="str">
        <x:v>可能</x:v>
      </x:c>
      <x:c r="I573" s="56" t="str">
        <x:v>是</x:v>
      </x:c>
      <x:c r="J573" s="59" t="str">
        <x:v>待确认</x:v>
      </x:c>
      <x:c r="K573" s="56" t="str"/>
      <x:c r="L573" s="56" t="str"/>
      <x:c r="M573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74">
      <x:c r="A574" s="56" t="str">
        <x:v>P042</x:v>
      </x:c>
      <x:c r="B574" s="56" t="str">
        <x:v>HX-ADD-030</x:v>
      </x:c>
      <x:c r="C574" s="56" t="str">
        <x:v>antiplateletUse</x:v>
      </x:c>
      <x:c r="D574" s="56" t="str">
        <x:v>{"status":"absent","patientAnswerZh":"我没有服用阿司匹林或氯吡格雷。","patientAnswerEn":"I do not take antiplatelet medication.","provenance":"author_added_for_simulation","teacherReviewRequired":true}</x:v>
      </x:c>
      <x:c r="E574" s="56" t="str">
        <x:v>author_added_for_simulation</x:v>
      </x:c>
      <x:c r="F574" s="56" t="str">
        <x:v>是</x:v>
      </x:c>
      <x:c r="G574" s="56" t="str">
        <x:v>程序未检出确定性冲突；仍待语义复核</x:v>
      </x:c>
      <x:c r="H574" s="56" t="str">
        <x:v>可能</x:v>
      </x:c>
      <x:c r="I574" s="56" t="str">
        <x:v>是</x:v>
      </x:c>
      <x:c r="J574" s="59" t="str">
        <x:v>待确认</x:v>
      </x:c>
      <x:c r="K574" s="56" t="str"/>
      <x:c r="L574" s="56" t="str"/>
      <x:c r="M574" s="56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  <x:row r="575">
      <x:c r="A575" s="57" t="str">
        <x:v>P042</x:v>
      </x:c>
      <x:c r="B575" s="57" t="str">
        <x:v>HX-ADD-030</x:v>
      </x:c>
      <x:c r="C575" s="57" t="str">
        <x:v>familyHistory</x:v>
      </x:c>
      <x:c r="D575" s="57" t="str">
        <x:v>{"status":"absent","patientAnswerZh":"家里没有人得过类似血尿或遗传性肾病。","patientAnswerEn":"No one in my family has had similar hematuria or hereditary kidney disease.","provenance":"author_added_for_simulation","teacherReviewRequired":true}</x:v>
      </x:c>
      <x:c r="E575" s="57" t="str">
        <x:v>author_added_for_simulation</x:v>
      </x:c>
      <x:c r="F575" s="57" t="str">
        <x:v>是</x:v>
      </x:c>
      <x:c r="G575" s="57" t="str">
        <x:v>程序未检出确定性冲突；仍待语义复核</x:v>
      </x:c>
      <x:c r="H575" s="57" t="str">
        <x:v>可能</x:v>
      </x:c>
      <x:c r="I575" s="57" t="str">
        <x:v>是</x:v>
      </x:c>
      <x:c r="J575" s="60" t="str">
        <x:v>待确认</x:v>
      </x:c>
      <x:c r="K575" s="57" t="str"/>
      <x:c r="L575" s="57" t="str"/>
      <x:c r="M575" s="57" t="str">
        <x:v>https://www.auanet.org/guidelines-and-quality/guidelines/microhematuria
https://uroweb.org/guidelines/urological-infections
https://uroweb.org/guidelines/urolithiasis
https://uroweb.org/guidelines/non-muscle-invasive-bladder-cancer
https://kdigo.org/guidelines/iga-nephropathy/</x:v>
      </x:c>
    </x:row>
  </x:sheetData>
  <x:mergeCells>
    <x:mergeCell ref="A1:M1"/>
  </x:mergeCells>
  <x:conditionalFormatting sqref="G4:L575">
    <x:cfRule type="containsText" dxfId="22" priority="1" operator="containsText" text="待"/>
    <x:cfRule type="containsText" dxfId="23" priority="2" operator="containsText" text="禁忌"/>
    <x:cfRule type="containsText" dxfId="24" priority="3" operator="containsText" text="重大"/>
    <x:cfRule type="containsText" dxfId="25" priority="4" operator="containsText" text="已复核"/>
  </x:conditionalFormatting>
  <x:dataValidations count="1">
    <x:dataValidation type="list" sqref="J4:J575">
      <x:formula1>"待确认,保留,修改,删除"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6f1ed8ac3494cb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5" hidden="0" customWidth="1"/>
    <x:col min="2" max="2" width="15" hidden="0" customWidth="1"/>
    <x:col min="3" max="3" width="15" hidden="0" customWidth="1"/>
    <x:col min="4" max="4" width="45" hidden="0" customWidth="1"/>
    <x:col min="5" max="5" width="40" hidden="0" customWidth="1"/>
    <x:col min="6" max="6" width="15" hidden="0" customWidth="1"/>
    <x:col min="7" max="7" width="10" hidden="0" customWidth="1"/>
  </x:cols>
  <x:sheetData>
    <x:row r="1" ht="30" customHeight="1">
      <x:c r="A1" s="42" t="str">
        <x:v>问题汇总</x:v>
      </x:c>
      <x:c r="B1" s="42"/>
      <x:c r="C1" s="42"/>
      <x:c r="D1" s="42"/>
      <x:c r="E1" s="42"/>
      <x:c r="F1" s="42"/>
      <x:c r="G1" s="42"/>
    </x:row>
    <x:row r="2">
      <x:c r="A2" t="str">
        <x:v>问题总数</x:v>
      </x:c>
      <x:c r="B2" t="n">
        <x:f>COUNTA(A4:A22)</x:f>
        <x:v>19</x:v>
      </x:c>
      <x:c r="C2" t="str">
        <x:v>已修正</x:v>
      </x:c>
      <x:c r="D2" t="n">
        <x:f>COUNTIF(F4:F22,"已修正")</x:f>
        <x:v>4</x:v>
      </x:c>
      <x:c r="E2" t="str">
        <x:v>待专家确认</x:v>
      </x:c>
      <x:c r="F2" t="n">
        <x:f>COUNTIF(F4:F22,"待专家确认")</x:f>
        <x:v>15</x:v>
      </x:c>
    </x:row>
    <x:row r="3" ht="36" customHeight="1">
      <x:c r="A3" s="47" t="str">
        <x:v>caseId</x:v>
      </x:c>
      <x:c r="B3" s="47" t="str">
        <x:v>originalCaseId</x:v>
      </x:c>
      <x:c r="C3" s="47" t="str">
        <x:v>问题类型</x:v>
      </x:c>
      <x:c r="D3" s="47" t="str">
        <x:v>原始内容/问题</x:v>
      </x:c>
      <x:c r="E3" s="47" t="str">
        <x:v>建议修正</x:v>
      </x:c>
      <x:c r="F3" s="47" t="str">
        <x:v>处理状态</x:v>
      </x:c>
      <x:c r="G3" s="47" t="str">
        <x:v>优先级</x:v>
      </x:c>
    </x:row>
    <x:row r="4">
      <x:c r="A4" s="55" t="str">
        <x:v>P003</x:v>
      </x:c>
      <x:c r="B4" s="55" t="str">
        <x:v>P003</x:v>
      </x:c>
      <x:c r="C4" s="55" t="str">
        <x:v>确定性矛盾</x:v>
      </x:c>
      <x:c r="D4" s="55" t="str">
        <x:v>详细既往史有胆囊切除及输血史，但操作字段称手术未记录且否认输血</x:v>
      </x:c>
      <x:c r="E4" s="55" t="str">
        <x:v>明确胆囊切除术和输血史</x:v>
      </x:c>
      <x:c r="F4" s="58" t="str">
        <x:v>已修正</x:v>
      </x:c>
      <x:c r="G4" s="55" t="str">
        <x:v>P0</x:v>
      </x:c>
    </x:row>
    <x:row r="5">
      <x:c r="A5" s="56" t="str">
        <x:v>P005</x:v>
      </x:c>
      <x:c r="B5" s="56" t="str">
        <x:v>P005</x:v>
      </x:c>
      <x:c r="C5" s="56" t="str">
        <x:v>确定性矛盾</x:v>
      </x:c>
      <x:c r="D5" s="56" t="str">
        <x:v>已有冠脉支架介入史，但操作字段称手术/操作未记录</x:v>
      </x:c>
      <x:c r="E5" s="56" t="str">
        <x:v>明确冠脉介入史，并与泌尿操作分列</x:v>
      </x:c>
      <x:c r="F5" s="59" t="str">
        <x:v>已修正</x:v>
      </x:c>
      <x:c r="G5" s="56" t="str">
        <x:v>P0</x:v>
      </x:c>
    </x:row>
    <x:row r="6">
      <x:c r="A6" s="56" t="str">
        <x:v>P016</x:v>
      </x:c>
      <x:c r="B6" s="56" t="str">
        <x:v>HX-ADD-004</x:v>
      </x:c>
      <x:c r="C6" s="56" t="str">
        <x:v>确定性矛盾</x:v>
      </x:c>
      <x:c r="D6" s="56" t="str">
        <x:v>左腰/一侧与原始右腰胀感冲突，且遗漏乏力、食欲下降</x:v>
      </x:c>
      <x:c r="E6" s="56" t="str">
        <x:v>修正为右腰并恢复原始症状</x:v>
      </x:c>
      <x:c r="F6" s="59" t="str">
        <x:v>已修正</x:v>
      </x:c>
      <x:c r="G6" s="56" t="str">
        <x:v>P0</x:v>
      </x:c>
    </x:row>
    <x:row r="7">
      <x:c r="A7" s="56" t="str">
        <x:v>P030</x:v>
      </x:c>
      <x:c r="B7" s="56" t="str">
        <x:v>HX-ADD-018</x:v>
      </x:c>
      <x:c r="C7" s="56" t="str">
        <x:v>确定性矛盾</x:v>
      </x:c>
      <x:c r="D7" s="56" t="str">
        <x:v>原始病例记录兄弟患前列腺癌，扩写字段却称家族史未记录</x:v>
      </x:c>
      <x:c r="E7" s="56" t="str">
        <x:v>恢复兄弟前列腺癌家族史，并保留无家族性肾病信息</x:v>
      </x:c>
      <x:c r="F7" s="59" t="str">
        <x:v>已修正</x:v>
      </x:c>
      <x:c r="G7" s="56" t="str">
        <x:v>P0</x:v>
      </x:c>
    </x:row>
    <x:row r="8">
      <x:c r="A8" s="56" t="str">
        <x:v>P004/P016</x:v>
      </x:c>
      <x:c r="B8" s="56" t="str">
        <x:v>P004/HX-ADD-004</x:v>
      </x:c>
      <x:c r="C8" s="56" t="str">
        <x:v>模板错配</x:v>
      </x:c>
      <x:c r="D8" s="56" t="str">
        <x:v>RCC套用尿细胞学、CTU、膀胱镜默认必开</x:v>
      </x:c>
      <x:c r="E8" s="56" t="str">
        <x:v>改为肾脏多期增强CT或MRI，其他检查按风险</x:v>
      </x:c>
      <x:c r="F8" s="59" t="str">
        <x:v>待专家确认</x:v>
      </x:c>
      <x:c r="G8" s="56" t="str">
        <x:v>P0</x:v>
      </x:c>
    </x:row>
    <x:row r="9">
      <x:c r="A9" s="56" t="str">
        <x:v>P008</x:v>
      </x:c>
      <x:c r="B9" s="56" t="str">
        <x:v>P008</x:v>
      </x:c>
      <x:c r="C9" s="56" t="str">
        <x:v>模板错配</x:v>
      </x:c>
      <x:c r="D9" s="56" t="str">
        <x:v>膀胱结石合并BPH未同时覆盖结石和出口梗阻</x:v>
      </x:c>
      <x:c r="E9" s="56" t="str">
        <x:v>增加结石清除、残余尿、尿流率和BPH处理</x:v>
      </x:c>
      <x:c r="F9" s="59" t="str">
        <x:v>待专家确认</x:v>
      </x:c>
      <x:c r="G9" s="56" t="str">
        <x:v>P0</x:v>
      </x:c>
    </x:row>
    <x:row r="10">
      <x:c r="A10" s="56" t="str">
        <x:v>P025</x:v>
      </x:c>
      <x:c r="B10" s="56" t="str">
        <x:v>HX-ADD-013</x:v>
      </x:c>
      <x:c r="C10" s="56" t="str">
        <x:v>模板错配</x:v>
      </x:c>
      <x:c r="D10" s="56" t="str">
        <x:v>膀胱结石可能套用上尿路输尿管镜/PCNL模板</x:v>
      </x:c>
      <x:c r="E10" s="56" t="str">
        <x:v>评估经尿道膀胱碎石并查找病因</x:v>
      </x:c>
      <x:c r="F10" s="59" t="str">
        <x:v>待专家确认</x:v>
      </x:c>
      <x:c r="G10" s="56" t="str">
        <x:v>P0</x:v>
      </x:c>
    </x:row>
    <x:row r="11">
      <x:c r="A11" s="56" t="str">
        <x:v>P027</x:v>
      </x:c>
      <x:c r="B11" s="56" t="str">
        <x:v>HX-ADD-015</x:v>
      </x:c>
      <x:c r="C11" s="56" t="str">
        <x:v>模板错配</x:v>
      </x:c>
      <x:c r="D11" s="56" t="str">
        <x:v>尿酸结石缺少尿液碱化和尿pH监测</x:v>
      </x:c>
      <x:c r="E11" s="56" t="str">
        <x:v>增加尿pH、血尿酸、代谢评估和碱化随访</x:v>
      </x:c>
      <x:c r="F11" s="59" t="str">
        <x:v>待专家确认</x:v>
      </x:c>
      <x:c r="G11" s="56" t="str">
        <x:v>P0</x:v>
      </x:c>
    </x:row>
    <x:row r="12">
      <x:c r="A12" s="56" t="str">
        <x:v>P018</x:v>
      </x:c>
      <x:c r="B12" s="56" t="str">
        <x:v>HX-ADD-006</x:v>
      </x:c>
      <x:c r="C12" s="56" t="str">
        <x:v>模板错配</x:v>
      </x:c>
      <x:c r="D12" s="56" t="str">
        <x:v>局限性膀胱炎套用系统性UTI全套检验</x:v>
      </x:c>
      <x:c r="E12" s="56" t="str">
        <x:v>PCT等改为系统症状/复杂因素下条件性</x:v>
      </x:c>
      <x:c r="F12" s="59" t="str">
        <x:v>待专家确认</x:v>
      </x:c>
      <x:c r="G12" s="56" t="str">
        <x:v>P0</x:v>
      </x:c>
    </x:row>
    <x:row r="13">
      <x:c r="A13" s="56" t="str">
        <x:v>P020</x:v>
      </x:c>
      <x:c r="B13" s="56" t="str">
        <x:v>HX-ADD-008</x:v>
      </x:c>
      <x:c r="C13" s="56" t="str">
        <x:v>患者安全</x:v>
      </x:c>
      <x:c r="D13" s="56" t="str">
        <x:v>缺少禁止用力前列腺按摩及脓毒症/潴留路径</x:v>
      </x:c>
      <x:c r="E13" s="56" t="str">
        <x:v>增加生命体征、培养、潴留和脓肿触发条件</x:v>
      </x:c>
      <x:c r="F13" s="59" t="str">
        <x:v>待专家确认</x:v>
      </x:c>
      <x:c r="G13" s="56" t="str">
        <x:v>P0</x:v>
      </x:c>
    </x:row>
    <x:row r="14">
      <x:c r="A14" s="56" t="str">
        <x:v>P022</x:v>
      </x:c>
      <x:c r="B14" s="56" t="str">
        <x:v>HX-ADD-010</x:v>
      </x:c>
      <x:c r="C14" s="56" t="str">
        <x:v>模板错配</x:v>
      </x:c>
      <x:c r="D14" s="56" t="str">
        <x:v>持续血尿仍仅使用感染模板</x:v>
      </x:c>
      <x:c r="E14" s="56" t="str">
        <x:v>感染后复查并进入血尿风险分层</x:v>
      </x:c>
      <x:c r="F14" s="59" t="str">
        <x:v>待专家确认</x:v>
      </x:c>
      <x:c r="G14" s="56" t="str">
        <x:v>P0</x:v>
      </x:c>
    </x:row>
    <x:row r="15">
      <x:c r="A15" s="56" t="str">
        <x:v>P031-P035</x:v>
      </x:c>
      <x:c r="B15" s="56" t="str">
        <x:v>HX-ADD-019~023</x:v>
      </x:c>
      <x:c r="C15" s="56" t="str">
        <x:v>模板错配</x:v>
      </x:c>
      <x:c r="D15" s="56" t="str">
        <x:v>肾小球疾病共用相同检查及肾活检模板</x:v>
      </x:c>
      <x:c r="E15" s="56" t="str">
        <x:v>按IgA、感染后、COL4/薄基底膜、Alport、狼疮分别设置</x:v>
      </x:c>
      <x:c r="F15" s="59" t="str">
        <x:v>待专家确认</x:v>
      </x:c>
      <x:c r="G15" s="56" t="str">
        <x:v>P0</x:v>
      </x:c>
    </x:row>
    <x:row r="16">
      <x:c r="A16" s="56" t="str">
        <x:v>P037</x:v>
      </x:c>
      <x:c r="B16" s="56" t="str">
        <x:v>HX-ADD-025</x:v>
      </x:c>
      <x:c r="C16" s="56" t="str">
        <x:v>患者安全</x:v>
      </x:c>
      <x:c r="D16" s="56" t="str">
        <x:v>月经污染未排除即可释放侵入性检查</x:v>
      </x:c>
      <x:c r="E16" s="56" t="str">
        <x:v>经期结束后规范复查，必要时妇科评估</x:v>
      </x:c>
      <x:c r="F16" s="59" t="str">
        <x:v>待专家确认</x:v>
      </x:c>
      <x:c r="G16" s="56" t="str">
        <x:v>P0</x:v>
      </x:c>
    </x:row>
    <x:row r="17">
      <x:c r="A17" s="56" t="str">
        <x:v>P041</x:v>
      </x:c>
      <x:c r="B17" s="56" t="str">
        <x:v>HX-ADD-029</x:v>
      </x:c>
      <x:c r="C17" s="56" t="str">
        <x:v>模板错配</x:v>
      </x:c>
      <x:c r="D17" s="56" t="str">
        <x:v>胡桃夹综合征仅写针对性影像</x:v>
      </x:c>
      <x:c r="E17" s="56" t="str">
        <x:v>增加左肾静脉多普勒及条件性CTA/MRA</x:v>
      </x:c>
      <x:c r="F17" s="59" t="str">
        <x:v>待专家确认</x:v>
      </x:c>
      <x:c r="G17" s="56" t="str">
        <x:v>P0</x:v>
      </x:c>
    </x:row>
    <x:row r="18">
      <x:c r="A18" s="56" t="str">
        <x:v>P042</x:v>
      </x:c>
      <x:c r="B18" s="56" t="str">
        <x:v>HX-ADD-030</x:v>
      </x:c>
      <x:c r="C18" s="56" t="str">
        <x:v>患者安全</x:v>
      </x:c>
      <x:c r="D18" s="56" t="str">
        <x:v>高危镜下血尿可能被当成已确诊肿瘤并提前释放治疗</x:v>
      </x:c>
      <x:c r="E18" s="56" t="str">
        <x:v>保持风险评估路径，发现病变后才进入肿瘤治疗</x:v>
      </x:c>
      <x:c r="F18" s="59" t="str">
        <x:v>待专家确认</x:v>
      </x:c>
      <x:c r="G18" s="56" t="str">
        <x:v>P0</x:v>
      </x:c>
    </x:row>
    <x:row r="19">
      <x:c r="A19" s="56" t="str">
        <x:v>P004</x:v>
      </x:c>
      <x:c r="B19" s="56" t="str">
        <x:v>P004</x:v>
      </x:c>
      <x:c r="C19" s="56" t="str">
        <x:v>输血史冲突</x:v>
      </x:c>
      <x:c r="D19" s="56" t="str">
        <x:v>高血压20余年，服用贝那普利、硝苯地平缓释片、氢氯噻嗪控制良好。二型糖尿病，平时注射胰岛素及达格列净、二甲双胍控制，具体血糖未监测。否认心脏病、肝炎、结核病史。否认药物过敏史。否认手术术、输血病史。按期预防接种；结石史：未诉/否认明确结石史；尿路感染史：否认发热；外伤/泌尿操作史：未诉/否认外伤；肿瘤史：未诉/否认肿瘤史｜手术史未记录，需主动询问。；我以前没有输过血。；过敏史未记录，需主动询问。；以前没有做过导尿、膀胱镜等泌尿操作。</x:v>
      </x:c>
      <x:c r="E19" s="56" t="str">
        <x:v>核对并统一输血史</x:v>
      </x:c>
      <x:c r="F19" s="59" t="str">
        <x:v>待专家确认</x:v>
      </x:c>
      <x:c r="G19" s="56" t="str">
        <x:v>P1</x:v>
      </x:c>
    </x:row>
    <x:row r="20">
      <x:c r="A20" s="56" t="str">
        <x:v>P005</x:v>
      </x:c>
      <x:c r="B20" s="56" t="str">
        <x:v>P005</x:v>
      </x:c>
      <x:c r="C20" s="56" t="str">
        <x:v>输血史冲突</x:v>
      </x:c>
      <x:c r="D20" s="56" t="str">
        <x:v>糖尿病十余年，服用达格列净、二甲双胍控制，具体血糖不详。6年前因冠脉狭窄行支架植入术。否认肝炎、结核病史。自诉磺胺类药物、清开灵过敏。否认输血病史；结石史：未诉/否认明确结石史；尿路感染史：否认发热；外伤/泌尿操作史：未诉/否认外伤；肿瘤史：未诉/否认肿瘤史｜6年前因冠脉狭窄行冠脉支架植入术（心血管介入史，非泌尿操作）；否认输血史；磺胺类药物、清开灵过敏；泌尿操作史未记录，需主动询问。</x:v>
      </x:c>
      <x:c r="E20" s="56" t="str">
        <x:v>核对并统一输血史</x:v>
      </x:c>
      <x:c r="F20" s="59" t="str">
        <x:v>待专家确认</x:v>
      </x:c>
      <x:c r="G20" s="56" t="str">
        <x:v>P1</x:v>
      </x:c>
    </x:row>
    <x:row r="21">
      <x:c r="A21" s="56" t="str">
        <x:v>P009</x:v>
      </x:c>
      <x:c r="B21" s="56" t="str">
        <x:v>P009</x:v>
      </x:c>
      <x:c r="C21" s="56" t="str">
        <x:v>输血史冲突</x:v>
      </x:c>
      <x:c r="D21" s="56" t="str">
        <x:v>否认糖尿病、心脏病、肝炎、结核、结石病史。否认药物过敏史。否认、输血病史；结石史：否认糖尿病、心脏病、肝炎、结核、结石病史。否认吸烟饮酒史。否认药物过敏史。否认、输血病史。未婚未孕，初潮14岁，末次月经上月6日，经期28-30天按期预防接种。父母、配偶、子女均身体健康。；尿路感染史：无发热；外伤/泌尿操作史：未诉/否认外伤；肿瘤史：未诉/否认肿瘤史｜我以前没有做过手术。；我以前没有输过血。；过敏史未记录，需主动询问。；以前没有做过导尿、膀胱镜等泌尿操作。</x:v>
      </x:c>
      <x:c r="E21" s="56" t="str">
        <x:v>核对并统一输血史</x:v>
      </x:c>
      <x:c r="F21" s="59" t="str">
        <x:v>待专家确认</x:v>
      </x:c>
      <x:c r="G21" s="56" t="str">
        <x:v>P1</x:v>
      </x:c>
    </x:row>
    <x:row r="22">
      <x:c r="A22" s="57" t="str">
        <x:v>P010</x:v>
      </x:c>
      <x:c r="B22" s="57" t="str">
        <x:v>P010</x:v>
      </x:c>
      <x:c r="C22" s="57" t="str">
        <x:v>输血史冲突</x:v>
      </x:c>
      <x:c r="D22" s="57" t="str">
        <x:v>否认糖尿病、心脏病、肝炎、结核、结石病史。否认药物过敏史。否认、输血病史；结石史：否认糖尿病、心脏病、肝炎、结核、结石病史。否认吸烟饮酒史。否认药物过敏史。否认、输血病史。父母、配偶、子女均身体健康。；尿路感染史：无发热；外伤/泌尿操作史：未诉/否认外伤；肿瘤史：未诉/否认肿瘤史｜我以前没有做过手术。；我以前没有输过血。；过敏史未记录，需主动询问。；以前没有做过导尿、膀胱镜等泌尿操作。</x:v>
      </x:c>
      <x:c r="E22" s="57" t="str">
        <x:v>核对并统一输血史</x:v>
      </x:c>
      <x:c r="F22" s="60" t="str">
        <x:v>待专家确认</x:v>
      </x:c>
      <x:c r="G22" s="57" t="str">
        <x:v>P1</x:v>
      </x:c>
    </x:row>
  </x:sheetData>
  <x:mergeCells>
    <x:mergeCell ref="A1:G1"/>
  </x:mergeCells>
  <x:conditionalFormatting sqref="C4:G22">
    <x:cfRule type="containsText" dxfId="26" priority="1" operator="containsText" text="待"/>
    <x:cfRule type="containsText" dxfId="27" priority="2" operator="containsText" text="禁忌"/>
    <x:cfRule type="containsText" dxfId="28" priority="3" operator="containsText" text="重大"/>
    <x:cfRule type="containsText" dxfId="29" priority="4" operator="containsText" text="已复核"/>
  </x:conditionalFormatting>
  <x:dataValidations count="1">
    <x:dataValidation type="list" sqref="F4:F22">
      <x:formula1>"待专家确认,审核中,需修改,已修正,已复核"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ac642bec54549d6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35" hidden="0" customWidth="1"/>
    <x:col min="3" max="3" width="22.5" hidden="0" customWidth="1"/>
    <x:col min="4" max="4" width="42.5" hidden="0" customWidth="1"/>
    <x:col min="5" max="5" width="11.25" hidden="0" customWidth="1"/>
    <x:col min="6" max="6" width="31.25" hidden="0" customWidth="1"/>
    <x:col min="7" max="7" width="15" hidden="0" customWidth="1"/>
    <x:col min="8" max="8" width="28.75" hidden="0" customWidth="1"/>
    <x:col min="9" max="9" width="12.5" hidden="0" customWidth="1"/>
  </x:cols>
  <x:sheetData>
    <x:row r="1" ht="30" customHeight="1">
      <x:c r="A1" s="42" t="str">
        <x:v>指南与文献明细</x:v>
      </x:c>
      <x:c r="B1" s="42"/>
      <x:c r="C1" s="42"/>
      <x:c r="D1" s="42"/>
      <x:c r="E1" s="42"/>
      <x:c r="F1" s="42"/>
      <x:c r="G1" s="42"/>
      <x:c r="H1" s="42"/>
      <x:c r="I1" s="42"/>
    </x:row>
    <x:row r="2">
      <x:c r="A2" t="str">
        <x:v>指南条目数</x:v>
      </x:c>
      <x:c r="B2" t="n">
        <x:f>COUNTA(A4:A11)</x:f>
        <x:v>8</x:v>
      </x:c>
    </x:row>
    <x:row r="3" ht="36" customHeight="1">
      <x:c r="A3" s="47" t="str">
        <x:v>主题</x:v>
      </x:c>
      <x:c r="B3" s="47" t="str">
        <x:v>指南/文献题名</x:v>
      </x:c>
      <x:c r="C3" s="47" t="str">
        <x:v>适用病例</x:v>
      </x:c>
      <x:c r="D3" s="47" t="str">
        <x:v>完整URL</x:v>
      </x:c>
      <x:c r="E3" s="47" t="str">
        <x:v>年份</x:v>
      </x:c>
      <x:c r="F3" s="47" t="str">
        <x:v>章节</x:v>
      </x:c>
      <x:c r="G3" s="47" t="str">
        <x:v>核对状态</x:v>
      </x:c>
      <x:c r="H3" s="47" t="str">
        <x:v>专家意见</x:v>
      </x:c>
      <x:c r="I3" s="47" t="str">
        <x:v>修改状态</x:v>
      </x:c>
    </x:row>
    <x:row r="4">
      <x:c r="A4" s="55" t="str">
        <x:v>镜下血尿风险分层</x:v>
      </x:c>
      <x:c r="B4" s="55" t="str">
        <x:v>AUA/SUFU Microhematuria Guideline (2025)</x:v>
      </x:c>
      <x:c r="C4" s="55" t="str">
        <x:v>P022、P037、P041、P042</x:v>
      </x:c>
      <x:c r="D4" s="55" t="str">
        <x:v>https://www.auanet.org/guidelines-and-quality/guidelines/microhematuria</x:v>
      </x:c>
      <x:c r="E4" s="55" t="n">
        <x:v>2025</x:v>
      </x:c>
      <x:c r="F4" s="55" t="str">
        <x:v>Definition, initial evaluation and risk-based evaluation</x:v>
      </x:c>
      <x:c r="G4" s="55" t="str">
        <x:v>待专家核对</x:v>
      </x:c>
      <x:c r="H4" s="55" t="str"/>
      <x:c r="I4" s="58" t="str">
        <x:v>待确认</x:v>
      </x:c>
    </x:row>
    <x:row r="5">
      <x:c r="A5" s="56" t="str">
        <x:v>膀胱尿路上皮癌</x:v>
      </x:c>
      <x:c r="B5" s="56" t="str">
        <x:v>EAU Non-muscle-invasive Bladder Cancer</x:v>
      </x:c>
      <x:c r="C5" s="56" t="str">
        <x:v>P013、P014及相关病例</x:v>
      </x:c>
      <x:c r="D5" s="56" t="str">
        <x:v>https://uroweb.org/guidelines/non-muscle-invasive-bladder-cancer</x:v>
      </x:c>
      <x:c r="E5" s="56" t="str">
        <x:v>待核对</x:v>
      </x:c>
      <x:c r="F5" s="56" t="str">
        <x:v>Diagnosis and treatment</x:v>
      </x:c>
      <x:c r="G5" s="56" t="str">
        <x:v>待专家核对</x:v>
      </x:c>
      <x:c r="H5" s="56" t="str"/>
      <x:c r="I5" s="59" t="str">
        <x:v>待确认</x:v>
      </x:c>
    </x:row>
    <x:row r="6">
      <x:c r="A6" s="56" t="str">
        <x:v>上尿路尿路上皮癌</x:v>
      </x:c>
      <x:c r="B6" s="56" t="str">
        <x:v>EAU Upper Urinary Tract Urothelial Cell Carcinoma</x:v>
      </x:c>
      <x:c r="C6" s="56" t="str">
        <x:v>P015及相关病例</x:v>
      </x:c>
      <x:c r="D6" s="56" t="str">
        <x:v>https://uroweb.org/guidelines/upper-urinary-tract-urothelial-cell-carcinoma</x:v>
      </x:c>
      <x:c r="E6" s="56" t="str">
        <x:v>待核对</x:v>
      </x:c>
      <x:c r="F6" s="56" t="str">
        <x:v>Diagnosis and risk stratification</x:v>
      </x:c>
      <x:c r="G6" s="56" t="str">
        <x:v>待专家核对</x:v>
      </x:c>
      <x:c r="H6" s="56" t="str"/>
      <x:c r="I6" s="59" t="str">
        <x:v>待确认</x:v>
      </x:c>
    </x:row>
    <x:row r="7">
      <x:c r="A7" s="56" t="str">
        <x:v>肾细胞癌</x:v>
      </x:c>
      <x:c r="B7" s="56" t="str">
        <x:v>EAU Renal Cell Carcinoma</x:v>
      </x:c>
      <x:c r="C7" s="56" t="str">
        <x:v>P004、P016</x:v>
      </x:c>
      <x:c r="D7" s="56" t="str">
        <x:v>https://uroweb.org/guidelines/renal-cell-carcinoma</x:v>
      </x:c>
      <x:c r="E7" s="56" t="str">
        <x:v>待核对</x:v>
      </x:c>
      <x:c r="F7" s="56" t="str">
        <x:v>Diagnostic evaluation, staging, biopsy and management</x:v>
      </x:c>
      <x:c r="G7" s="56" t="str">
        <x:v>待专家核对</x:v>
      </x:c>
      <x:c r="H7" s="56" t="str"/>
      <x:c r="I7" s="59" t="str">
        <x:v>待确认</x:v>
      </x:c>
    </x:row>
    <x:row r="8">
      <x:c r="A8" s="56" t="str">
        <x:v>尿路感染</x:v>
      </x:c>
      <x:c r="B8" s="56" t="str">
        <x:v>EAU Urological Infections</x:v>
      </x:c>
      <x:c r="C8" s="56" t="str">
        <x:v>P018-P022、P026</x:v>
      </x:c>
      <x:c r="D8" s="56" t="str">
        <x:v>https://uroweb.org/guidelines/urological-infections</x:v>
      </x:c>
      <x:c r="E8" s="56" t="str">
        <x:v>待核对</x:v>
      </x:c>
      <x:c r="F8" s="56" t="str">
        <x:v>Localised/systemic UTI and bacterial prostatitis</x:v>
      </x:c>
      <x:c r="G8" s="56" t="str">
        <x:v>待专家核对</x:v>
      </x:c>
      <x:c r="H8" s="56" t="str"/>
      <x:c r="I8" s="59" t="str">
        <x:v>待确认</x:v>
      </x:c>
    </x:row>
    <x:row r="9">
      <x:c r="A9" s="56" t="str">
        <x:v>尿路结石/膀胱结石</x:v>
      </x:c>
      <x:c r="B9" s="56" t="str">
        <x:v>EAU Urolithiasis</x:v>
      </x:c>
      <x:c r="C9" s="56" t="str">
        <x:v>P008、P023-P027</x:v>
      </x:c>
      <x:c r="D9" s="56" t="str">
        <x:v>https://uroweb.org/guidelines/urolithiasis</x:v>
      </x:c>
      <x:c r="E9" s="56" t="str">
        <x:v>待核对</x:v>
      </x:c>
      <x:c r="F9" s="56" t="str">
        <x:v>Bladder stones, metabolic evaluation and chemolysis</x:v>
      </x:c>
      <x:c r="G9" s="56" t="str">
        <x:v>待专家核对</x:v>
      </x:c>
      <x:c r="H9" s="56" t="str"/>
      <x:c r="I9" s="59" t="str">
        <x:v>待确认</x:v>
      </x:c>
    </x:row>
    <x:row r="10">
      <x:c r="A10" s="56" t="str">
        <x:v>IgA肾病及肾小球疾病</x:v>
      </x:c>
      <x:c r="B10" s="56" t="str">
        <x:v>KDIGO 2025 IgAN/IgAV Guideline</x:v>
      </x:c>
      <x:c r="C10" s="56" t="str">
        <x:v>P031及肾小球疾病鉴别</x:v>
      </x:c>
      <x:c r="D10" s="56" t="str">
        <x:v>https://kdigo.org/guidelines/iga-nephropathy/</x:v>
      </x:c>
      <x:c r="E10" s="56" t="n">
        <x:v>2025</x:v>
      </x:c>
      <x:c r="F10" s="56" t="str">
        <x:v>Diagnosis, risk assessment and kidney biopsy</x:v>
      </x:c>
      <x:c r="G10" s="56" t="str">
        <x:v>待专家核对</x:v>
      </x:c>
      <x:c r="H10" s="56" t="str"/>
      <x:c r="I10" s="59" t="str">
        <x:v>待确认</x:v>
      </x:c>
    </x:row>
    <x:row r="11">
      <x:c r="A11" s="57" t="str">
        <x:v>泌尿系外伤</x:v>
      </x:c>
      <x:c r="B11" s="57" t="str">
        <x:v>AUA Urotrauma Guideline</x:v>
      </x:c>
      <x:c r="C11" s="57" t="str">
        <x:v>P038</x:v>
      </x:c>
      <x:c r="D11" s="57" t="str">
        <x:v>https://www.auanet.org/guidelines-and-quality/guidelines/urotrauma-guideline</x:v>
      </x:c>
      <x:c r="E11" s="57" t="str">
        <x:v>待核对</x:v>
      </x:c>
      <x:c r="F11" s="57" t="str">
        <x:v>Initial stabilisation and imaging</x:v>
      </x:c>
      <x:c r="G11" s="57" t="str">
        <x:v>待专家核对</x:v>
      </x:c>
      <x:c r="H11" s="57" t="str"/>
      <x:c r="I11" s="60" t="str">
        <x:v>待确认</x:v>
      </x:c>
    </x:row>
  </x:sheetData>
  <x:mergeCells>
    <x:mergeCell ref="A1:I1"/>
  </x:mergeCells>
  <x:conditionalFormatting sqref="G4:I11">
    <x:cfRule type="containsText" dxfId="30" priority="1" operator="containsText" text="待"/>
    <x:cfRule type="containsText" dxfId="31" priority="2" operator="containsText" text="禁忌"/>
    <x:cfRule type="containsText" dxfId="32" priority="3" operator="containsText" text="重大"/>
    <x:cfRule type="containsText" dxfId="33" priority="4" operator="containsText" text="已复核"/>
  </x:conditionalFormatting>
  <x:dataValidations count="1">
    <x:dataValidation type="list" sqref="I4:I11">
      <x:formula1>"待确认,保留,修改,删除"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eda37e62aaa444b"/>
  </x:tableParts>
</x:worksheet>
</file>